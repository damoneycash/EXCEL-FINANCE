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en\FILES\PRO\TRADING\2024\STATION\"/>
    </mc:Choice>
  </mc:AlternateContent>
  <xr:revisionPtr revIDLastSave="0" documentId="13_ncr:1_{9FBA1E63-2D82-4C1E-A642-C1DDF00238A5}" xr6:coauthVersionLast="47" xr6:coauthVersionMax="47" xr10:uidLastSave="{00000000-0000-0000-0000-000000000000}"/>
  <bookViews>
    <workbookView xWindow="-28920" yWindow="-120" windowWidth="29040" windowHeight="15720" firstSheet="1" activeTab="1" xr2:uid="{00000000-000D-0000-FFFF-FFFF00000000}"/>
  </bookViews>
  <sheets>
    <sheet name="Instructions" sheetId="6" state="hidden" r:id="rId1"/>
    <sheet name="WELCOME" sheetId="7" r:id="rId2"/>
    <sheet name="Data" sheetId="8" r:id="rId3"/>
    <sheet name="REQUEST_TABLE" sheetId="4" state="hidden" r:id="rId4"/>
  </sheets>
  <functionGroups builtInGroupCount="19"/>
  <definedNames>
    <definedName name="TRNR_a6052a34fe8e4bf38008b48cfe83bf67_42_9" hidden="1">Data!$A$67</definedName>
    <definedName name="TRNR_cdacea9453ac47cc82274d287ad3a029_8_1" hidden="1">Data!$B$3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9" i="8" l="1"/>
  <c r="V29" i="8"/>
  <c r="U29" i="8"/>
  <c r="S29" i="8"/>
  <c r="R29" i="8"/>
  <c r="L70" i="8"/>
  <c r="AA70" i="8" s="1"/>
  <c r="M70" i="8"/>
  <c r="L71" i="8"/>
  <c r="AA71" i="8" s="1"/>
  <c r="M71" i="8"/>
  <c r="L72" i="8"/>
  <c r="O72" i="8" s="1"/>
  <c r="AD72" i="8" s="1"/>
  <c r="M72" i="8"/>
  <c r="L73" i="8"/>
  <c r="AA73" i="8" s="1"/>
  <c r="M73" i="8"/>
  <c r="L74" i="8"/>
  <c r="O74" i="8" s="1"/>
  <c r="R74" i="8" s="1"/>
  <c r="AG74" i="8" s="1"/>
  <c r="M74" i="8"/>
  <c r="L75" i="8"/>
  <c r="O75" i="8" s="1"/>
  <c r="M75" i="8"/>
  <c r="L76" i="8"/>
  <c r="AA76" i="8" s="1"/>
  <c r="M76" i="8"/>
  <c r="L77" i="8"/>
  <c r="AA77" i="8" s="1"/>
  <c r="M77" i="8"/>
  <c r="L78" i="8"/>
  <c r="AA78" i="8" s="1"/>
  <c r="M78" i="8"/>
  <c r="L79" i="8"/>
  <c r="AA79" i="8" s="1"/>
  <c r="M79" i="8"/>
  <c r="L80" i="8"/>
  <c r="AA80" i="8" s="1"/>
  <c r="M80" i="8"/>
  <c r="L81" i="8"/>
  <c r="O81" i="8" s="1"/>
  <c r="M81" i="8"/>
  <c r="L82" i="8"/>
  <c r="AA82" i="8" s="1"/>
  <c r="M82" i="8"/>
  <c r="L83" i="8"/>
  <c r="AA83" i="8" s="1"/>
  <c r="M83" i="8"/>
  <c r="L84" i="8"/>
  <c r="O84" i="8" s="1"/>
  <c r="AD84" i="8" s="1"/>
  <c r="M84" i="8"/>
  <c r="L85" i="8"/>
  <c r="O85" i="8" s="1"/>
  <c r="AD85" i="8" s="1"/>
  <c r="M85" i="8"/>
  <c r="L86" i="8"/>
  <c r="O86" i="8" s="1"/>
  <c r="R86" i="8" s="1"/>
  <c r="AG86" i="8" s="1"/>
  <c r="M86" i="8"/>
  <c r="L87" i="8"/>
  <c r="O87" i="8" s="1"/>
  <c r="M87" i="8"/>
  <c r="L88" i="8"/>
  <c r="AA88" i="8" s="1"/>
  <c r="M88" i="8"/>
  <c r="L89" i="8"/>
  <c r="AA89" i="8" s="1"/>
  <c r="M89" i="8"/>
  <c r="L90" i="8"/>
  <c r="O90" i="8" s="1"/>
  <c r="AD90" i="8" s="1"/>
  <c r="M90" i="8"/>
  <c r="L91" i="8"/>
  <c r="O91" i="8" s="1"/>
  <c r="AD91" i="8" s="1"/>
  <c r="M91" i="8"/>
  <c r="L92" i="8"/>
  <c r="AA92" i="8" s="1"/>
  <c r="M92" i="8"/>
  <c r="L93" i="8"/>
  <c r="O93" i="8" s="1"/>
  <c r="M93" i="8"/>
  <c r="L94" i="8"/>
  <c r="AA94" i="8" s="1"/>
  <c r="M94" i="8"/>
  <c r="L95" i="8"/>
  <c r="AA95" i="8" s="1"/>
  <c r="M95" i="8"/>
  <c r="L96" i="8"/>
  <c r="O96" i="8" s="1"/>
  <c r="AD96" i="8" s="1"/>
  <c r="M96" i="8"/>
  <c r="L97" i="8"/>
  <c r="AA97" i="8" s="1"/>
  <c r="M97" i="8"/>
  <c r="L98" i="8"/>
  <c r="O98" i="8" s="1"/>
  <c r="R98" i="8" s="1"/>
  <c r="AG98" i="8" s="1"/>
  <c r="M98" i="8"/>
  <c r="L99" i="8"/>
  <c r="O99" i="8" s="1"/>
  <c r="M99" i="8"/>
  <c r="L100" i="8"/>
  <c r="AA100" i="8" s="1"/>
  <c r="M100" i="8"/>
  <c r="L101" i="8"/>
  <c r="AA101" i="8" s="1"/>
  <c r="M101" i="8"/>
  <c r="L102" i="8"/>
  <c r="O102" i="8" s="1"/>
  <c r="AD102" i="8" s="1"/>
  <c r="M102" i="8"/>
  <c r="L103" i="8"/>
  <c r="AA103" i="8" s="1"/>
  <c r="M103" i="8"/>
  <c r="L104" i="8"/>
  <c r="AA104" i="8" s="1"/>
  <c r="M104" i="8"/>
  <c r="L105" i="8"/>
  <c r="O105" i="8" s="1"/>
  <c r="M105" i="8"/>
  <c r="L106" i="8"/>
  <c r="AA106" i="8" s="1"/>
  <c r="M106" i="8"/>
  <c r="L107" i="8"/>
  <c r="AA107" i="8" s="1"/>
  <c r="M107" i="8"/>
  <c r="L108" i="8"/>
  <c r="AA108" i="8" s="1"/>
  <c r="M108" i="8"/>
  <c r="L109" i="8"/>
  <c r="AA109" i="8" s="1"/>
  <c r="M10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104" i="8"/>
  <c r="AK105" i="8"/>
  <c r="AK106" i="8"/>
  <c r="AK107" i="8"/>
  <c r="AK108" i="8"/>
  <c r="AK109" i="8"/>
  <c r="B1" i="8"/>
  <c r="M5" i="7"/>
  <c r="L5" i="7"/>
  <c r="K5" i="7"/>
  <c r="J5" i="7"/>
  <c r="I5" i="7"/>
  <c r="H5" i="7"/>
  <c r="G5" i="7"/>
  <c r="F5" i="7"/>
  <c r="E5" i="7"/>
  <c r="S6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E7" i="4" l="1"/>
  <c r="AA87" i="8"/>
  <c r="AA102" i="8"/>
  <c r="O78" i="8"/>
  <c r="AD78" i="8" s="1"/>
  <c r="AA86" i="8"/>
  <c r="E8" i="4"/>
  <c r="AA72" i="8"/>
  <c r="O104" i="8"/>
  <c r="AD104" i="8" s="1"/>
  <c r="AA96" i="8"/>
  <c r="O80" i="8"/>
  <c r="R80" i="8" s="1"/>
  <c r="AG80" i="8" s="1"/>
  <c r="AD86" i="8"/>
  <c r="AA99" i="8"/>
  <c r="AA98" i="8"/>
  <c r="AA105" i="8"/>
  <c r="AA90" i="8"/>
  <c r="O92" i="8"/>
  <c r="R92" i="8" s="1"/>
  <c r="AG92" i="8" s="1"/>
  <c r="AA85" i="8"/>
  <c r="AA74" i="8"/>
  <c r="AA75" i="8"/>
  <c r="AA84" i="8"/>
  <c r="O109" i="8"/>
  <c r="AD109" i="8" s="1"/>
  <c r="O108" i="8"/>
  <c r="AD108" i="8" s="1"/>
  <c r="AA91" i="8"/>
  <c r="AD74" i="8"/>
  <c r="O97" i="8"/>
  <c r="AD97" i="8" s="1"/>
  <c r="O73" i="8"/>
  <c r="AD73" i="8" s="1"/>
  <c r="O103" i="8"/>
  <c r="AD103" i="8" s="1"/>
  <c r="O79" i="8"/>
  <c r="AD79" i="8" s="1"/>
  <c r="AA81" i="8"/>
  <c r="AD98" i="8"/>
  <c r="AA93" i="8"/>
  <c r="AD105" i="8"/>
  <c r="R105" i="8"/>
  <c r="R99" i="8"/>
  <c r="AD99" i="8"/>
  <c r="R93" i="8"/>
  <c r="AD93" i="8"/>
  <c r="R87" i="8"/>
  <c r="AD87" i="8"/>
  <c r="AD81" i="8"/>
  <c r="R81" i="8"/>
  <c r="R75" i="8"/>
  <c r="AD75" i="8"/>
  <c r="R91" i="8"/>
  <c r="R85" i="8"/>
  <c r="O107" i="8"/>
  <c r="O101" i="8"/>
  <c r="O95" i="8"/>
  <c r="O89" i="8"/>
  <c r="O83" i="8"/>
  <c r="O77" i="8"/>
  <c r="O71" i="8"/>
  <c r="U98" i="8"/>
  <c r="U86" i="8"/>
  <c r="U74" i="8"/>
  <c r="R102" i="8"/>
  <c r="R96" i="8"/>
  <c r="R90" i="8"/>
  <c r="R84" i="8"/>
  <c r="R72" i="8"/>
  <c r="O106" i="8"/>
  <c r="O100" i="8"/>
  <c r="O94" i="8"/>
  <c r="O88" i="8"/>
  <c r="O82" i="8"/>
  <c r="O76" i="8"/>
  <c r="O70" i="8"/>
  <c r="R78" i="8" l="1"/>
  <c r="R104" i="8"/>
  <c r="AG104" i="8" s="1"/>
  <c r="AD80" i="8"/>
  <c r="U80" i="8"/>
  <c r="AD92" i="8"/>
  <c r="U92" i="8"/>
  <c r="AJ92" i="8" s="1"/>
  <c r="R108" i="8"/>
  <c r="U108" i="8" s="1"/>
  <c r="R109" i="8"/>
  <c r="U109" i="8" s="1"/>
  <c r="R73" i="8"/>
  <c r="U73" i="8" s="1"/>
  <c r="R97" i="8"/>
  <c r="AG97" i="8" s="1"/>
  <c r="R103" i="8"/>
  <c r="AG103" i="8" s="1"/>
  <c r="R79" i="8"/>
  <c r="U79" i="8" s="1"/>
  <c r="R107" i="8"/>
  <c r="AD107" i="8"/>
  <c r="X80" i="8"/>
  <c r="AJ80" i="8"/>
  <c r="AD94" i="8"/>
  <c r="R94" i="8"/>
  <c r="R106" i="8"/>
  <c r="AD106" i="8"/>
  <c r="AG91" i="8"/>
  <c r="U91" i="8"/>
  <c r="R71" i="8"/>
  <c r="AD71" i="8"/>
  <c r="AG105" i="8"/>
  <c r="U105" i="8"/>
  <c r="U90" i="8"/>
  <c r="AG90" i="8"/>
  <c r="U96" i="8"/>
  <c r="AG96" i="8"/>
  <c r="AD89" i="8"/>
  <c r="R89" i="8"/>
  <c r="AG75" i="8"/>
  <c r="U75" i="8"/>
  <c r="R82" i="8"/>
  <c r="AD82" i="8"/>
  <c r="X86" i="8"/>
  <c r="AJ86" i="8"/>
  <c r="R100" i="8"/>
  <c r="AD100" i="8"/>
  <c r="U85" i="8"/>
  <c r="AG85" i="8"/>
  <c r="AG78" i="8"/>
  <c r="U78" i="8"/>
  <c r="U84" i="8"/>
  <c r="AG84" i="8"/>
  <c r="AD70" i="8"/>
  <c r="R70" i="8"/>
  <c r="AG102" i="8"/>
  <c r="U102" i="8"/>
  <c r="AD95" i="8"/>
  <c r="R95" i="8"/>
  <c r="AG81" i="8"/>
  <c r="U81" i="8"/>
  <c r="X74" i="8"/>
  <c r="AJ74" i="8"/>
  <c r="R88" i="8"/>
  <c r="AD88" i="8"/>
  <c r="AG87" i="8"/>
  <c r="U87" i="8"/>
  <c r="AG93" i="8"/>
  <c r="U93" i="8"/>
  <c r="X98" i="8"/>
  <c r="AJ98" i="8"/>
  <c r="U72" i="8"/>
  <c r="AG72" i="8"/>
  <c r="AG99" i="8"/>
  <c r="U99" i="8"/>
  <c r="R77" i="8"/>
  <c r="AD77" i="8"/>
  <c r="R83" i="8"/>
  <c r="AD83" i="8"/>
  <c r="R76" i="8"/>
  <c r="AD76" i="8"/>
  <c r="AG108" i="8"/>
  <c r="R101" i="8"/>
  <c r="AD101" i="8"/>
  <c r="U104" i="8" l="1"/>
  <c r="X104" i="8" s="1"/>
  <c r="U97" i="8"/>
  <c r="AJ97" i="8" s="1"/>
  <c r="AG79" i="8"/>
  <c r="AG73" i="8"/>
  <c r="X92" i="8"/>
  <c r="AG109" i="8"/>
  <c r="U103" i="8"/>
  <c r="X103" i="8" s="1"/>
  <c r="X79" i="8"/>
  <c r="AJ79" i="8"/>
  <c r="AJ108" i="8"/>
  <c r="X108" i="8"/>
  <c r="U95" i="8"/>
  <c r="AG95" i="8"/>
  <c r="U89" i="8"/>
  <c r="AG89" i="8"/>
  <c r="AJ85" i="8"/>
  <c r="X85" i="8"/>
  <c r="X102" i="8"/>
  <c r="AJ102" i="8"/>
  <c r="AG100" i="8"/>
  <c r="U100" i="8"/>
  <c r="AG107" i="8"/>
  <c r="U107" i="8"/>
  <c r="AG70" i="8"/>
  <c r="U70" i="8"/>
  <c r="U77" i="8"/>
  <c r="AG77" i="8"/>
  <c r="U106" i="8"/>
  <c r="AG106" i="8"/>
  <c r="X99" i="8"/>
  <c r="AJ99" i="8"/>
  <c r="X78" i="8"/>
  <c r="AJ78" i="8"/>
  <c r="X105" i="8"/>
  <c r="AJ105" i="8"/>
  <c r="U101" i="8"/>
  <c r="AG101" i="8"/>
  <c r="AG82" i="8"/>
  <c r="U82" i="8"/>
  <c r="X81" i="8"/>
  <c r="AJ81" i="8"/>
  <c r="AJ75" i="8"/>
  <c r="X75" i="8"/>
  <c r="AG94" i="8"/>
  <c r="U94" i="8"/>
  <c r="AJ72" i="8"/>
  <c r="X72" i="8"/>
  <c r="X97" i="8"/>
  <c r="U71" i="8"/>
  <c r="AG71" i="8"/>
  <c r="U76" i="8"/>
  <c r="AG76" i="8"/>
  <c r="X93" i="8"/>
  <c r="AJ93" i="8"/>
  <c r="X91" i="8"/>
  <c r="AJ91" i="8"/>
  <c r="AG83" i="8"/>
  <c r="U83" i="8"/>
  <c r="X96" i="8"/>
  <c r="AJ96" i="8"/>
  <c r="AJ87" i="8"/>
  <c r="X87" i="8"/>
  <c r="AJ90" i="8"/>
  <c r="X90" i="8"/>
  <c r="U88" i="8"/>
  <c r="AG88" i="8"/>
  <c r="AJ84" i="8"/>
  <c r="X84" i="8"/>
  <c r="X73" i="8"/>
  <c r="AJ73" i="8"/>
  <c r="X109" i="8"/>
  <c r="AJ109" i="8"/>
  <c r="AJ104" i="8" l="1"/>
  <c r="AJ103" i="8"/>
  <c r="AJ101" i="8"/>
  <c r="X101" i="8"/>
  <c r="AJ107" i="8"/>
  <c r="X107" i="8"/>
  <c r="AJ94" i="8"/>
  <c r="X94" i="8"/>
  <c r="AJ100" i="8"/>
  <c r="X100" i="8"/>
  <c r="AJ88" i="8"/>
  <c r="X88" i="8"/>
  <c r="AJ95" i="8"/>
  <c r="X95" i="8"/>
  <c r="AJ83" i="8"/>
  <c r="X83" i="8"/>
  <c r="AJ76" i="8"/>
  <c r="X76" i="8"/>
  <c r="AJ106" i="8"/>
  <c r="X106" i="8"/>
  <c r="AJ82" i="8"/>
  <c r="X82" i="8"/>
  <c r="AJ71" i="8"/>
  <c r="X71" i="8"/>
  <c r="AJ77" i="8"/>
  <c r="X77" i="8"/>
  <c r="AJ89" i="8"/>
  <c r="X89" i="8"/>
  <c r="AJ70" i="8"/>
  <c r="X7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  <author>ParrS</author>
  </authors>
  <commentList>
    <comment ref="B3" authorId="0" shapeId="0" xr:uid="{D7E23981-F3CB-44E3-9562-072097742C37}">
      <text>
        <r>
          <rPr>
            <sz val="9"/>
            <color indexed="81"/>
            <rFont val="Tahoma"/>
            <charset val="1"/>
          </rPr>
          <t>=DSGRID("CNUN%TOTQ,CNCNFCONR,CNCPANNL,PCH#(CNM2....B,1Y),CNGBOND.,ECCADST,PCH#(CNGDP...C,1Y),CNVISBOPA,CNCURBALB","X,MNEM","","","","NotAvailableString=#n/a","")</t>
        </r>
      </text>
    </comment>
    <comment ref="C3" authorId="1" shapeId="0" xr:uid="{92FD58DC-8F58-4EE4-B0F9-A7263D5594EE}">
      <text>
        <r>
          <rPr>
            <sz val="8"/>
            <color indexed="81"/>
            <rFont val="Tahoma"/>
            <family val="2"/>
          </rPr>
          <t>Source: DATASTREAM
23/08/2000 3:04:55 PM
Rows:9,Cols:1
Request Table</t>
        </r>
      </text>
    </comment>
    <comment ref="D3" authorId="1" shapeId="0" xr:uid="{DAE90C89-C52C-4BC4-850B-822E8EA425EB}">
      <text>
        <r>
          <rPr>
            <sz val="8"/>
            <color indexed="81"/>
            <rFont val="Tahoma"/>
            <family val="2"/>
          </rPr>
          <t>Source: DATASTREAM
23/08/00 15:12:48
Rows:9,Cols:1
Request Table</t>
        </r>
      </text>
    </comment>
    <comment ref="E3" authorId="1" shapeId="0" xr:uid="{86E3D695-9A25-4D4C-92E2-E31AAB444698}">
      <text>
        <r>
          <rPr>
            <sz val="8"/>
            <color indexed="81"/>
            <rFont val="Tahoma"/>
            <family val="2"/>
          </rPr>
          <t>Source: DATASTREAM
23/08/2000 2:35:31 PM
Rows:9,Cols:1
Request Table</t>
        </r>
      </text>
    </comment>
    <comment ref="F3" authorId="1" shapeId="0" xr:uid="{A5208CDD-64C6-4AED-99B2-AF1BDFA7983D}">
      <text>
        <r>
          <rPr>
            <sz val="8"/>
            <color indexed="81"/>
            <rFont val="Tahoma"/>
            <family val="2"/>
          </rPr>
          <t>Source: DATASTREAM
23/08/00 15:17:27
Rows:9,Cols:1
Request Table</t>
        </r>
      </text>
    </comment>
    <comment ref="G3" authorId="1" shapeId="0" xr:uid="{91E2D9E6-9967-4D4E-BD87-B6B152A62A50}">
      <text>
        <r>
          <rPr>
            <sz val="8"/>
            <color indexed="81"/>
            <rFont val="Tahoma"/>
            <family val="2"/>
          </rPr>
          <t>Source: DATASTREAM
23/08/2000 2:35:38 PM
Rows:9,Cols:1
Request Table</t>
        </r>
      </text>
    </comment>
    <comment ref="H3" authorId="1" shapeId="0" xr:uid="{EB8A5993-AE4A-473E-99BC-E4E9B7F5AB7B}">
      <text>
        <r>
          <rPr>
            <sz val="8"/>
            <color indexed="81"/>
            <rFont val="Tahoma"/>
            <family val="2"/>
          </rPr>
          <t>Source: DATASTREAM
23/08/2000 2:39:29 PM
Rows:9,Cols:1
Request Table</t>
        </r>
      </text>
    </comment>
    <comment ref="I3" authorId="1" shapeId="0" xr:uid="{1336E58D-DF78-4094-AF26-A6684DEF3CF2}">
      <text>
        <r>
          <rPr>
            <sz val="8"/>
            <color indexed="81"/>
            <rFont val="Tahoma"/>
            <family val="2"/>
          </rPr>
          <t>Source: DATASTREAM
23/08/2000 2:35:45 PM
Rows:9,Cols:1
Request Table</t>
        </r>
      </text>
    </comment>
    <comment ref="J3" authorId="1" shapeId="0" xr:uid="{6CA6B538-31F0-4159-A22F-CBC4D31AEAF2}">
      <text>
        <r>
          <rPr>
            <sz val="8"/>
            <color indexed="81"/>
            <rFont val="Tahoma"/>
            <family val="2"/>
          </rPr>
          <t>Source: DATASTREAM
23/08/2000 2:35:51 PM
Rows:9,Cols:1
Request Table</t>
        </r>
      </text>
    </comment>
    <comment ref="K3" authorId="1" shapeId="0" xr:uid="{9FE99F83-C611-4CCE-B3B6-334BAAB56895}">
      <text>
        <r>
          <rPr>
            <sz val="8"/>
            <color indexed="81"/>
            <rFont val="Tahoma"/>
            <family val="2"/>
          </rPr>
          <t>Source: DATASTREAM
23/08/2000 2:43:37 PM
Rows:9,Cols:1
Request Table</t>
        </r>
      </text>
    </comment>
    <comment ref="L3" authorId="1" shapeId="0" xr:uid="{4E050D3F-5B07-4336-930F-0DD8827DE111}">
      <text>
        <r>
          <rPr>
            <sz val="8"/>
            <color indexed="81"/>
            <rFont val="Tahoma"/>
            <family val="2"/>
          </rPr>
          <t>Source: DATASTREAM
23/08/2000 2:43:44 PM
Rows:9,Cols:1
Request Table</t>
        </r>
      </text>
    </comment>
    <comment ref="M3" authorId="1" shapeId="0" xr:uid="{A7DC2F8B-6B87-43A7-AA62-AA450D9326A3}">
      <text>
        <r>
          <rPr>
            <sz val="8"/>
            <color indexed="81"/>
            <rFont val="Tahoma"/>
            <family val="2"/>
          </rPr>
          <t>Source: DATASTREAM
23/08/2000 2:50:02 PM
Rows:9,Cols:1
Request Table</t>
        </r>
      </text>
    </comment>
    <comment ref="N3" authorId="1" shapeId="0" xr:uid="{1DE13B0B-A7A0-4577-A621-95AA50129C66}">
      <text>
        <r>
          <rPr>
            <sz val="8"/>
            <color indexed="81"/>
            <rFont val="Tahoma"/>
            <family val="2"/>
          </rPr>
          <t>Source: DATASTREAM
23/08/2000 2:50:07 PM
Rows:9,Cols:1
Request Table</t>
        </r>
      </text>
    </comment>
    <comment ref="O3" authorId="1" shapeId="0" xr:uid="{19CDBAE1-B9BF-456C-92C1-6222B259F0EB}">
      <text>
        <r>
          <rPr>
            <sz val="8"/>
            <color indexed="81"/>
            <rFont val="Tahoma"/>
            <family val="2"/>
          </rPr>
          <t>Source: DATASTREAM
23/08/2000 2:52:23 PM
Rows:9,Cols:1
Request Table</t>
        </r>
      </text>
    </comment>
    <comment ref="P3" authorId="1" shapeId="0" xr:uid="{6EA8499D-AD98-448C-B480-1A9EEBC3E328}">
      <text>
        <r>
          <rPr>
            <sz val="8"/>
            <color indexed="81"/>
            <rFont val="Tahoma"/>
            <family val="2"/>
          </rPr>
          <t>=DSGRID("UKUN%TOTQ,UKCCIPSOR,UKRPANNL,PCH#(UKM4....B,1Y),UKGBOND.,ECUKPST,PCH#(UKGDP...D,1Y),UKVISBOPB,UKCURBALB","X,MNEM","","","","NotAvailableString=#n/a","")</t>
        </r>
      </text>
    </comment>
    <comment ref="A67" authorId="0" shapeId="0" xr:uid="{A75BCD2A-AD6F-4679-B5D6-F6AB297253B6}">
      <text>
        <r>
          <rPr>
            <sz val="9"/>
            <color indexed="81"/>
            <rFont val="Tahoma"/>
            <charset val="1"/>
          </rPr>
          <t>=DSGRID("CNUN%TOTQ,CNCNFCONR,CNCPANNL,PCH#(CNM2....B,1Y),CNGBOND.,ECCADST,PCH#(CNGDP...C,1Y),CNVISBOPA,CNCURBALB","","-10Y","","Q","NotAvailableString=#n/a;RowHeader=true;ColHeader=true;Code=true;YearlyTSFormat=false;QuarterlyTSFormat=false;MonthlyTSFormat=true;DispSeriesDescription=false","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<sst xmlns="http://schemas.openxmlformats.org/spreadsheetml/2006/main" count="391" uniqueCount="318">
  <si>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</si>
  <si>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</si>
  <si>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</si>
  <si>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</si>
  <si>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</si>
  <si>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</si>
  <si>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</si>
  <si>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</si>
  <si>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</si>
  <si>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</si>
  <si>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</si>
  <si>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</si>
  <si>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</si>
  <si>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</si>
  <si>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</si>
  <si>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</si>
  <si>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</si>
  <si>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</si>
  <si>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</si>
  <si>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</si>
  <si>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</si>
  <si>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</si>
  <si>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</si>
  <si>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 xml:space="preserve">        Datastream  European Economic Indicator charts</t>
  </si>
  <si>
    <t>Inputs Needed</t>
  </si>
  <si>
    <t>PORTUGAL</t>
  </si>
  <si>
    <t>UNEMPLOYMENT RATE</t>
  </si>
  <si>
    <t>CONSUMER CONFIDENCE</t>
  </si>
  <si>
    <t>INFLATION</t>
  </si>
  <si>
    <t>MONEY SUPPLY %</t>
  </si>
  <si>
    <t>LONG BOND YIELD</t>
  </si>
  <si>
    <t xml:space="preserve">SHORT TERM INT.RATE </t>
  </si>
  <si>
    <t>REAL  GDP %</t>
  </si>
  <si>
    <t>VIS TRADE BALANCE</t>
  </si>
  <si>
    <t>CURRENT ACCOUNT BALANCE</t>
  </si>
  <si>
    <t>GRUN%TOTR</t>
  </si>
  <si>
    <t>GRCNFCONQ</t>
  </si>
  <si>
    <t>GRGBOND.</t>
  </si>
  <si>
    <t>GRINTER3</t>
  </si>
  <si>
    <t>GRVISBOPA</t>
  </si>
  <si>
    <t>GRCURBALA</t>
  </si>
  <si>
    <t>FRANCE</t>
  </si>
  <si>
    <t>GERMANY</t>
  </si>
  <si>
    <t>ITALY</t>
  </si>
  <si>
    <t>UNITED KINGDOM</t>
  </si>
  <si>
    <t>BELGIUM</t>
  </si>
  <si>
    <t>DENMARK</t>
  </si>
  <si>
    <t>NETHERLANDS</t>
  </si>
  <si>
    <t>NORWAY</t>
  </si>
  <si>
    <t>SPAIN</t>
  </si>
  <si>
    <t>SWEDEN</t>
  </si>
  <si>
    <t>SWITZERLAND</t>
  </si>
  <si>
    <t>FINLAND</t>
  </si>
  <si>
    <t>IRELAND</t>
  </si>
  <si>
    <t>GREECE</t>
  </si>
  <si>
    <t>AUSTRIA</t>
  </si>
  <si>
    <t>FRUN%TOTQ</t>
  </si>
  <si>
    <t>BDUN%TOTR</t>
  </si>
  <si>
    <t>ITUN%TOTQ</t>
  </si>
  <si>
    <t>UKUN%TOTQ</t>
  </si>
  <si>
    <t>BGUN%TOTQ</t>
  </si>
  <si>
    <t>DKUN%TOTQ</t>
  </si>
  <si>
    <t>NLNEWUN%R</t>
  </si>
  <si>
    <t>NWUN%TOTQ</t>
  </si>
  <si>
    <t>ESUN%TOTQ</t>
  </si>
  <si>
    <t>SDUN%TOTR</t>
  </si>
  <si>
    <t>SWUN%TOTQ</t>
  </si>
  <si>
    <t>FNUN%TOTR</t>
  </si>
  <si>
    <t>IRUN%TOTQ</t>
  </si>
  <si>
    <t>PTUN%TOTR</t>
  </si>
  <si>
    <t>OEUN%TOTR</t>
  </si>
  <si>
    <t>FRCNFCONQ</t>
  </si>
  <si>
    <t>BDCNFCONQ</t>
  </si>
  <si>
    <t>ITCNFCONQ</t>
  </si>
  <si>
    <t>BGCNFCONQ</t>
  </si>
  <si>
    <t>DKCNFCONR</t>
  </si>
  <si>
    <t>NLCNFCONQ</t>
  </si>
  <si>
    <t>NWCNFCONQ</t>
  </si>
  <si>
    <t>ESCNFCONQ</t>
  </si>
  <si>
    <t>SDCNFCONR</t>
  </si>
  <si>
    <t>SWCNFCONR</t>
  </si>
  <si>
    <t>FNCNFCONQ</t>
  </si>
  <si>
    <t>IRCNFCONQ</t>
  </si>
  <si>
    <t>PTCNFCONQ</t>
  </si>
  <si>
    <t>OECNFCONQ</t>
  </si>
  <si>
    <t>FRCPANNL</t>
  </si>
  <si>
    <t>BDCPANNL</t>
  </si>
  <si>
    <t>ITCPANNL</t>
  </si>
  <si>
    <t>UKRPANNL</t>
  </si>
  <si>
    <t>BGCPANNL</t>
  </si>
  <si>
    <t>DKCPANNL</t>
  </si>
  <si>
    <t>NLCPANNL</t>
  </si>
  <si>
    <t>NWCPANNL</t>
  </si>
  <si>
    <t>ESCPANNL</t>
  </si>
  <si>
    <t>SDCPANNL</t>
  </si>
  <si>
    <t>SWCPANNL</t>
  </si>
  <si>
    <t>PCH#(FNCONPRCF,1Y)</t>
  </si>
  <si>
    <t>IRCPANNL</t>
  </si>
  <si>
    <t>PTCPI%..F</t>
  </si>
  <si>
    <t>PCH#(GRCONPRCF,1Y)</t>
  </si>
  <si>
    <t>PCH#(OECPHARMF,1Y)</t>
  </si>
  <si>
    <t>PCH#(FRM3....A,1Y)</t>
  </si>
  <si>
    <t>PCH#(BDM3....B,1Y)</t>
  </si>
  <si>
    <t>PCH#(ITM3....A,1Y)</t>
  </si>
  <si>
    <t>PCH#(UKM4....B,1Y)</t>
  </si>
  <si>
    <t>PCH#(BGM3....A,1Y)</t>
  </si>
  <si>
    <t>PCH#(DKM3....A,1Y)</t>
  </si>
  <si>
    <t>PCH#(NLM3....A,1Y)</t>
  </si>
  <si>
    <t>PCH#(NWM2....A,1Y)</t>
  </si>
  <si>
    <t>PCH#(ESM3....A,1Y)</t>
  </si>
  <si>
    <t>PCH#(SDM3....A,1Y)</t>
  </si>
  <si>
    <t>PCH#(SWM3....A,1Y)</t>
  </si>
  <si>
    <t>PCH#(FNM3....A,1Y)</t>
  </si>
  <si>
    <t>PCH#(IRM3....A,1Y)</t>
  </si>
  <si>
    <t>PCH#(PTM2....A,1Y)</t>
  </si>
  <si>
    <t>PCH#(GRM3....A,1Y)</t>
  </si>
  <si>
    <t>PCH#(OEM3....A,1Y)</t>
  </si>
  <si>
    <t>FRGBOND.</t>
  </si>
  <si>
    <t>BDGBOND.</t>
  </si>
  <si>
    <t>ITGBOND.</t>
  </si>
  <si>
    <t>UKGBOND.</t>
  </si>
  <si>
    <t>BGGBOND.</t>
  </si>
  <si>
    <t>DKGBOND.</t>
  </si>
  <si>
    <t>NLOIR080R</t>
  </si>
  <si>
    <t>NWGBOND.</t>
  </si>
  <si>
    <t>ESGBOND.</t>
  </si>
  <si>
    <t>SDGBOND.</t>
  </si>
  <si>
    <t>SWGBOND.</t>
  </si>
  <si>
    <t>FNGBOND.</t>
  </si>
  <si>
    <t>IRGBOND.</t>
  </si>
  <si>
    <t>PTGBOND.</t>
  </si>
  <si>
    <t>OEGBOND.</t>
  </si>
  <si>
    <t>FRINTER3</t>
  </si>
  <si>
    <t>BDINTER3</t>
  </si>
  <si>
    <t>ITINTER3</t>
  </si>
  <si>
    <t>BGINTER3</t>
  </si>
  <si>
    <t>DKINTER3</t>
  </si>
  <si>
    <t>NLINTER3</t>
  </si>
  <si>
    <t>NWINTER3</t>
  </si>
  <si>
    <t>ESINTER3</t>
  </si>
  <si>
    <t>SDINTER3</t>
  </si>
  <si>
    <t>FNINTER3</t>
  </si>
  <si>
    <t>IRINTER3</t>
  </si>
  <si>
    <t>PTINTER3</t>
  </si>
  <si>
    <t>OEINTER3</t>
  </si>
  <si>
    <t>PCH#(FRGDP...D,1Y)</t>
  </si>
  <si>
    <t>PCH#(BDGDP...D,1Y)</t>
  </si>
  <si>
    <t>PCH#(ITGDP...D,1Y)</t>
  </si>
  <si>
    <t>PCH#(UKGDP...D,1Y)</t>
  </si>
  <si>
    <t>PCH#(BGGDP...D,1Y)</t>
  </si>
  <si>
    <t>PCH#(DKGDP...D,1Y)</t>
  </si>
  <si>
    <t>PCH#(NLGDP...D,1Y)</t>
  </si>
  <si>
    <t>PCH#(NWGDP...D,1Y)</t>
  </si>
  <si>
    <t>PCH#(ESGDP..VE,1Y)</t>
  </si>
  <si>
    <t>PCH#(SDGDP...D,1Y)</t>
  </si>
  <si>
    <t>PCH#(SWGDP...D,1Y)</t>
  </si>
  <si>
    <t>PCH#(FNGDP...D,1Y)</t>
  </si>
  <si>
    <t>PCH#(IRGDP...D,1Y)</t>
  </si>
  <si>
    <t>PCH#(PTGDP...D,1Y)</t>
  </si>
  <si>
    <t>PCH#(GRGDP...D,1Y)</t>
  </si>
  <si>
    <t>PCH#(OEGDP...C,1Y)</t>
  </si>
  <si>
    <t>FRVISGDSB</t>
  </si>
  <si>
    <t>BDVISBALB</t>
  </si>
  <si>
    <t>ITVISBOPA</t>
  </si>
  <si>
    <t>UKVISBOPB</t>
  </si>
  <si>
    <t>BGVISBOPA</t>
  </si>
  <si>
    <t>DKVISGDSA</t>
  </si>
  <si>
    <t>NLVISBOPA</t>
  </si>
  <si>
    <t>NWVISBOPA</t>
  </si>
  <si>
    <t>ESVISBOPA</t>
  </si>
  <si>
    <t>SDVISBOPA</t>
  </si>
  <si>
    <t>SWVISBOPA</t>
  </si>
  <si>
    <t>FNVISBOPA</t>
  </si>
  <si>
    <t>IRVISBOPA</t>
  </si>
  <si>
    <t>PTVISBOPA</t>
  </si>
  <si>
    <t>OEVISBOPA</t>
  </si>
  <si>
    <t>FRCURBALB</t>
  </si>
  <si>
    <t>BDCURBALA</t>
  </si>
  <si>
    <t>ITCURBALA</t>
  </si>
  <si>
    <t>UKCURBALB</t>
  </si>
  <si>
    <t>BGCURBALA</t>
  </si>
  <si>
    <t>DKCURBALA</t>
  </si>
  <si>
    <t>NLCURBALA</t>
  </si>
  <si>
    <t>NWCURBALA</t>
  </si>
  <si>
    <t>ESCURBALA</t>
  </si>
  <si>
    <t>SDCURBALA</t>
  </si>
  <si>
    <t>SWCURBALA</t>
  </si>
  <si>
    <t>FNCURBALA</t>
  </si>
  <si>
    <t>IRCURBALA</t>
  </si>
  <si>
    <t>PTCURBALA</t>
  </si>
  <si>
    <t>OECURBALA</t>
  </si>
  <si>
    <t>Name</t>
  </si>
  <si>
    <t>Code</t>
  </si>
  <si>
    <t>CHART 1</t>
  </si>
  <si>
    <t>CHART 2</t>
  </si>
  <si>
    <t>CHART 4</t>
  </si>
  <si>
    <t>CHART 5</t>
  </si>
  <si>
    <t>CHART 6</t>
  </si>
  <si>
    <t>CHART 7</t>
  </si>
  <si>
    <t>CHART 8</t>
  </si>
  <si>
    <t>CHART 9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</si>
  <si>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</si>
  <si>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</si>
  <si>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</si>
  <si>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</si>
  <si>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</si>
  <si>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</si>
  <si>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</si>
  <si>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</si>
  <si>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</si>
  <si>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</si>
  <si>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</si>
  <si>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</si>
  <si>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</si>
  <si>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</si>
  <si>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</si>
  <si>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</si>
  <si>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</si>
  <si>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</si>
  <si>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</si>
  <si>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</si>
  <si>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</si>
  <si>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</si>
  <si>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</si>
  <si>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</si>
  <si>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</si>
  <si>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YES</t>
  </si>
  <si>
    <t>X,MNEM</t>
  </si>
  <si>
    <t xml:space="preserve"> </t>
  </si>
  <si>
    <t>Data'!$B$3</t>
  </si>
  <si>
    <t>OK</t>
  </si>
  <si>
    <t>TS</t>
  </si>
  <si>
    <t>RCM</t>
  </si>
  <si>
    <t>-10Y</t>
  </si>
  <si>
    <t>Quarterly</t>
  </si>
  <si>
    <t>Data'!$A$67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</si>
  <si>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</si>
  <si>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</si>
  <si>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</si>
  <si>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</si>
  <si>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</si>
  <si>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</si>
  <si>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</si>
  <si>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</si>
  <si>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</si>
  <si>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</si>
  <si>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</si>
  <si>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</si>
  <si>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</si>
  <si>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</si>
  <si>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</si>
  <si>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</si>
  <si>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UNITED STATES</t>
  </si>
  <si>
    <t>JAPAN</t>
  </si>
  <si>
    <t>AUSTRALIA</t>
  </si>
  <si>
    <t>NEW ZEALAND</t>
  </si>
  <si>
    <t>CANADA</t>
  </si>
  <si>
    <t>USGBOND.</t>
  </si>
  <si>
    <t>USUN%TOTQ</t>
  </si>
  <si>
    <t>USCNFCONQ</t>
  </si>
  <si>
    <t>USINTER3</t>
  </si>
  <si>
    <t>PCH#(USGDP...C,1Y)</t>
  </si>
  <si>
    <t>USCURBALB</t>
  </si>
  <si>
    <t>PCH#(USM2....B,1Y)</t>
  </si>
  <si>
    <t>JPCNFCONQ</t>
  </si>
  <si>
    <t>JPGBOND.</t>
  </si>
  <si>
    <t>PCH#(JPGDP...C,1Y)</t>
  </si>
  <si>
    <t>JPVISBOPA</t>
  </si>
  <si>
    <t>JPCURBALA</t>
  </si>
  <si>
    <t>PCH#(JPM4....A,1Y)</t>
  </si>
  <si>
    <t>JPUN%TOTQ</t>
  </si>
  <si>
    <t>JPMSHORT</t>
  </si>
  <si>
    <t>AUGBOND.</t>
  </si>
  <si>
    <t>PCH#(AUGDP...C,1Y)</t>
  </si>
  <si>
    <t>AUVISBOPA</t>
  </si>
  <si>
    <t>AUCURBALB</t>
  </si>
  <si>
    <t>ECAUDST</t>
  </si>
  <si>
    <t>PCH#(AUM3....B,1Y)</t>
  </si>
  <si>
    <t>AUCNFCONR</t>
  </si>
  <si>
    <t>AUUN%TOTR</t>
  </si>
  <si>
    <t>PCH#(CNM2....B,1Y)</t>
  </si>
  <si>
    <t>CNGBOND.</t>
  </si>
  <si>
    <t>PCH#(CNGDP...C,1Y)</t>
  </si>
  <si>
    <t>CNVISBOPA</t>
  </si>
  <si>
    <t>CNCURBALB</t>
  </si>
  <si>
    <t>CNUN%TOTQ</t>
  </si>
  <si>
    <t>CNCNFCONR</t>
  </si>
  <si>
    <t>ECCADST</t>
  </si>
  <si>
    <t>NZCNFCONR</t>
  </si>
  <si>
    <t>NZGBOND.</t>
  </si>
  <si>
    <t>ECNZDST</t>
  </si>
  <si>
    <t>PCH#(NZGDP...C,1Y)</t>
  </si>
  <si>
    <t>NZVISBOPA</t>
  </si>
  <si>
    <t>NZCURBALB</t>
  </si>
  <si>
    <t>NZUN%TOTR</t>
  </si>
  <si>
    <t>PCH#(NZM3....A,1Y)</t>
  </si>
  <si>
    <t>CHINA</t>
  </si>
  <si>
    <t>RUSSIA</t>
  </si>
  <si>
    <t xml:space="preserve">CHINA </t>
  </si>
  <si>
    <t>USVISBOPB</t>
  </si>
  <si>
    <t>ECUKPST</t>
  </si>
  <si>
    <t>UKCCIPSOR</t>
  </si>
  <si>
    <t>AUCPANNL</t>
  </si>
  <si>
    <t>JPCPANNL</t>
  </si>
  <si>
    <t>USCPANNL</t>
  </si>
  <si>
    <t>CNCPANNL</t>
  </si>
  <si>
    <t>NZCPANNL</t>
  </si>
  <si>
    <t xml:space="preserve"> OVERVIEW PAYS - VS</t>
  </si>
  <si>
    <t>CN UNEMPLOYMENT RATE (15 YRS &amp; OVER) SADJ</t>
  </si>
  <si>
    <t>CN CONSUMER CONFIDENCE INDEX NADJ</t>
  </si>
  <si>
    <t>CN CPI (%YOY) NADJ</t>
  </si>
  <si>
    <t>CN MONEY SUPPLY M2 CURA</t>
  </si>
  <si>
    <t>CN GOVERNMENT BOND YIELD - OVER 10 YEARS (EP) NADJ</t>
  </si>
  <si>
    <t>CANADIAN DOLLAR S/T CANADIAN DOLLAR - MIDDLE RATE</t>
  </si>
  <si>
    <t>CN GDP AT MARKET PRICES CONN</t>
  </si>
  <si>
    <t>CN VISIBLE TRADE BALANCE (BALANCE OF PAYMENTS BASIS) CURN</t>
  </si>
  <si>
    <t>CN BOP: CURRENT ACCOUNT BALANCE CURA</t>
  </si>
  <si>
    <t>ECSWFST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</si>
</sst>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17"/>
      <color theme="0"/>
      <name val="Arial"/>
      <family val="2"/>
    </font>
    <font>
      <sz val="11"/>
      <color theme="1"/>
      <name val="Arial"/>
      <family val="2"/>
    </font>
    <font>
      <sz val="15"/>
      <color theme="1"/>
      <name val="Arial"/>
      <family val="2"/>
    </font>
    <font>
      <sz val="15"/>
      <color rgb="FF151516"/>
      <name val="Arial"/>
      <family val="2"/>
    </font>
    <font>
      <sz val="11"/>
      <color theme="1"/>
      <name val="Arial"/>
      <family val="2"/>
      <charset val="238"/>
    </font>
    <font>
      <sz val="10"/>
      <color theme="1"/>
      <name val="Arial"/>
      <family val="2"/>
    </font>
    <font>
      <sz val="10"/>
      <color indexed="60"/>
      <name val="Arial"/>
      <family val="2"/>
    </font>
    <font>
      <b/>
      <sz val="10"/>
      <color theme="1"/>
      <name val="Arial"/>
      <family val="2"/>
      <charset val="238"/>
    </font>
    <font>
      <b/>
      <sz val="10"/>
      <color indexed="60"/>
      <name val="Arial"/>
      <family val="2"/>
    </font>
    <font>
      <b/>
      <sz val="10"/>
      <color rgb="FF000000"/>
      <name val="Arial"/>
      <family val="2"/>
    </font>
    <font>
      <sz val="10"/>
      <color rgb="FF993300"/>
      <name val="Arial"/>
      <family val="2"/>
    </font>
    <font>
      <b/>
      <sz val="8"/>
      <name val="Arial"/>
      <family val="2"/>
    </font>
    <font>
      <sz val="14"/>
      <color theme="1"/>
      <name val="Arial"/>
      <family val="2"/>
    </font>
    <font>
      <sz val="48"/>
      <color theme="1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001EFF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3C3C3C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Alignment="0" applyProtection="0"/>
  </cellStyleXfs>
  <cellXfs count="9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10" fillId="2" borderId="0" xfId="0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2" xfId="0" applyNumberFormat="1" applyFont="1" applyBorder="1" applyAlignment="1">
      <alignment horizontal="center" vertical="center"/>
    </xf>
    <xf numFmtId="49" fontId="18" fillId="0" borderId="2" xfId="0" applyNumberFormat="1" applyFont="1" applyBorder="1" applyAlignment="1">
      <alignment vertical="center"/>
    </xf>
    <xf numFmtId="0" fontId="19" fillId="5" borderId="3" xfId="0" applyFont="1" applyFill="1" applyBorder="1" applyAlignment="1">
      <alignment vertical="center"/>
    </xf>
    <xf numFmtId="0" fontId="20" fillId="0" borderId="0" xfId="0" applyFont="1"/>
    <xf numFmtId="0" fontId="21" fillId="0" borderId="0" xfId="0" applyFont="1"/>
    <xf numFmtId="0" fontId="22" fillId="6" borderId="0" xfId="0" applyFont="1" applyFill="1"/>
    <xf numFmtId="0" fontId="18" fillId="0" borderId="0" xfId="0" applyFont="1"/>
    <xf numFmtId="0" fontId="23" fillId="0" borderId="0" xfId="0" applyFont="1"/>
    <xf numFmtId="0" fontId="24" fillId="0" borderId="0" xfId="0" applyFont="1"/>
    <xf numFmtId="0" fontId="25" fillId="0" borderId="0" xfId="1" applyFont="1"/>
    <xf numFmtId="0" fontId="25" fillId="0" borderId="0" xfId="1" applyFont="1" applyAlignment="1">
      <alignment horizontal="center"/>
    </xf>
    <xf numFmtId="0" fontId="2" fillId="0" borderId="2" xfId="1" applyBorder="1" applyAlignment="1">
      <alignment vertical="top" wrapText="1"/>
    </xf>
    <xf numFmtId="0" fontId="2" fillId="0" borderId="2" xfId="1" applyBorder="1" applyAlignment="1">
      <alignment horizontal="right" vertical="top" wrapText="1"/>
    </xf>
    <xf numFmtId="0" fontId="2" fillId="0" borderId="2" xfId="1" quotePrefix="1" applyBorder="1" applyAlignment="1">
      <alignment vertical="top" wrapText="1"/>
    </xf>
    <xf numFmtId="0" fontId="2" fillId="0" borderId="2" xfId="1" applyBorder="1" applyAlignment="1">
      <alignment horizontal="center" vertical="top" wrapText="1"/>
    </xf>
    <xf numFmtId="0" fontId="2" fillId="7" borderId="0" xfId="0" applyFont="1" applyFill="1"/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vertical="center"/>
    </xf>
    <xf numFmtId="49" fontId="18" fillId="0" borderId="5" xfId="0" applyNumberFormat="1" applyFont="1" applyBorder="1" applyAlignment="1">
      <alignment vertical="center"/>
    </xf>
    <xf numFmtId="49" fontId="29" fillId="0" borderId="2" xfId="0" applyNumberFormat="1" applyFont="1" applyBorder="1" applyAlignment="1">
      <alignment vertical="center"/>
    </xf>
    <xf numFmtId="1" fontId="29" fillId="0" borderId="2" xfId="0" quotePrefix="1" applyNumberFormat="1" applyFont="1" applyBorder="1" applyAlignment="1">
      <alignment horizontal="left"/>
    </xf>
    <xf numFmtId="0" fontId="29" fillId="0" borderId="2" xfId="0" applyFont="1" applyBorder="1"/>
    <xf numFmtId="21" fontId="29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2" xfId="0" applyNumberFormat="1" applyFont="1" applyBorder="1" applyAlignment="1">
      <alignment vertical="center"/>
    </xf>
    <xf numFmtId="1" fontId="2" fillId="0" borderId="2" xfId="0" quotePrefix="1" applyNumberFormat="1" applyFont="1" applyBorder="1" applyAlignment="1">
      <alignment horizontal="left"/>
    </xf>
    <xf numFmtId="0" fontId="2" fillId="0" borderId="2" xfId="0" applyFont="1" applyBorder="1"/>
    <xf numFmtId="21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quotePrefix="1" applyNumberFormat="1" applyFont="1" applyBorder="1" applyAlignment="1">
      <alignment vertical="center"/>
    </xf>
    <xf numFmtId="0" fontId="2" fillId="0" borderId="2" xfId="0" applyFont="1" applyBorder="1" applyAlignment="1">
      <alignment horizontal="center"/>
    </xf>
    <xf numFmtId="0" fontId="10" fillId="7" borderId="0" xfId="0" applyFont="1" applyFill="1"/>
    <xf numFmtId="49" fontId="2" fillId="0" borderId="0" xfId="0" applyNumberFormat="1" applyFont="1" applyAlignment="1">
      <alignment horizontal="left"/>
    </xf>
    <xf numFmtId="49" fontId="18" fillId="0" borderId="2" xfId="0" quotePrefix="1" applyNumberFormat="1" applyFont="1" applyBorder="1" applyAlignment="1">
      <alignment horizontal="left" vertical="center"/>
    </xf>
    <xf numFmtId="0" fontId="24" fillId="2" borderId="0" xfId="0" applyFont="1" applyFill="1"/>
    <xf numFmtId="0" fontId="2" fillId="2" borderId="2" xfId="1" applyFill="1" applyBorder="1" applyAlignment="1">
      <alignment vertical="top" wrapText="1"/>
    </xf>
    <xf numFmtId="0" fontId="20" fillId="8" borderId="0" xfId="0" applyFont="1" applyFill="1"/>
    <xf numFmtId="0" fontId="25" fillId="9" borderId="0" xfId="1" applyFont="1" applyFill="1"/>
    <xf numFmtId="0" fontId="26" fillId="9" borderId="0" xfId="1" applyFont="1" applyFill="1" applyAlignment="1">
      <alignment vertical="center"/>
    </xf>
    <xf numFmtId="0" fontId="27" fillId="9" borderId="0" xfId="1" applyFont="1" applyFill="1" applyAlignment="1">
      <alignment horizontal="center"/>
    </xf>
    <xf numFmtId="0" fontId="25" fillId="9" borderId="0" xfId="1" applyFont="1" applyFill="1" applyAlignment="1">
      <alignment horizontal="center"/>
    </xf>
    <xf numFmtId="4" fontId="8" fillId="9" borderId="4" xfId="2" applyNumberFormat="1" applyFill="1" applyBorder="1" applyAlignment="1">
      <alignment horizontal="center" vertical="center"/>
    </xf>
    <xf numFmtId="0" fontId="28" fillId="9" borderId="0" xfId="1" applyFont="1" applyFill="1" applyAlignment="1">
      <alignment horizontal="left" wrapText="1" indent="1"/>
    </xf>
    <xf numFmtId="4" fontId="27" fillId="9" borderId="0" xfId="1" applyNumberFormat="1" applyFont="1" applyFill="1" applyAlignment="1">
      <alignment horizontal="center"/>
    </xf>
    <xf numFmtId="3" fontId="27" fillId="9" borderId="0" xfId="1" applyNumberFormat="1" applyFont="1" applyFill="1" applyAlignment="1">
      <alignment horizontal="center"/>
    </xf>
    <xf numFmtId="0" fontId="30" fillId="9" borderId="4" xfId="1" applyFont="1" applyFill="1" applyBorder="1" applyAlignment="1">
      <alignment horizontal="center" vertical="top" wrapText="1"/>
    </xf>
    <xf numFmtId="0" fontId="31" fillId="8" borderId="0" xfId="0" quotePrefix="1" applyFont="1" applyFill="1" applyAlignment="1">
      <alignment horizontal="center" vertical="center"/>
    </xf>
    <xf numFmtId="0" fontId="32" fillId="8" borderId="0" xfId="0" quotePrefix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B85AA5FA-5159-453A-BEDB-693058BA0934}"/>
    <cellStyle name="TR_OutputData2" xfId="2" xr:uid="{2D77D5D7-D3D2-49CD-AFCE-DE4720CEE289}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063248003613001E-2"/>
          <c:y val="9.2593150759251786E-2"/>
          <c:w val="0.92492763738632555"/>
          <c:h val="0.567904657990079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Data!$M$69</c:f>
              <c:strCache>
                <c:ptCount val="1"/>
                <c:pt idx="0">
                  <c:v>UNEMPLOYMENT RATE</c:v>
                </c:pt>
              </c:strCache>
            </c:strRef>
          </c:tx>
          <c:invertIfNegative val="0"/>
          <c:cat>
            <c:strRef>
              <c:f>Data!$L$70:$L$109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Data!$M$70:$M$109</c:f>
              <c:numCache>
                <c:formatCode>General</c:formatCode>
                <c:ptCount val="40"/>
                <c:pt idx="0">
                  <c:v>7.2</c:v>
                </c:pt>
                <c:pt idx="1">
                  <c:v>7</c:v>
                </c:pt>
                <c:pt idx="2">
                  <c:v>6.8</c:v>
                </c:pt>
                <c:pt idx="3">
                  <c:v>6.8</c:v>
                </c:pt>
                <c:pt idx="4">
                  <c:v>6.9</c:v>
                </c:pt>
                <c:pt idx="5">
                  <c:v>7</c:v>
                </c:pt>
                <c:pt idx="6">
                  <c:v>7.1</c:v>
                </c:pt>
                <c:pt idx="7">
                  <c:v>7.3</c:v>
                </c:pt>
                <c:pt idx="8">
                  <c:v>7.1</c:v>
                </c:pt>
                <c:pt idx="9">
                  <c:v>6.9</c:v>
                </c:pt>
                <c:pt idx="10">
                  <c:v>6.9</c:v>
                </c:pt>
                <c:pt idx="11">
                  <c:v>6.7</c:v>
                </c:pt>
                <c:pt idx="12">
                  <c:v>6.5</c:v>
                </c:pt>
                <c:pt idx="13">
                  <c:v>6.2</c:v>
                </c:pt>
                <c:pt idx="14">
                  <c:v>6.2</c:v>
                </c:pt>
                <c:pt idx="15">
                  <c:v>5.9</c:v>
                </c:pt>
                <c:pt idx="16">
                  <c:v>5.9</c:v>
                </c:pt>
                <c:pt idx="17">
                  <c:v>5.9</c:v>
                </c:pt>
                <c:pt idx="18">
                  <c:v>5.7</c:v>
                </c:pt>
                <c:pt idx="19">
                  <c:v>5.8</c:v>
                </c:pt>
                <c:pt idx="20">
                  <c:v>5.6</c:v>
                </c:pt>
                <c:pt idx="21">
                  <c:v>5.7</c:v>
                </c:pt>
                <c:pt idx="22">
                  <c:v>5.7</c:v>
                </c:pt>
                <c:pt idx="23">
                  <c:v>6.5</c:v>
                </c:pt>
                <c:pt idx="24">
                  <c:v>13.4</c:v>
                </c:pt>
                <c:pt idx="25">
                  <c:v>10.1</c:v>
                </c:pt>
                <c:pt idx="26">
                  <c:v>8.9</c:v>
                </c:pt>
                <c:pt idx="27">
                  <c:v>8.5</c:v>
                </c:pt>
                <c:pt idx="28">
                  <c:v>8.1</c:v>
                </c:pt>
                <c:pt idx="29">
                  <c:v>7.2</c:v>
                </c:pt>
                <c:pt idx="30">
                  <c:v>6.2</c:v>
                </c:pt>
                <c:pt idx="31">
                  <c:v>5.8</c:v>
                </c:pt>
                <c:pt idx="32">
                  <c:v>5.2</c:v>
                </c:pt>
                <c:pt idx="33">
                  <c:v>5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5.3</c:v>
                </c:pt>
                <c:pt idx="37">
                  <c:v>5.5</c:v>
                </c:pt>
                <c:pt idx="38">
                  <c:v>5.8</c:v>
                </c:pt>
                <c:pt idx="39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4-4AF8-9407-E046B82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30"/>
        <c:axId val="766795136"/>
        <c:axId val="776295936"/>
      </c:barChart>
      <c:catAx>
        <c:axId val="7667951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77629593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7762959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6679513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14506944860722E-2"/>
          <c:y val="9.2593150759251786E-2"/>
          <c:w val="0.89521088956494499"/>
          <c:h val="0.56790465799007961"/>
        </c:manualLayout>
      </c:layout>
      <c:lineChart>
        <c:grouping val="standard"/>
        <c:varyColors val="0"/>
        <c:ser>
          <c:idx val="0"/>
          <c:order val="0"/>
          <c:tx>
            <c:strRef>
              <c:f>Data!$P$69</c:f>
              <c:strCache>
                <c:ptCount val="1"/>
                <c:pt idx="0">
                  <c:v>CONSUMER CONFIDENCE</c:v>
                </c:pt>
              </c:strCache>
            </c:strRef>
          </c:tx>
          <c:marker>
            <c:symbol val="none"/>
          </c:marker>
          <c:cat>
            <c:strRef>
              <c:f>Data!$O$70:$O$109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Data!$P$70:$P$109</c:f>
              <c:numCache>
                <c:formatCode>General</c:formatCode>
                <c:ptCount val="40"/>
                <c:pt idx="0">
                  <c:v>54.8</c:v>
                </c:pt>
                <c:pt idx="1">
                  <c:v>55.87</c:v>
                </c:pt>
                <c:pt idx="2">
                  <c:v>53.59</c:v>
                </c:pt>
                <c:pt idx="3">
                  <c:v>51.55</c:v>
                </c:pt>
                <c:pt idx="4">
                  <c:v>51.79</c:v>
                </c:pt>
                <c:pt idx="5">
                  <c:v>50.83</c:v>
                </c:pt>
                <c:pt idx="6">
                  <c:v>51.84</c:v>
                </c:pt>
                <c:pt idx="7">
                  <c:v>48.13</c:v>
                </c:pt>
                <c:pt idx="8">
                  <c:v>52.96</c:v>
                </c:pt>
                <c:pt idx="9">
                  <c:v>52.95</c:v>
                </c:pt>
                <c:pt idx="10">
                  <c:v>51.62</c:v>
                </c:pt>
                <c:pt idx="11">
                  <c:v>50.81</c:v>
                </c:pt>
                <c:pt idx="12">
                  <c:v>52.99</c:v>
                </c:pt>
                <c:pt idx="13">
                  <c:v>54.81</c:v>
                </c:pt>
                <c:pt idx="14">
                  <c:v>54.88</c:v>
                </c:pt>
                <c:pt idx="15">
                  <c:v>54.82</c:v>
                </c:pt>
                <c:pt idx="16">
                  <c:v>55.4</c:v>
                </c:pt>
                <c:pt idx="17">
                  <c:v>55.17</c:v>
                </c:pt>
                <c:pt idx="18">
                  <c:v>54.91</c:v>
                </c:pt>
                <c:pt idx="19">
                  <c:v>54.46</c:v>
                </c:pt>
                <c:pt idx="20">
                  <c:v>53.74</c:v>
                </c:pt>
                <c:pt idx="21">
                  <c:v>54.37</c:v>
                </c:pt>
                <c:pt idx="22">
                  <c:v>52.95</c:v>
                </c:pt>
                <c:pt idx="23">
                  <c:v>52.83</c:v>
                </c:pt>
                <c:pt idx="24">
                  <c:v>38.79</c:v>
                </c:pt>
                <c:pt idx="25">
                  <c:v>44.47</c:v>
                </c:pt>
                <c:pt idx="26">
                  <c:v>43.94</c:v>
                </c:pt>
                <c:pt idx="27">
                  <c:v>48.19</c:v>
                </c:pt>
                <c:pt idx="28">
                  <c:v>50.84</c:v>
                </c:pt>
                <c:pt idx="29">
                  <c:v>54.56</c:v>
                </c:pt>
                <c:pt idx="30">
                  <c:v>53.91</c:v>
                </c:pt>
                <c:pt idx="31">
                  <c:v>50.67</c:v>
                </c:pt>
                <c:pt idx="32">
                  <c:v>50.88</c:v>
                </c:pt>
                <c:pt idx="33">
                  <c:v>50.27</c:v>
                </c:pt>
                <c:pt idx="34">
                  <c:v>48.15</c:v>
                </c:pt>
                <c:pt idx="35">
                  <c:v>47.86</c:v>
                </c:pt>
                <c:pt idx="36">
                  <c:v>50.07</c:v>
                </c:pt>
                <c:pt idx="37">
                  <c:v>48.04</c:v>
                </c:pt>
                <c:pt idx="38">
                  <c:v>46.46</c:v>
                </c:pt>
                <c:pt idx="39">
                  <c:v>48.24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A-4BCB-A148-E0FF010F0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6705664"/>
        <c:axId val="896707200"/>
      </c:lineChart>
      <c:catAx>
        <c:axId val="8967056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89670720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89670720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967056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9951543209876549"/>
          <c:y val="4.7037037037037085E-2"/>
          <c:w val="0.60096882716049405"/>
          <c:h val="0.14176111111111123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850408826500792E-2"/>
          <c:y val="9.2593150759251786E-2"/>
          <c:w val="0.91317498768330674"/>
          <c:h val="0.56790465799007961"/>
        </c:manualLayout>
      </c:layout>
      <c:lineChart>
        <c:grouping val="standard"/>
        <c:varyColors val="0"/>
        <c:ser>
          <c:idx val="0"/>
          <c:order val="0"/>
          <c:tx>
            <c:strRef>
              <c:f>Data!$S$69</c:f>
              <c:strCache>
                <c:ptCount val="1"/>
                <c:pt idx="0">
                  <c:v>INFLATION</c:v>
                </c:pt>
              </c:strCache>
            </c:strRef>
          </c:tx>
          <c:marker>
            <c:symbol val="none"/>
          </c:marker>
          <c:cat>
            <c:strRef>
              <c:f>Data!$R$70:$R$109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Data!$S$70:$S$109</c:f>
              <c:numCache>
                <c:formatCode>General</c:formatCode>
                <c:ptCount val="40"/>
                <c:pt idx="0">
                  <c:v>2.08</c:v>
                </c:pt>
                <c:pt idx="1">
                  <c:v>1.93</c:v>
                </c:pt>
                <c:pt idx="2">
                  <c:v>1.07</c:v>
                </c:pt>
                <c:pt idx="3">
                  <c:v>0.9</c:v>
                </c:pt>
                <c:pt idx="4">
                  <c:v>1.19</c:v>
                </c:pt>
                <c:pt idx="5">
                  <c:v>1.33</c:v>
                </c:pt>
                <c:pt idx="6">
                  <c:v>1.54</c:v>
                </c:pt>
                <c:pt idx="7">
                  <c:v>1.55</c:v>
                </c:pt>
                <c:pt idx="8">
                  <c:v>1.23</c:v>
                </c:pt>
                <c:pt idx="9">
                  <c:v>1.39</c:v>
                </c:pt>
                <c:pt idx="10">
                  <c:v>1.91</c:v>
                </c:pt>
                <c:pt idx="11">
                  <c:v>1.32</c:v>
                </c:pt>
                <c:pt idx="12">
                  <c:v>1.37</c:v>
                </c:pt>
                <c:pt idx="13">
                  <c:v>1.79</c:v>
                </c:pt>
                <c:pt idx="14">
                  <c:v>2.06</c:v>
                </c:pt>
                <c:pt idx="15">
                  <c:v>2.2999999999999998</c:v>
                </c:pt>
                <c:pt idx="16">
                  <c:v>2.68</c:v>
                </c:pt>
                <c:pt idx="17">
                  <c:v>2.04</c:v>
                </c:pt>
                <c:pt idx="18">
                  <c:v>1.61</c:v>
                </c:pt>
                <c:pt idx="19">
                  <c:v>2.15</c:v>
                </c:pt>
                <c:pt idx="20">
                  <c:v>1.94</c:v>
                </c:pt>
                <c:pt idx="21">
                  <c:v>2.1</c:v>
                </c:pt>
                <c:pt idx="22">
                  <c:v>1.81</c:v>
                </c:pt>
                <c:pt idx="23">
                  <c:v>0.02</c:v>
                </c:pt>
                <c:pt idx="24">
                  <c:v>0.27</c:v>
                </c:pt>
                <c:pt idx="25">
                  <c:v>0.78</c:v>
                </c:pt>
                <c:pt idx="26">
                  <c:v>1.44</c:v>
                </c:pt>
                <c:pt idx="27">
                  <c:v>3.35</c:v>
                </c:pt>
                <c:pt idx="28">
                  <c:v>4.0599999999999996</c:v>
                </c:pt>
                <c:pt idx="29">
                  <c:v>4.7300000000000004</c:v>
                </c:pt>
                <c:pt idx="30">
                  <c:v>5.83</c:v>
                </c:pt>
                <c:pt idx="31">
                  <c:v>7.54</c:v>
                </c:pt>
                <c:pt idx="32">
                  <c:v>7.15</c:v>
                </c:pt>
                <c:pt idx="33">
                  <c:v>6.67</c:v>
                </c:pt>
                <c:pt idx="34">
                  <c:v>5.15</c:v>
                </c:pt>
                <c:pt idx="35">
                  <c:v>3.53</c:v>
                </c:pt>
                <c:pt idx="36">
                  <c:v>3.69</c:v>
                </c:pt>
                <c:pt idx="37">
                  <c:v>3.21</c:v>
                </c:pt>
                <c:pt idx="38">
                  <c:v>2.85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7-4CFD-96BE-42BCF1CC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965440"/>
        <c:axId val="937966976"/>
      </c:lineChart>
      <c:catAx>
        <c:axId val="9379654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93796697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93796697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3796544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415110554700964E-2"/>
          <c:y val="8.5227001228996693E-2"/>
          <c:w val="0.92515105309554846"/>
          <c:h val="0.602272727272727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Data!$AB$69</c:f>
              <c:strCache>
                <c:ptCount val="1"/>
                <c:pt idx="0">
                  <c:v>SHORT TERM INT.RATE </c:v>
                </c:pt>
              </c:strCache>
            </c:strRef>
          </c:tx>
          <c:invertIfNegative val="0"/>
          <c:cat>
            <c:strRef>
              <c:f>Data!$AA$70:$AA$109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Data!$AB$70:$AB$109</c:f>
              <c:numCache>
                <c:formatCode>General</c:formatCode>
                <c:ptCount val="40"/>
                <c:pt idx="0">
                  <c:v>1.105</c:v>
                </c:pt>
                <c:pt idx="1">
                  <c:v>1.075</c:v>
                </c:pt>
                <c:pt idx="2">
                  <c:v>0.93</c:v>
                </c:pt>
                <c:pt idx="3">
                  <c:v>0.63500000000000001</c:v>
                </c:pt>
                <c:pt idx="4">
                  <c:v>0.78</c:v>
                </c:pt>
                <c:pt idx="5">
                  <c:v>0.35499999999999998</c:v>
                </c:pt>
                <c:pt idx="6">
                  <c:v>0.315</c:v>
                </c:pt>
                <c:pt idx="7">
                  <c:v>0.47</c:v>
                </c:pt>
                <c:pt idx="8">
                  <c:v>0.48499999999999999</c:v>
                </c:pt>
                <c:pt idx="9">
                  <c:v>0.23499999999999999</c:v>
                </c:pt>
                <c:pt idx="10">
                  <c:v>0.16500000000000001</c:v>
                </c:pt>
                <c:pt idx="11">
                  <c:v>0.5</c:v>
                </c:pt>
                <c:pt idx="12">
                  <c:v>0.6</c:v>
                </c:pt>
                <c:pt idx="13">
                  <c:v>1.1499999999999999</c:v>
                </c:pt>
                <c:pt idx="14">
                  <c:v>0.95</c:v>
                </c:pt>
                <c:pt idx="15">
                  <c:v>1.3</c:v>
                </c:pt>
                <c:pt idx="16">
                  <c:v>1.35</c:v>
                </c:pt>
                <c:pt idx="17">
                  <c:v>1.35</c:v>
                </c:pt>
                <c:pt idx="18">
                  <c:v>1.5</c:v>
                </c:pt>
                <c:pt idx="19">
                  <c:v>1.65</c:v>
                </c:pt>
                <c:pt idx="20">
                  <c:v>1.65</c:v>
                </c:pt>
                <c:pt idx="21">
                  <c:v>1.48</c:v>
                </c:pt>
                <c:pt idx="22">
                  <c:v>1.62</c:v>
                </c:pt>
                <c:pt idx="23">
                  <c:v>1.4</c:v>
                </c:pt>
                <c:pt idx="24">
                  <c:v>0.12</c:v>
                </c:pt>
                <c:pt idx="25">
                  <c:v>7.0000000000000007E-2</c:v>
                </c:pt>
                <c:pt idx="26">
                  <c:v>0</c:v>
                </c:pt>
                <c:pt idx="27">
                  <c:v>0</c:v>
                </c:pt>
                <c:pt idx="28">
                  <c:v>0.11</c:v>
                </c:pt>
                <c:pt idx="29">
                  <c:v>0.14499999999999999</c:v>
                </c:pt>
                <c:pt idx="30">
                  <c:v>0.25</c:v>
                </c:pt>
                <c:pt idx="31">
                  <c:v>0.27</c:v>
                </c:pt>
                <c:pt idx="32">
                  <c:v>1.65</c:v>
                </c:pt>
                <c:pt idx="33">
                  <c:v>3.4</c:v>
                </c:pt>
                <c:pt idx="34">
                  <c:v>4.085</c:v>
                </c:pt>
                <c:pt idx="35">
                  <c:v>4.51</c:v>
                </c:pt>
                <c:pt idx="36">
                  <c:v>4.7</c:v>
                </c:pt>
                <c:pt idx="37">
                  <c:v>4.8499999999999996</c:v>
                </c:pt>
                <c:pt idx="38">
                  <c:v>4.9950000000000001</c:v>
                </c:pt>
                <c:pt idx="39">
                  <c:v>4.8600000000000003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7-472F-914E-757B41F05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949152768"/>
        <c:axId val="949245440"/>
      </c:barChart>
      <c:catAx>
        <c:axId val="949152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94924544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94924544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4915276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081318861788113E-2"/>
          <c:y val="8.522727272727311E-2"/>
          <c:w val="0.9069095665281508"/>
          <c:h val="0.602272727272727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Data!$V$69</c:f>
              <c:strCache>
                <c:ptCount val="1"/>
                <c:pt idx="0">
                  <c:v>MONEY SUPPLY %</c:v>
                </c:pt>
              </c:strCache>
            </c:strRef>
          </c:tx>
          <c:invertIfNegative val="0"/>
          <c:cat>
            <c:strRef>
              <c:f>Data!$U$70:$U$109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Data!$V$70:$V$109</c:f>
              <c:numCache>
                <c:formatCode>General</c:formatCode>
                <c:ptCount val="40"/>
                <c:pt idx="0">
                  <c:v>5.48</c:v>
                </c:pt>
                <c:pt idx="1">
                  <c:v>5.54</c:v>
                </c:pt>
                <c:pt idx="2">
                  <c:v>4.75</c:v>
                </c:pt>
                <c:pt idx="3">
                  <c:v>4.9400000000000004</c:v>
                </c:pt>
                <c:pt idx="4">
                  <c:v>5.08</c:v>
                </c:pt>
                <c:pt idx="5">
                  <c:v>5.99</c:v>
                </c:pt>
                <c:pt idx="6">
                  <c:v>5.97</c:v>
                </c:pt>
                <c:pt idx="7">
                  <c:v>6.71</c:v>
                </c:pt>
                <c:pt idx="8">
                  <c:v>7.55</c:v>
                </c:pt>
                <c:pt idx="9">
                  <c:v>7.56</c:v>
                </c:pt>
                <c:pt idx="10">
                  <c:v>8.34</c:v>
                </c:pt>
                <c:pt idx="11">
                  <c:v>8.25</c:v>
                </c:pt>
                <c:pt idx="12">
                  <c:v>8.27</c:v>
                </c:pt>
                <c:pt idx="13">
                  <c:v>5.84</c:v>
                </c:pt>
                <c:pt idx="14">
                  <c:v>5.96</c:v>
                </c:pt>
                <c:pt idx="15">
                  <c:v>5.3</c:v>
                </c:pt>
                <c:pt idx="16">
                  <c:v>3.65</c:v>
                </c:pt>
                <c:pt idx="17">
                  <c:v>4.6100000000000003</c:v>
                </c:pt>
                <c:pt idx="18">
                  <c:v>5.51</c:v>
                </c:pt>
                <c:pt idx="19">
                  <c:v>5.58</c:v>
                </c:pt>
                <c:pt idx="20">
                  <c:v>7.29</c:v>
                </c:pt>
                <c:pt idx="21">
                  <c:v>8.11</c:v>
                </c:pt>
                <c:pt idx="22">
                  <c:v>7.77</c:v>
                </c:pt>
                <c:pt idx="23">
                  <c:v>9.56</c:v>
                </c:pt>
                <c:pt idx="24">
                  <c:v>16.21</c:v>
                </c:pt>
                <c:pt idx="25">
                  <c:v>18.07</c:v>
                </c:pt>
                <c:pt idx="26">
                  <c:v>18.059999999999999</c:v>
                </c:pt>
                <c:pt idx="27">
                  <c:v>17.12</c:v>
                </c:pt>
                <c:pt idx="28">
                  <c:v>11.85</c:v>
                </c:pt>
                <c:pt idx="29">
                  <c:v>9.81</c:v>
                </c:pt>
                <c:pt idx="30">
                  <c:v>8.7899999999999991</c:v>
                </c:pt>
                <c:pt idx="31">
                  <c:v>7.81</c:v>
                </c:pt>
                <c:pt idx="32">
                  <c:v>5.56</c:v>
                </c:pt>
                <c:pt idx="33">
                  <c:v>4.1900000000000004</c:v>
                </c:pt>
                <c:pt idx="34">
                  <c:v>3.53</c:v>
                </c:pt>
                <c:pt idx="35">
                  <c:v>3.12</c:v>
                </c:pt>
                <c:pt idx="36">
                  <c:v>2.27</c:v>
                </c:pt>
                <c:pt idx="37">
                  <c:v>3.22</c:v>
                </c:pt>
                <c:pt idx="38">
                  <c:v>3.9</c:v>
                </c:pt>
                <c:pt idx="39">
                  <c:v>4.45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8-41F5-9425-212F90E9D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972896512"/>
        <c:axId val="1015439360"/>
      </c:barChart>
      <c:catAx>
        <c:axId val="972896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101543936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0154393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7289651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874343414260458E-2"/>
          <c:y val="8.522727272727311E-2"/>
          <c:w val="0.92515105309554846"/>
          <c:h val="0.60227272727272729"/>
        </c:manualLayout>
      </c:layout>
      <c:lineChart>
        <c:grouping val="standard"/>
        <c:varyColors val="0"/>
        <c:ser>
          <c:idx val="0"/>
          <c:order val="0"/>
          <c:tx>
            <c:strRef>
              <c:f>Data!$Y$69</c:f>
              <c:strCache>
                <c:ptCount val="1"/>
                <c:pt idx="0">
                  <c:v>LONG BOND YIELD</c:v>
                </c:pt>
              </c:strCache>
            </c:strRef>
          </c:tx>
          <c:marker>
            <c:symbol val="none"/>
          </c:marker>
          <c:cat>
            <c:strRef>
              <c:f>Data!$X$70:$X$109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Data!$Y$70:$Y$109</c:f>
              <c:numCache>
                <c:formatCode>General</c:formatCode>
                <c:ptCount val="40"/>
                <c:pt idx="0">
                  <c:v>2.72</c:v>
                </c:pt>
                <c:pt idx="1">
                  <c:v>2.61</c:v>
                </c:pt>
                <c:pt idx="2">
                  <c:v>2.2200000000000002</c:v>
                </c:pt>
                <c:pt idx="3">
                  <c:v>1.79</c:v>
                </c:pt>
                <c:pt idx="4">
                  <c:v>2.29</c:v>
                </c:pt>
                <c:pt idx="5">
                  <c:v>2.09</c:v>
                </c:pt>
                <c:pt idx="6">
                  <c:v>2.04</c:v>
                </c:pt>
                <c:pt idx="7">
                  <c:v>1.86</c:v>
                </c:pt>
                <c:pt idx="8">
                  <c:v>1.67</c:v>
                </c:pt>
                <c:pt idx="9">
                  <c:v>1.52</c:v>
                </c:pt>
                <c:pt idx="10">
                  <c:v>2.2400000000000002</c:v>
                </c:pt>
                <c:pt idx="11">
                  <c:v>2.14</c:v>
                </c:pt>
                <c:pt idx="12">
                  <c:v>1.99</c:v>
                </c:pt>
                <c:pt idx="13">
                  <c:v>2.42</c:v>
                </c:pt>
                <c:pt idx="14">
                  <c:v>2.15</c:v>
                </c:pt>
                <c:pt idx="15">
                  <c:v>2.2200000000000002</c:v>
                </c:pt>
                <c:pt idx="16">
                  <c:v>2.15</c:v>
                </c:pt>
                <c:pt idx="17">
                  <c:v>2.4300000000000002</c:v>
                </c:pt>
                <c:pt idx="18">
                  <c:v>2.12</c:v>
                </c:pt>
                <c:pt idx="19">
                  <c:v>1.76</c:v>
                </c:pt>
                <c:pt idx="20">
                  <c:v>1.7</c:v>
                </c:pt>
                <c:pt idx="21">
                  <c:v>1.54</c:v>
                </c:pt>
                <c:pt idx="22">
                  <c:v>1.67</c:v>
                </c:pt>
                <c:pt idx="23">
                  <c:v>1.25</c:v>
                </c:pt>
                <c:pt idx="24">
                  <c:v>0.95</c:v>
                </c:pt>
                <c:pt idx="25">
                  <c:v>0.99</c:v>
                </c:pt>
                <c:pt idx="26">
                  <c:v>1.1299999999999999</c:v>
                </c:pt>
                <c:pt idx="27">
                  <c:v>1.9</c:v>
                </c:pt>
                <c:pt idx="28">
                  <c:v>1.77</c:v>
                </c:pt>
                <c:pt idx="29">
                  <c:v>1.92</c:v>
                </c:pt>
                <c:pt idx="30">
                  <c:v>1.75</c:v>
                </c:pt>
                <c:pt idx="31">
                  <c:v>2.4500000000000002</c:v>
                </c:pt>
                <c:pt idx="32">
                  <c:v>3.24</c:v>
                </c:pt>
                <c:pt idx="33">
                  <c:v>3.03</c:v>
                </c:pt>
                <c:pt idx="34">
                  <c:v>3.31</c:v>
                </c:pt>
                <c:pt idx="35">
                  <c:v>3.06</c:v>
                </c:pt>
                <c:pt idx="36">
                  <c:v>3.15</c:v>
                </c:pt>
                <c:pt idx="37">
                  <c:v>3.93</c:v>
                </c:pt>
                <c:pt idx="38">
                  <c:v>3</c:v>
                </c:pt>
                <c:pt idx="39">
                  <c:v>3.38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834-9BD1-B1EF15297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685888"/>
        <c:axId val="461687424"/>
      </c:lineChart>
      <c:catAx>
        <c:axId val="4616858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46168742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616874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6168588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97932098765438E-2"/>
          <c:y val="5.3893209876543245E-2"/>
          <c:w val="0.91291559014754053"/>
          <c:h val="0.615384615384615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Data!$AE$69</c:f>
              <c:strCache>
                <c:ptCount val="1"/>
                <c:pt idx="0">
                  <c:v>REAL  GDP %</c:v>
                </c:pt>
              </c:strCache>
            </c:strRef>
          </c:tx>
          <c:invertIfNegative val="0"/>
          <c:cat>
            <c:strRef>
              <c:f>Data!$AD$70:$AD$109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Data!$AE$70:$AE$109</c:f>
              <c:numCache>
                <c:formatCode>General</c:formatCode>
                <c:ptCount val="40"/>
                <c:pt idx="0">
                  <c:v>3.3</c:v>
                </c:pt>
                <c:pt idx="1">
                  <c:v>3.3</c:v>
                </c:pt>
                <c:pt idx="2">
                  <c:v>2.4</c:v>
                </c:pt>
                <c:pt idx="3">
                  <c:v>2.2000000000000002</c:v>
                </c:pt>
                <c:pt idx="4">
                  <c:v>0.5</c:v>
                </c:pt>
                <c:pt idx="5">
                  <c:v>-0.1</c:v>
                </c:pt>
                <c:pt idx="6">
                  <c:v>0</c:v>
                </c:pt>
                <c:pt idx="7">
                  <c:v>0.5</c:v>
                </c:pt>
                <c:pt idx="8">
                  <c:v>-1.2</c:v>
                </c:pt>
                <c:pt idx="9">
                  <c:v>1.9</c:v>
                </c:pt>
                <c:pt idx="10">
                  <c:v>1.9</c:v>
                </c:pt>
                <c:pt idx="11">
                  <c:v>2.1</c:v>
                </c:pt>
                <c:pt idx="12">
                  <c:v>5.7</c:v>
                </c:pt>
                <c:pt idx="13">
                  <c:v>3.8</c:v>
                </c:pt>
                <c:pt idx="14">
                  <c:v>2.4</c:v>
                </c:pt>
                <c:pt idx="15">
                  <c:v>2.6</c:v>
                </c:pt>
                <c:pt idx="16">
                  <c:v>2.2999999999999998</c:v>
                </c:pt>
                <c:pt idx="17">
                  <c:v>3</c:v>
                </c:pt>
                <c:pt idx="18">
                  <c:v>3.1</c:v>
                </c:pt>
                <c:pt idx="19">
                  <c:v>2.2999999999999998</c:v>
                </c:pt>
                <c:pt idx="20">
                  <c:v>2.2000000000000002</c:v>
                </c:pt>
                <c:pt idx="21">
                  <c:v>1</c:v>
                </c:pt>
                <c:pt idx="22">
                  <c:v>2.5</c:v>
                </c:pt>
                <c:pt idx="23">
                  <c:v>-0.3</c:v>
                </c:pt>
                <c:pt idx="24">
                  <c:v>-12.1</c:v>
                </c:pt>
                <c:pt idx="25">
                  <c:v>-3.8</c:v>
                </c:pt>
                <c:pt idx="26">
                  <c:v>-3.6</c:v>
                </c:pt>
                <c:pt idx="27">
                  <c:v>0.1</c:v>
                </c:pt>
                <c:pt idx="28">
                  <c:v>13</c:v>
                </c:pt>
                <c:pt idx="29">
                  <c:v>4.0999999999999996</c:v>
                </c:pt>
                <c:pt idx="30">
                  <c:v>5.2</c:v>
                </c:pt>
                <c:pt idx="31">
                  <c:v>4.9000000000000004</c:v>
                </c:pt>
                <c:pt idx="32">
                  <c:v>4.8</c:v>
                </c:pt>
                <c:pt idx="33">
                  <c:v>4.7</c:v>
                </c:pt>
                <c:pt idx="34">
                  <c:v>2.2000000000000002</c:v>
                </c:pt>
                <c:pt idx="35">
                  <c:v>2.4</c:v>
                </c:pt>
                <c:pt idx="36">
                  <c:v>2</c:v>
                </c:pt>
                <c:pt idx="37">
                  <c:v>0.8</c:v>
                </c:pt>
                <c:pt idx="38">
                  <c:v>1.3</c:v>
                </c:pt>
                <c:pt idx="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3-42BC-9F81-941EEA114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461748096"/>
        <c:axId val="461749632"/>
      </c:barChart>
      <c:catAx>
        <c:axId val="4617480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6174963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6174963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617480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68885035912144"/>
          <c:y val="8.2417582417582416E-2"/>
          <c:w val="0.8323365461506862"/>
          <c:h val="0.615384615384615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Data!$AH$69</c:f>
              <c:strCache>
                <c:ptCount val="1"/>
                <c:pt idx="0">
                  <c:v>VIS TRADE BALANCE</c:v>
                </c:pt>
              </c:strCache>
            </c:strRef>
          </c:tx>
          <c:invertIfNegative val="0"/>
          <c:cat>
            <c:strRef>
              <c:f>Data!$AG$70:$AG$109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Data!$AH$70:$AH$109</c:f>
              <c:numCache>
                <c:formatCode>General</c:formatCode>
                <c:ptCount val="40"/>
                <c:pt idx="0">
                  <c:v>819.6</c:v>
                </c:pt>
                <c:pt idx="1">
                  <c:v>672.3</c:v>
                </c:pt>
                <c:pt idx="2">
                  <c:v>-477.5</c:v>
                </c:pt>
                <c:pt idx="3">
                  <c:v>-4832.8999999999996</c:v>
                </c:pt>
                <c:pt idx="4">
                  <c:v>-6815.4</c:v>
                </c:pt>
                <c:pt idx="5">
                  <c:v>-7657.7</c:v>
                </c:pt>
                <c:pt idx="6">
                  <c:v>-4445.3999999999996</c:v>
                </c:pt>
                <c:pt idx="7">
                  <c:v>-5049.1000000000004</c:v>
                </c:pt>
                <c:pt idx="8">
                  <c:v>-12403.1</c:v>
                </c:pt>
                <c:pt idx="9">
                  <c:v>-10720.8</c:v>
                </c:pt>
                <c:pt idx="10">
                  <c:v>3124.8</c:v>
                </c:pt>
                <c:pt idx="11">
                  <c:v>-374.8</c:v>
                </c:pt>
                <c:pt idx="12">
                  <c:v>-7455.1</c:v>
                </c:pt>
                <c:pt idx="13">
                  <c:v>-12203.1</c:v>
                </c:pt>
                <c:pt idx="14">
                  <c:v>-4466.5</c:v>
                </c:pt>
                <c:pt idx="15">
                  <c:v>-5607.5</c:v>
                </c:pt>
                <c:pt idx="16">
                  <c:v>-5915.4</c:v>
                </c:pt>
                <c:pt idx="17">
                  <c:v>-4582.6000000000004</c:v>
                </c:pt>
                <c:pt idx="18">
                  <c:v>-5699.8</c:v>
                </c:pt>
                <c:pt idx="19">
                  <c:v>-7016.6</c:v>
                </c:pt>
                <c:pt idx="20">
                  <c:v>-3341.2</c:v>
                </c:pt>
                <c:pt idx="21">
                  <c:v>-7522.3</c:v>
                </c:pt>
                <c:pt idx="22">
                  <c:v>-918.1</c:v>
                </c:pt>
                <c:pt idx="23">
                  <c:v>-8766.5</c:v>
                </c:pt>
                <c:pt idx="24">
                  <c:v>-10839.1</c:v>
                </c:pt>
                <c:pt idx="25">
                  <c:v>-13074.7</c:v>
                </c:pt>
                <c:pt idx="26">
                  <c:v>-7967.1</c:v>
                </c:pt>
                <c:pt idx="27">
                  <c:v>2166</c:v>
                </c:pt>
                <c:pt idx="28">
                  <c:v>-928</c:v>
                </c:pt>
                <c:pt idx="29">
                  <c:v>-1304.3</c:v>
                </c:pt>
                <c:pt idx="30">
                  <c:v>2526.1</c:v>
                </c:pt>
                <c:pt idx="31">
                  <c:v>11387.6</c:v>
                </c:pt>
                <c:pt idx="32">
                  <c:v>10207.799999999999</c:v>
                </c:pt>
                <c:pt idx="33">
                  <c:v>-3267.4</c:v>
                </c:pt>
                <c:pt idx="34">
                  <c:v>1378.5</c:v>
                </c:pt>
                <c:pt idx="35">
                  <c:v>5527</c:v>
                </c:pt>
                <c:pt idx="36">
                  <c:v>-7679.9</c:v>
                </c:pt>
                <c:pt idx="37">
                  <c:v>-4247.1000000000004</c:v>
                </c:pt>
                <c:pt idx="38">
                  <c:v>4547.6000000000004</c:v>
                </c:pt>
                <c:pt idx="39">
                  <c:v>2752.5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3D-476F-A2FE-01136BD23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520166016"/>
        <c:axId val="520221056"/>
      </c:barChart>
      <c:catAx>
        <c:axId val="520166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520221056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5202210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201660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7947673962299108"/>
          <c:y val="0.54212196565562731"/>
          <c:w val="0.45738674743284746"/>
          <c:h val="0.1463155902911174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15661410418458"/>
          <c:y val="8.2417582417582416E-2"/>
          <c:w val="0.8318342712857526"/>
          <c:h val="0.620879120879122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Data!$AK$69</c:f>
              <c:strCache>
                <c:ptCount val="1"/>
                <c:pt idx="0">
                  <c:v>CURRENT ACCOUNT BALANCE</c:v>
                </c:pt>
              </c:strCache>
            </c:strRef>
          </c:tx>
          <c:invertIfNegative val="0"/>
          <c:cat>
            <c:strRef>
              <c:f>Data!$AJ$70:$AJ$109</c:f>
              <c:strCache>
                <c:ptCount val="40"/>
                <c:pt idx="0">
                  <c:v>Q2 2014</c:v>
                </c:pt>
                <c:pt idx="1">
                  <c:v>Q3 2014</c:v>
                </c:pt>
                <c:pt idx="2">
                  <c:v>Q4 2014</c:v>
                </c:pt>
                <c:pt idx="3">
                  <c:v>Q1 2015</c:v>
                </c:pt>
                <c:pt idx="4">
                  <c:v>Q2 2015</c:v>
                </c:pt>
                <c:pt idx="5">
                  <c:v>Q3 2015</c:v>
                </c:pt>
                <c:pt idx="6">
                  <c:v>Q4 2015</c:v>
                </c:pt>
                <c:pt idx="7">
                  <c:v>Q1 2016</c:v>
                </c:pt>
                <c:pt idx="8">
                  <c:v>Q2 2016</c:v>
                </c:pt>
                <c:pt idx="9">
                  <c:v>Q3 2016</c:v>
                </c:pt>
                <c:pt idx="10">
                  <c:v>Q4 2016</c:v>
                </c:pt>
                <c:pt idx="11">
                  <c:v>Q1 2017</c:v>
                </c:pt>
                <c:pt idx="12">
                  <c:v>Q2 2017</c:v>
                </c:pt>
                <c:pt idx="13">
                  <c:v>Q3 2017</c:v>
                </c:pt>
                <c:pt idx="14">
                  <c:v>Q4 2017</c:v>
                </c:pt>
                <c:pt idx="15">
                  <c:v>Q1 2018</c:v>
                </c:pt>
                <c:pt idx="16">
                  <c:v>Q2 2018</c:v>
                </c:pt>
                <c:pt idx="17">
                  <c:v>Q3 2018</c:v>
                </c:pt>
                <c:pt idx="18">
                  <c:v>Q4 2018</c:v>
                </c:pt>
                <c:pt idx="19">
                  <c:v>Q1 2019</c:v>
                </c:pt>
                <c:pt idx="20">
                  <c:v>Q2 2019</c:v>
                </c:pt>
                <c:pt idx="21">
                  <c:v>Q3 2019</c:v>
                </c:pt>
                <c:pt idx="22">
                  <c:v>Q4 2019</c:v>
                </c:pt>
                <c:pt idx="23">
                  <c:v>Q1 2020</c:v>
                </c:pt>
                <c:pt idx="24">
                  <c:v>Q2 2020</c:v>
                </c:pt>
                <c:pt idx="25">
                  <c:v>Q3 2020</c:v>
                </c:pt>
                <c:pt idx="26">
                  <c:v>Q4 2020</c:v>
                </c:pt>
                <c:pt idx="27">
                  <c:v>Q1 2021</c:v>
                </c:pt>
                <c:pt idx="28">
                  <c:v>Q2 2021</c:v>
                </c:pt>
                <c:pt idx="29">
                  <c:v>Q3 2021</c:v>
                </c:pt>
                <c:pt idx="30">
                  <c:v>Q4 2021</c:v>
                </c:pt>
                <c:pt idx="31">
                  <c:v>Q1 2022</c:v>
                </c:pt>
                <c:pt idx="32">
                  <c:v>Q2 2022</c:v>
                </c:pt>
                <c:pt idx="33">
                  <c:v>Q3 2022</c:v>
                </c:pt>
                <c:pt idx="34">
                  <c:v>Q4 2022</c:v>
                </c:pt>
                <c:pt idx="35">
                  <c:v>Q1 2023</c:v>
                </c:pt>
                <c:pt idx="36">
                  <c:v>Q2 2023</c:v>
                </c:pt>
                <c:pt idx="37">
                  <c:v>Q3 2023</c:v>
                </c:pt>
                <c:pt idx="38">
                  <c:v>Q4 2023</c:v>
                </c:pt>
                <c:pt idx="39">
                  <c:v>Q1 2024</c:v>
                </c:pt>
              </c:strCache>
            </c:strRef>
          </c:cat>
          <c:val>
            <c:numRef>
              <c:f>Data!$AK$70:$AK$109</c:f>
              <c:numCache>
                <c:formatCode>General</c:formatCode>
                <c:ptCount val="40"/>
                <c:pt idx="0">
                  <c:v>-10216</c:v>
                </c:pt>
                <c:pt idx="1">
                  <c:v>-9549</c:v>
                </c:pt>
                <c:pt idx="2">
                  <c:v>-14709</c:v>
                </c:pt>
                <c:pt idx="3">
                  <c:v>-19319</c:v>
                </c:pt>
                <c:pt idx="4">
                  <c:v>-16654</c:v>
                </c:pt>
                <c:pt idx="5">
                  <c:v>-15683</c:v>
                </c:pt>
                <c:pt idx="6">
                  <c:v>-17913</c:v>
                </c:pt>
                <c:pt idx="7">
                  <c:v>-18642</c:v>
                </c:pt>
                <c:pt idx="8">
                  <c:v>-17807</c:v>
                </c:pt>
                <c:pt idx="9">
                  <c:v>-16411</c:v>
                </c:pt>
                <c:pt idx="10">
                  <c:v>-9693</c:v>
                </c:pt>
                <c:pt idx="11">
                  <c:v>-12576</c:v>
                </c:pt>
                <c:pt idx="12">
                  <c:v>-14958</c:v>
                </c:pt>
                <c:pt idx="13">
                  <c:v>-16828</c:v>
                </c:pt>
                <c:pt idx="14">
                  <c:v>-15637</c:v>
                </c:pt>
                <c:pt idx="15">
                  <c:v>-15056</c:v>
                </c:pt>
                <c:pt idx="16">
                  <c:v>-12566</c:v>
                </c:pt>
                <c:pt idx="17">
                  <c:v>-9192</c:v>
                </c:pt>
                <c:pt idx="18">
                  <c:v>-16327</c:v>
                </c:pt>
                <c:pt idx="19">
                  <c:v>-17476</c:v>
                </c:pt>
                <c:pt idx="20">
                  <c:v>-6523</c:v>
                </c:pt>
                <c:pt idx="21">
                  <c:v>-12648</c:v>
                </c:pt>
                <c:pt idx="22">
                  <c:v>-8536</c:v>
                </c:pt>
                <c:pt idx="23">
                  <c:v>-17822</c:v>
                </c:pt>
                <c:pt idx="24">
                  <c:v>-7080</c:v>
                </c:pt>
                <c:pt idx="25">
                  <c:v>-12375</c:v>
                </c:pt>
                <c:pt idx="26">
                  <c:v>-7512</c:v>
                </c:pt>
                <c:pt idx="27">
                  <c:v>78</c:v>
                </c:pt>
                <c:pt idx="28">
                  <c:v>-421</c:v>
                </c:pt>
                <c:pt idx="29">
                  <c:v>1280</c:v>
                </c:pt>
                <c:pt idx="30">
                  <c:v>-565</c:v>
                </c:pt>
                <c:pt idx="31">
                  <c:v>3632</c:v>
                </c:pt>
                <c:pt idx="32">
                  <c:v>4279</c:v>
                </c:pt>
                <c:pt idx="33">
                  <c:v>-9695</c:v>
                </c:pt>
                <c:pt idx="34">
                  <c:v>-8528</c:v>
                </c:pt>
                <c:pt idx="35">
                  <c:v>-3716</c:v>
                </c:pt>
                <c:pt idx="36">
                  <c:v>-6762</c:v>
                </c:pt>
                <c:pt idx="37">
                  <c:v>-5994</c:v>
                </c:pt>
                <c:pt idx="38">
                  <c:v>-4508</c:v>
                </c:pt>
                <c:pt idx="39">
                  <c:v>-5365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A-40CB-944F-6101C6AB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624422272"/>
        <c:axId val="624424064"/>
      </c:barChart>
      <c:catAx>
        <c:axId val="6244222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624424064"/>
        <c:crosses val="autoZero"/>
        <c:auto val="1"/>
        <c:lblAlgn val="ctr"/>
        <c:lblOffset val="0"/>
        <c:tickLblSkip val="3"/>
        <c:tickMarkSkip val="1"/>
        <c:noMultiLvlLbl val="0"/>
      </c:catAx>
      <c:valAx>
        <c:axId val="6244240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24422272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9455075294551857"/>
          <c:y val="0.46929961206009535"/>
          <c:w val="0.50456174829786382"/>
          <c:h val="0.27577755223872991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000000000000167" r="0.75000000000000167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7.emf"/><Relationship Id="rId18" Type="http://schemas.openxmlformats.org/officeDocument/2006/relationships/image" Target="../media/image12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6.emf"/><Relationship Id="rId17" Type="http://schemas.openxmlformats.org/officeDocument/2006/relationships/image" Target="../media/image11.emf"/><Relationship Id="rId2" Type="http://schemas.openxmlformats.org/officeDocument/2006/relationships/chart" Target="../charts/chart2.xml"/><Relationship Id="rId16" Type="http://schemas.openxmlformats.org/officeDocument/2006/relationships/image" Target="../media/image10.emf"/><Relationship Id="rId20" Type="http://schemas.openxmlformats.org/officeDocument/2006/relationships/image" Target="../media/image14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5.emf"/><Relationship Id="rId5" Type="http://schemas.openxmlformats.org/officeDocument/2006/relationships/chart" Target="../charts/chart5.xml"/><Relationship Id="rId15" Type="http://schemas.openxmlformats.org/officeDocument/2006/relationships/image" Target="../media/image9.emf"/><Relationship Id="rId10" Type="http://schemas.openxmlformats.org/officeDocument/2006/relationships/image" Target="../media/image4.jpg"/><Relationship Id="rId19" Type="http://schemas.openxmlformats.org/officeDocument/2006/relationships/image" Target="../media/image13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26" Type="http://schemas.openxmlformats.org/officeDocument/2006/relationships/image" Target="../media/image40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39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2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152400</xdr:rowOff>
    </xdr:from>
    <xdr:to>
      <xdr:col>15</xdr:col>
      <xdr:colOff>0</xdr:colOff>
      <xdr:row>5</xdr:row>
      <xdr:rowOff>66675</xdr:rowOff>
    </xdr:to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7650" y="571500"/>
          <a:ext cx="8429625" cy="638175"/>
        </a:xfrm>
        <a:prstGeom prst="rect">
          <a:avLst/>
        </a:prstGeom>
        <a:solidFill>
          <a:srgbClr val="32AB60">
            <a:alpha val="30196"/>
          </a:srgbClr>
        </a:solidFill>
        <a:ln w="9525" cmpd="sng">
          <a:solidFill>
            <a:srgbClr val="32AB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>
              <a:solidFill>
                <a:srgbClr val="32AB60"/>
              </a:solidFill>
              <a:latin typeface="Arial" pitchFamily="34" charset="0"/>
              <a:ea typeface="+mn-ea"/>
              <a:cs typeface="Arial" pitchFamily="34" charset="0"/>
            </a:rPr>
            <a:t>How the Model Works</a:t>
          </a:r>
          <a:endParaRPr lang="pl-PL" sz="1000" b="1">
            <a:solidFill>
              <a:srgbClr val="32AB60"/>
            </a:solidFill>
            <a:latin typeface="Arial" pitchFamily="34" charset="0"/>
            <a:ea typeface="+mn-ea"/>
            <a:cs typeface="Arial" pitchFamily="34" charset="0"/>
          </a:endParaRPr>
        </a:p>
        <a:p>
          <a:endParaRPr lang="pl-PL" sz="1000" b="1">
            <a:solidFill>
              <a:srgbClr val="32AB60"/>
            </a:solidFill>
            <a:latin typeface="Arial" pitchFamily="34" charset="0"/>
            <a:ea typeface="+mn-ea"/>
            <a:cs typeface="Arial" pitchFamily="34" charset="0"/>
          </a:endParaRPr>
        </a:p>
        <a:p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pl-PL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this template user can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displays graphically the key indicators for the major European economies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en-US" sz="1100" b="1">
            <a:solidFill>
              <a:srgbClr val="32AB60"/>
            </a:solidFill>
            <a:latin typeface="Arial" pitchFamily="34" charset="0"/>
            <a:ea typeface="+mn-ea"/>
            <a:cs typeface="Arial" pitchFamily="34" charset="0"/>
          </a:endParaRPr>
        </a:p>
        <a:p>
          <a:endParaRPr lang="en-US" sz="1100">
            <a:solidFill>
              <a:schemeClr val="dk1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190500</xdr:colOff>
      <xdr:row>8</xdr:row>
      <xdr:rowOff>114300</xdr:rowOff>
    </xdr:from>
    <xdr:to>
      <xdr:col>15</xdr:col>
      <xdr:colOff>19050</xdr:colOff>
      <xdr:row>12</xdr:row>
      <xdr:rowOff>66675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0500" y="1857375"/>
          <a:ext cx="8505825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Country: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latin typeface="+mn-lt"/>
              <a:ea typeface="+mn-ea"/>
              <a:cs typeface="+mn-cs"/>
            </a:rPr>
            <a:t>Select country from the drop-down list.</a:t>
          </a:r>
          <a:endParaRPr lang="pl-PL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l-PL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Once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Country is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selected press the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Update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Charts"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button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,</a:t>
          </a:r>
          <a:r>
            <a:rPr lang="pl-PL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in order to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update the table and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display</a:t>
          </a:r>
          <a:r>
            <a:rPr lang="pl-PL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charts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en-US"/>
        </a:p>
      </xdr:txBody>
    </xdr:sp>
    <xdr:clientData/>
  </xdr:twoCellAnchor>
  <xdr:twoCellAnchor editAs="oneCell">
    <xdr:from>
      <xdr:col>0</xdr:col>
      <xdr:colOff>35560</xdr:colOff>
      <xdr:row>0</xdr:row>
      <xdr:rowOff>83820</xdr:rowOff>
    </xdr:from>
    <xdr:to>
      <xdr:col>2</xdr:col>
      <xdr:colOff>426085</xdr:colOff>
      <xdr:row>0</xdr:row>
      <xdr:rowOff>321945</xdr:rowOff>
    </xdr:to>
    <xdr:pic>
      <xdr:nvPicPr>
        <xdr:cNvPr id="4" name="9C605C68-E37E-48F6-B0D6-328968F14016" descr="939929A8-E4CD-42DA-BF22-DF36397AADB8@t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60" y="83820"/>
          <a:ext cx="11430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552449</xdr:colOff>
      <xdr:row>5</xdr:row>
      <xdr:rowOff>161925</xdr:rowOff>
    </xdr:from>
    <xdr:to>
      <xdr:col>5</xdr:col>
      <xdr:colOff>430124</xdr:colOff>
      <xdr:row>15</xdr:row>
      <xdr:rowOff>153150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513975</xdr:colOff>
      <xdr:row>5</xdr:row>
      <xdr:rowOff>161925</xdr:rowOff>
    </xdr:from>
    <xdr:to>
      <xdr:col>9</xdr:col>
      <xdr:colOff>496425</xdr:colOff>
      <xdr:row>15</xdr:row>
      <xdr:rowOff>153150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5</xdr:row>
      <xdr:rowOff>161925</xdr:rowOff>
    </xdr:from>
    <xdr:to>
      <xdr:col>14</xdr:col>
      <xdr:colOff>0</xdr:colOff>
      <xdr:row>15</xdr:row>
      <xdr:rowOff>153150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39781</xdr:colOff>
      <xdr:row>16</xdr:row>
      <xdr:rowOff>80683</xdr:rowOff>
    </xdr:from>
    <xdr:to>
      <xdr:col>5</xdr:col>
      <xdr:colOff>100853</xdr:colOff>
      <xdr:row>26</xdr:row>
      <xdr:rowOff>81433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293033</xdr:colOff>
      <xdr:row>16</xdr:row>
      <xdr:rowOff>69477</xdr:rowOff>
    </xdr:from>
    <xdr:to>
      <xdr:col>9</xdr:col>
      <xdr:colOff>519770</xdr:colOff>
      <xdr:row>26</xdr:row>
      <xdr:rowOff>70227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592415</xdr:colOff>
      <xdr:row>16</xdr:row>
      <xdr:rowOff>80682</xdr:rowOff>
    </xdr:from>
    <xdr:to>
      <xdr:col>14</xdr:col>
      <xdr:colOff>115425</xdr:colOff>
      <xdr:row>26</xdr:row>
      <xdr:rowOff>81432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552449</xdr:colOff>
      <xdr:row>27</xdr:row>
      <xdr:rowOff>76200</xdr:rowOff>
    </xdr:from>
    <xdr:to>
      <xdr:col>5</xdr:col>
      <xdr:colOff>430124</xdr:colOff>
      <xdr:row>37</xdr:row>
      <xdr:rowOff>76950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513975</xdr:colOff>
      <xdr:row>27</xdr:row>
      <xdr:rowOff>76200</xdr:rowOff>
    </xdr:from>
    <xdr:to>
      <xdr:col>9</xdr:col>
      <xdr:colOff>496425</xdr:colOff>
      <xdr:row>37</xdr:row>
      <xdr:rowOff>76950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600075</xdr:colOff>
      <xdr:row>27</xdr:row>
      <xdr:rowOff>76200</xdr:rowOff>
    </xdr:from>
    <xdr:to>
      <xdr:col>14</xdr:col>
      <xdr:colOff>0</xdr:colOff>
      <xdr:row>37</xdr:row>
      <xdr:rowOff>76950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161925</xdr:rowOff>
        </xdr:from>
        <xdr:to>
          <xdr:col>3</xdr:col>
          <xdr:colOff>190500</xdr:colOff>
          <xdr:row>3</xdr:row>
          <xdr:rowOff>28575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</xdr:row>
          <xdr:rowOff>85725</xdr:rowOff>
        </xdr:from>
        <xdr:to>
          <xdr:col>3</xdr:col>
          <xdr:colOff>171450</xdr:colOff>
          <xdr:row>3</xdr:row>
          <xdr:rowOff>457200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619125</xdr:colOff>
          <xdr:row>3</xdr:row>
          <xdr:rowOff>247650</xdr:rowOff>
        </xdr:from>
        <xdr:to>
          <xdr:col>16</xdr:col>
          <xdr:colOff>647700</xdr:colOff>
          <xdr:row>4</xdr:row>
          <xdr:rowOff>85725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CHARTS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44824</xdr:colOff>
      <xdr:row>0</xdr:row>
      <xdr:rowOff>1686853</xdr:rowOff>
    </xdr:to>
    <xdr:pic>
      <xdr:nvPicPr>
        <xdr:cNvPr id="3346" name="Logo">
          <a:extLst>
            <a:ext uri="{FF2B5EF4-FFF2-40B4-BE49-F238E27FC236}">
              <a16:creationId xmlns:a16="http://schemas.microsoft.com/office/drawing/2014/main" id="{00000000-0008-0000-01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82971" cy="168685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19</xdr:col>
      <xdr:colOff>123825</xdr:colOff>
      <xdr:row>15</xdr:row>
      <xdr:rowOff>123825</xdr:rowOff>
    </xdr:to>
    <xdr:pic>
      <xdr:nvPicPr>
        <xdr:cNvPr id="3090" name="Picture 18">
          <a:extLst>
            <a:ext uri="{FF2B5EF4-FFF2-40B4-BE49-F238E27FC236}">
              <a16:creationId xmlns:a16="http://schemas.microsoft.com/office/drawing/2014/main" id="{1E36F178-3310-8BF6-4DFD-CBECCEF42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0" y="3133725"/>
          <a:ext cx="336232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</xdr:row>
      <xdr:rowOff>0</xdr:rowOff>
    </xdr:from>
    <xdr:to>
      <xdr:col>24</xdr:col>
      <xdr:colOff>219075</xdr:colOff>
      <xdr:row>15</xdr:row>
      <xdr:rowOff>123825</xdr:rowOff>
    </xdr:to>
    <xdr:pic>
      <xdr:nvPicPr>
        <xdr:cNvPr id="3091" name="Picture 19">
          <a:extLst>
            <a:ext uri="{FF2B5EF4-FFF2-40B4-BE49-F238E27FC236}">
              <a16:creationId xmlns:a16="http://schemas.microsoft.com/office/drawing/2014/main" id="{21052341-96FD-3CEE-DCC1-F29F801E7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0" y="3133725"/>
          <a:ext cx="311467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29</xdr:col>
      <xdr:colOff>95250</xdr:colOff>
      <xdr:row>15</xdr:row>
      <xdr:rowOff>123825</xdr:rowOff>
    </xdr:to>
    <xdr:pic>
      <xdr:nvPicPr>
        <xdr:cNvPr id="3092" name="Picture 20">
          <a:extLst>
            <a:ext uri="{FF2B5EF4-FFF2-40B4-BE49-F238E27FC236}">
              <a16:creationId xmlns:a16="http://schemas.microsoft.com/office/drawing/2014/main" id="{B1A401C4-356B-58A2-6188-34CA7929C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3133725"/>
          <a:ext cx="2990850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18</xdr:col>
      <xdr:colOff>561975</xdr:colOff>
      <xdr:row>26</xdr:row>
      <xdr:rowOff>123825</xdr:rowOff>
    </xdr:to>
    <xdr:pic>
      <xdr:nvPicPr>
        <xdr:cNvPr id="3093" name="Picture 21">
          <a:extLst>
            <a:ext uri="{FF2B5EF4-FFF2-40B4-BE49-F238E27FC236}">
              <a16:creationId xmlns:a16="http://schemas.microsoft.com/office/drawing/2014/main" id="{7A4604FD-35AC-819A-584C-08B55DBD3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0" y="4914900"/>
          <a:ext cx="2990850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24</xdr:col>
      <xdr:colOff>466725</xdr:colOff>
      <xdr:row>26</xdr:row>
      <xdr:rowOff>123825</xdr:rowOff>
    </xdr:to>
    <xdr:pic>
      <xdr:nvPicPr>
        <xdr:cNvPr id="3094" name="Picture 22">
          <a:extLst>
            <a:ext uri="{FF2B5EF4-FFF2-40B4-BE49-F238E27FC236}">
              <a16:creationId xmlns:a16="http://schemas.microsoft.com/office/drawing/2014/main" id="{A325069E-86E3-6B3E-9E42-C61913965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0" y="4914900"/>
          <a:ext cx="336232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17</xdr:row>
      <xdr:rowOff>0</xdr:rowOff>
    </xdr:from>
    <xdr:to>
      <xdr:col>29</xdr:col>
      <xdr:colOff>219075</xdr:colOff>
      <xdr:row>26</xdr:row>
      <xdr:rowOff>123825</xdr:rowOff>
    </xdr:to>
    <xdr:pic>
      <xdr:nvPicPr>
        <xdr:cNvPr id="3095" name="Picture 23">
          <a:extLst>
            <a:ext uri="{FF2B5EF4-FFF2-40B4-BE49-F238E27FC236}">
              <a16:creationId xmlns:a16="http://schemas.microsoft.com/office/drawing/2014/main" id="{E81EECE1-FEA9-1DBF-79F5-CEB3205F9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4914900"/>
          <a:ext cx="311467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28</xdr:row>
      <xdr:rowOff>0</xdr:rowOff>
    </xdr:from>
    <xdr:to>
      <xdr:col>19</xdr:col>
      <xdr:colOff>123825</xdr:colOff>
      <xdr:row>37</xdr:row>
      <xdr:rowOff>123825</xdr:rowOff>
    </xdr:to>
    <xdr:pic>
      <xdr:nvPicPr>
        <xdr:cNvPr id="3096" name="Picture 24">
          <a:extLst>
            <a:ext uri="{FF2B5EF4-FFF2-40B4-BE49-F238E27FC236}">
              <a16:creationId xmlns:a16="http://schemas.microsoft.com/office/drawing/2014/main" id="{95510547-2D93-5A8C-167E-BF1774AA4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0" y="6696075"/>
          <a:ext cx="336232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28</xdr:row>
      <xdr:rowOff>0</xdr:rowOff>
    </xdr:from>
    <xdr:to>
      <xdr:col>24</xdr:col>
      <xdr:colOff>219075</xdr:colOff>
      <xdr:row>37</xdr:row>
      <xdr:rowOff>123825</xdr:rowOff>
    </xdr:to>
    <xdr:pic>
      <xdr:nvPicPr>
        <xdr:cNvPr id="3097" name="Picture 25">
          <a:extLst>
            <a:ext uri="{FF2B5EF4-FFF2-40B4-BE49-F238E27FC236}">
              <a16:creationId xmlns:a16="http://schemas.microsoft.com/office/drawing/2014/main" id="{3E059D00-E424-59CC-2AE1-AAC141BF4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0" y="6696075"/>
          <a:ext cx="3114675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28</xdr:row>
      <xdr:rowOff>0</xdr:rowOff>
    </xdr:from>
    <xdr:to>
      <xdr:col>29</xdr:col>
      <xdr:colOff>95250</xdr:colOff>
      <xdr:row>37</xdr:row>
      <xdr:rowOff>123825</xdr:rowOff>
    </xdr:to>
    <xdr:pic>
      <xdr:nvPicPr>
        <xdr:cNvPr id="3098" name="Picture 26">
          <a:extLst>
            <a:ext uri="{FF2B5EF4-FFF2-40B4-BE49-F238E27FC236}">
              <a16:creationId xmlns:a16="http://schemas.microsoft.com/office/drawing/2014/main" id="{13502CF6-FFAA-18B2-0EFB-59A60B500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6696075"/>
          <a:ext cx="2990850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27</xdr:col>
      <xdr:colOff>552450</xdr:colOff>
      <xdr:row>5</xdr:row>
      <xdr:rowOff>9525</xdr:rowOff>
    </xdr:to>
    <xdr:pic>
      <xdr:nvPicPr>
        <xdr:cNvPr id="3099" name="Picture 27">
          <a:extLst>
            <a:ext uri="{FF2B5EF4-FFF2-40B4-BE49-F238E27FC236}">
              <a16:creationId xmlns:a16="http://schemas.microsoft.com/office/drawing/2014/main" id="{51018AB4-355D-545B-101F-A0B6A80E5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133600"/>
          <a:ext cx="675322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1123950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1</xdr:row>
          <xdr:rowOff>447675</xdr:rowOff>
        </xdr:from>
        <xdr:to>
          <xdr:col>2</xdr:col>
          <xdr:colOff>180975</xdr:colOff>
          <xdr:row>2</xdr:row>
          <xdr:rowOff>219075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1</xdr:row>
          <xdr:rowOff>295275</xdr:rowOff>
        </xdr:from>
        <xdr:to>
          <xdr:col>5</xdr:col>
          <xdr:colOff>2447925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1</xdr:row>
          <xdr:rowOff>38100</xdr:rowOff>
        </xdr:from>
        <xdr:to>
          <xdr:col>5</xdr:col>
          <xdr:colOff>2447925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28575</xdr:rowOff>
        </xdr:from>
        <xdr:to>
          <xdr:col>7</xdr:col>
          <xdr:colOff>523875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180975</xdr:rowOff>
        </xdr:from>
        <xdr:to>
          <xdr:col>10</xdr:col>
          <xdr:colOff>1362075</xdr:colOff>
          <xdr:row>1</xdr:row>
          <xdr:rowOff>142875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1323975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295275</xdr:rowOff>
        </xdr:from>
        <xdr:to>
          <xdr:col>10</xdr:col>
          <xdr:colOff>1781175</xdr:colOff>
          <xdr:row>2</xdr:row>
          <xdr:rowOff>47625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104775</xdr:rowOff>
        </xdr:from>
        <xdr:to>
          <xdr:col>10</xdr:col>
          <xdr:colOff>333375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295275</xdr:rowOff>
        </xdr:from>
        <xdr:to>
          <xdr:col>8</xdr:col>
          <xdr:colOff>295275</xdr:colOff>
          <xdr:row>2</xdr:row>
          <xdr:rowOff>66675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3220741</xdr:colOff>
          <xdr:row>0</xdr:row>
          <xdr:rowOff>28575</xdr:rowOff>
        </xdr:from>
        <xdr:to>
          <xdr:col>12</xdr:col>
          <xdr:colOff>1571625</xdr:colOff>
          <xdr:row>0</xdr:row>
          <xdr:rowOff>209550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28575</xdr:colOff>
          <xdr:row>6</xdr:row>
          <xdr:rowOff>28575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523875</xdr:colOff>
          <xdr:row>6</xdr:row>
          <xdr:rowOff>28575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0</xdr:rowOff>
        </xdr:from>
        <xdr:to>
          <xdr:col>1</xdr:col>
          <xdr:colOff>219075</xdr:colOff>
          <xdr:row>6</xdr:row>
          <xdr:rowOff>28575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5</xdr:row>
          <xdr:rowOff>0</xdr:rowOff>
        </xdr:from>
        <xdr:to>
          <xdr:col>2</xdr:col>
          <xdr:colOff>876300</xdr:colOff>
          <xdr:row>6</xdr:row>
          <xdr:rowOff>28575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447675</xdr:colOff>
          <xdr:row>6</xdr:row>
          <xdr:rowOff>28575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1323975</xdr:colOff>
          <xdr:row>5</xdr:row>
          <xdr:rowOff>0</xdr:rowOff>
        </xdr:from>
        <xdr:to>
          <xdr:col>3</xdr:col>
          <xdr:colOff>0</xdr:colOff>
          <xdr:row>6</xdr:row>
          <xdr:rowOff>28575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28575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1971675</xdr:colOff>
          <xdr:row>6</xdr:row>
          <xdr:rowOff>28575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5</xdr:row>
          <xdr:rowOff>0</xdr:rowOff>
        </xdr:from>
        <xdr:to>
          <xdr:col>4</xdr:col>
          <xdr:colOff>1133475</xdr:colOff>
          <xdr:row>6</xdr:row>
          <xdr:rowOff>28575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1971675</xdr:colOff>
          <xdr:row>5</xdr:row>
          <xdr:rowOff>0</xdr:rowOff>
        </xdr:from>
        <xdr:to>
          <xdr:col>5</xdr:col>
          <xdr:colOff>0</xdr:colOff>
          <xdr:row>6</xdr:row>
          <xdr:rowOff>28575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1781175</xdr:colOff>
          <xdr:row>6</xdr:row>
          <xdr:rowOff>28575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28575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28575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371475</xdr:rowOff>
        </xdr:from>
        <xdr:to>
          <xdr:col>4</xdr:col>
          <xdr:colOff>371475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371475</xdr:rowOff>
        </xdr:from>
        <xdr:to>
          <xdr:col>5</xdr:col>
          <xdr:colOff>371475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28575</xdr:colOff>
          <xdr:row>6</xdr:row>
          <xdr:rowOff>28575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28575</xdr:colOff>
          <xdr:row>6</xdr:row>
          <xdr:rowOff>28575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409575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</xdr:row>
          <xdr:rowOff>28575</xdr:rowOff>
        </xdr:from>
        <xdr:to>
          <xdr:col>12</xdr:col>
          <xdr:colOff>1600200</xdr:colOff>
          <xdr:row>2</xdr:row>
          <xdr:rowOff>209550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1</xdr:row>
          <xdr:rowOff>419100</xdr:rowOff>
        </xdr:from>
        <xdr:to>
          <xdr:col>4</xdr:col>
          <xdr:colOff>533400</xdr:colOff>
          <xdr:row>2</xdr:row>
          <xdr:rowOff>219075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5</xdr:row>
          <xdr:rowOff>28575</xdr:rowOff>
        </xdr:from>
        <xdr:to>
          <xdr:col>20</xdr:col>
          <xdr:colOff>28575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5</xdr:row>
          <xdr:rowOff>28575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28575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104775</xdr:rowOff>
        </xdr:from>
        <xdr:to>
          <xdr:col>5</xdr:col>
          <xdr:colOff>790575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333375</xdr:rowOff>
        </xdr:from>
        <xdr:to>
          <xdr:col>5</xdr:col>
          <xdr:colOff>790575</xdr:colOff>
          <xdr:row>2</xdr:row>
          <xdr:rowOff>66675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2124075</xdr:colOff>
          <xdr:row>1</xdr:row>
          <xdr:rowOff>28575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4.1.17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142875</xdr:colOff>
          <xdr:row>1</xdr:row>
          <xdr:rowOff>333375</xdr:rowOff>
        </xdr:from>
        <xdr:to>
          <xdr:col>10</xdr:col>
          <xdr:colOff>676275</xdr:colOff>
          <xdr:row>2</xdr:row>
          <xdr:rowOff>28575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1057275</xdr:colOff>
          <xdr:row>6</xdr:row>
          <xdr:rowOff>28575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1057275</xdr:colOff>
          <xdr:row>5</xdr:row>
          <xdr:rowOff>0</xdr:rowOff>
        </xdr:from>
        <xdr:to>
          <xdr:col>8</xdr:col>
          <xdr:colOff>28575</xdr:colOff>
          <xdr:row>6</xdr:row>
          <xdr:rowOff>28575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1</xdr:row>
          <xdr:rowOff>447675</xdr:rowOff>
        </xdr:from>
        <xdr:to>
          <xdr:col>2</xdr:col>
          <xdr:colOff>1295400</xdr:colOff>
          <xdr:row>2</xdr:row>
          <xdr:rowOff>219075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FOOriginalColor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5.emf"/><Relationship Id="rId21" Type="http://schemas.openxmlformats.org/officeDocument/2006/relationships/control" Target="../activeX/activeX12.xml"/><Relationship Id="rId42" Type="http://schemas.openxmlformats.org/officeDocument/2006/relationships/image" Target="../media/image33.emf"/><Relationship Id="rId47" Type="http://schemas.openxmlformats.org/officeDocument/2006/relationships/control" Target="../activeX/activeX25.xml"/><Relationship Id="rId63" Type="http://schemas.openxmlformats.org/officeDocument/2006/relationships/ctrlProp" Target="../ctrlProps/ctrlProp4.xml"/><Relationship Id="rId68" Type="http://schemas.openxmlformats.org/officeDocument/2006/relationships/ctrlProp" Target="../ctrlProps/ctrlProp9.xml"/><Relationship Id="rId16" Type="http://schemas.openxmlformats.org/officeDocument/2006/relationships/image" Target="../media/image20.emf"/><Relationship Id="rId11" Type="http://schemas.openxmlformats.org/officeDocument/2006/relationships/control" Target="../activeX/activeX7.xml"/><Relationship Id="rId24" Type="http://schemas.openxmlformats.org/officeDocument/2006/relationships/image" Target="../media/image24.emf"/><Relationship Id="rId32" Type="http://schemas.openxmlformats.org/officeDocument/2006/relationships/image" Target="../media/image28.emf"/><Relationship Id="rId37" Type="http://schemas.openxmlformats.org/officeDocument/2006/relationships/control" Target="../activeX/activeX20.xml"/><Relationship Id="rId40" Type="http://schemas.openxmlformats.org/officeDocument/2006/relationships/image" Target="../media/image32.emf"/><Relationship Id="rId45" Type="http://schemas.openxmlformats.org/officeDocument/2006/relationships/control" Target="../activeX/activeX24.xml"/><Relationship Id="rId53" Type="http://schemas.openxmlformats.org/officeDocument/2006/relationships/control" Target="../activeX/activeX28.xml"/><Relationship Id="rId58" Type="http://schemas.openxmlformats.org/officeDocument/2006/relationships/image" Target="../media/image41.emf"/><Relationship Id="rId66" Type="http://schemas.openxmlformats.org/officeDocument/2006/relationships/ctrlProp" Target="../ctrlProps/ctrlProp7.xml"/><Relationship Id="rId74" Type="http://schemas.openxmlformats.org/officeDocument/2006/relationships/ctrlProp" Target="../ctrlProps/ctrlProp15.xml"/><Relationship Id="rId5" Type="http://schemas.openxmlformats.org/officeDocument/2006/relationships/image" Target="../media/image15.emf"/><Relationship Id="rId61" Type="http://schemas.openxmlformats.org/officeDocument/2006/relationships/ctrlProp" Target="../ctrlProps/ctrlProp2.xml"/><Relationship Id="rId19" Type="http://schemas.openxmlformats.org/officeDocument/2006/relationships/control" Target="../activeX/activeX11.xml"/><Relationship Id="rId14" Type="http://schemas.openxmlformats.org/officeDocument/2006/relationships/image" Target="../media/image19.emf"/><Relationship Id="rId22" Type="http://schemas.openxmlformats.org/officeDocument/2006/relationships/image" Target="../media/image23.emf"/><Relationship Id="rId27" Type="http://schemas.openxmlformats.org/officeDocument/2006/relationships/control" Target="../activeX/activeX15.xml"/><Relationship Id="rId30" Type="http://schemas.openxmlformats.org/officeDocument/2006/relationships/image" Target="../media/image27.emf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image" Target="../media/image36.emf"/><Relationship Id="rId56" Type="http://schemas.openxmlformats.org/officeDocument/2006/relationships/image" Target="../media/image40.emf"/><Relationship Id="rId64" Type="http://schemas.openxmlformats.org/officeDocument/2006/relationships/ctrlProp" Target="../ctrlProps/ctrlProp5.xml"/><Relationship Id="rId69" Type="http://schemas.openxmlformats.org/officeDocument/2006/relationships/ctrlProp" Target="../ctrlProps/ctrlProp10.xml"/><Relationship Id="rId77" Type="http://schemas.openxmlformats.org/officeDocument/2006/relationships/comments" Target="../comments2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27.xml"/><Relationship Id="rId72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12" Type="http://schemas.openxmlformats.org/officeDocument/2006/relationships/image" Target="../media/image18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38" Type="http://schemas.openxmlformats.org/officeDocument/2006/relationships/image" Target="../media/image31.emf"/><Relationship Id="rId46" Type="http://schemas.openxmlformats.org/officeDocument/2006/relationships/image" Target="../media/image35.emf"/><Relationship Id="rId59" Type="http://schemas.openxmlformats.org/officeDocument/2006/relationships/control" Target="../activeX/activeX31.xml"/><Relationship Id="rId67" Type="http://schemas.openxmlformats.org/officeDocument/2006/relationships/ctrlProp" Target="../ctrlProps/ctrlProp8.xml"/><Relationship Id="rId20" Type="http://schemas.openxmlformats.org/officeDocument/2006/relationships/image" Target="../media/image22.emf"/><Relationship Id="rId41" Type="http://schemas.openxmlformats.org/officeDocument/2006/relationships/control" Target="../activeX/activeX22.xml"/><Relationship Id="rId54" Type="http://schemas.openxmlformats.org/officeDocument/2006/relationships/image" Target="../media/image39.emf"/><Relationship Id="rId62" Type="http://schemas.openxmlformats.org/officeDocument/2006/relationships/ctrlProp" Target="../ctrlProps/ctrlProp3.xml"/><Relationship Id="rId70" Type="http://schemas.openxmlformats.org/officeDocument/2006/relationships/ctrlProp" Target="../ctrlProps/ctrlProp11.xml"/><Relationship Id="rId75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26.emf"/><Relationship Id="rId36" Type="http://schemas.openxmlformats.org/officeDocument/2006/relationships/image" Target="../media/image30.emf"/><Relationship Id="rId49" Type="http://schemas.openxmlformats.org/officeDocument/2006/relationships/control" Target="../activeX/activeX26.xml"/><Relationship Id="rId57" Type="http://schemas.openxmlformats.org/officeDocument/2006/relationships/control" Target="../activeX/activeX30.xml"/><Relationship Id="rId10" Type="http://schemas.openxmlformats.org/officeDocument/2006/relationships/image" Target="../media/image17.emf"/><Relationship Id="rId31" Type="http://schemas.openxmlformats.org/officeDocument/2006/relationships/control" Target="../activeX/activeX17.xml"/><Relationship Id="rId44" Type="http://schemas.openxmlformats.org/officeDocument/2006/relationships/image" Target="../media/image34.emf"/><Relationship Id="rId52" Type="http://schemas.openxmlformats.org/officeDocument/2006/relationships/image" Target="../media/image38.emf"/><Relationship Id="rId60" Type="http://schemas.openxmlformats.org/officeDocument/2006/relationships/image" Target="../media/image42.emf"/><Relationship Id="rId65" Type="http://schemas.openxmlformats.org/officeDocument/2006/relationships/ctrlProp" Target="../ctrlProps/ctrlProp6.xml"/><Relationship Id="rId73" Type="http://schemas.openxmlformats.org/officeDocument/2006/relationships/ctrlProp" Target="../ctrlProps/ctrlProp14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6.xml"/><Relationship Id="rId13" Type="http://schemas.openxmlformats.org/officeDocument/2006/relationships/control" Target="../activeX/activeX8.xml"/><Relationship Id="rId18" Type="http://schemas.openxmlformats.org/officeDocument/2006/relationships/image" Target="../media/image21.emf"/><Relationship Id="rId39" Type="http://schemas.openxmlformats.org/officeDocument/2006/relationships/control" Target="../activeX/activeX21.xml"/><Relationship Id="rId34" Type="http://schemas.openxmlformats.org/officeDocument/2006/relationships/image" Target="../media/image29.emf"/><Relationship Id="rId50" Type="http://schemas.openxmlformats.org/officeDocument/2006/relationships/image" Target="../media/image37.emf"/><Relationship Id="rId55" Type="http://schemas.openxmlformats.org/officeDocument/2006/relationships/control" Target="../activeX/activeX29.xml"/><Relationship Id="rId76" Type="http://schemas.openxmlformats.org/officeDocument/2006/relationships/ctrlProp" Target="../ctrlProps/ctrlProp17.xml"/><Relationship Id="rId7" Type="http://schemas.openxmlformats.org/officeDocument/2006/relationships/image" Target="../media/image16.emf"/><Relationship Id="rId71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B8B4-BB62-4FA5-B356-D00DB4AFE1DF}">
  <sheetPr codeName="Sheet4">
    <tabColor theme="3" tint="0.39997558519241921"/>
  </sheetPr>
  <dimension ref="A1:O11"/>
  <sheetViews>
    <sheetView showGridLines="0" workbookViewId="0"/>
  </sheetViews>
  <sheetFormatPr defaultRowHeight="14.25" x14ac:dyDescent="0.2"/>
  <cols>
    <col min="1" max="1" width="3.7109375" style="49" customWidth="1"/>
    <col min="2" max="2" width="7.5703125" style="49" customWidth="1"/>
    <col min="3" max="16384" width="9.140625" style="49"/>
  </cols>
  <sheetData>
    <row r="1" spans="1:15" ht="33" customHeight="1" thickBot="1" x14ac:dyDescent="0.25">
      <c r="A1" s="48"/>
      <c r="B1" s="48"/>
      <c r="C1" s="48" t="s">
        <v>23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</row>
    <row r="8" spans="1:15" s="50" customFormat="1" ht="18.75" x14ac:dyDescent="0.25">
      <c r="B8" s="51" t="s">
        <v>24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</row>
    <row r="9" spans="1:15" x14ac:dyDescent="0.2">
      <c r="B9" s="52"/>
    </row>
    <row r="10" spans="1:15" x14ac:dyDescent="0.2">
      <c r="B10" s="53"/>
    </row>
    <row r="11" spans="1:15" x14ac:dyDescent="0.2">
      <c r="B11" s="5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2FF2B-5C8A-4893-8BE5-4517333FF3A3}">
  <sheetPr codeName="Sheet2"/>
  <dimension ref="A1:AJ101"/>
  <sheetViews>
    <sheetView showGridLines="0" tabSelected="1" zoomScale="85" zoomScaleNormal="85" workbookViewId="0">
      <selection activeCell="AB3" sqref="AB3"/>
    </sheetView>
  </sheetViews>
  <sheetFormatPr defaultRowHeight="12.75" x14ac:dyDescent="0.2"/>
  <cols>
    <col min="1" max="1" width="5.5703125" style="55" customWidth="1"/>
    <col min="2" max="4" width="10.7109375" style="55" customWidth="1"/>
    <col min="5" max="5" width="11.5703125" style="55" customWidth="1"/>
    <col min="6" max="6" width="14.5703125" style="55" customWidth="1"/>
    <col min="7" max="14" width="10.7109375" style="55" customWidth="1"/>
    <col min="15" max="15" width="7" style="55" customWidth="1"/>
    <col min="16" max="16" width="14.7109375" style="55" customWidth="1"/>
    <col min="17" max="18" width="10.85546875" style="55" customWidth="1"/>
    <col min="19" max="19" width="12.140625" style="55" customWidth="1"/>
    <col min="20" max="20" width="4.85546875" style="55" customWidth="1"/>
    <col min="21" max="29" width="10.85546875" style="55" customWidth="1"/>
    <col min="30" max="257" width="9.140625" style="55"/>
    <col min="258" max="258" width="13.85546875" style="55" bestFit="1" customWidth="1"/>
    <col min="259" max="259" width="10.42578125" style="55" bestFit="1" customWidth="1"/>
    <col min="260" max="260" width="9" style="55" bestFit="1" customWidth="1"/>
    <col min="261" max="262" width="14.7109375" style="55" bestFit="1" customWidth="1"/>
    <col min="263" max="263" width="10.85546875" style="55" bestFit="1" customWidth="1"/>
    <col min="264" max="264" width="10.7109375" style="55" bestFit="1" customWidth="1"/>
    <col min="265" max="265" width="9" style="55" bestFit="1" customWidth="1"/>
    <col min="266" max="266" width="16.140625" style="55" bestFit="1" customWidth="1"/>
    <col min="267" max="513" width="9.140625" style="55"/>
    <col min="514" max="514" width="13.85546875" style="55" bestFit="1" customWidth="1"/>
    <col min="515" max="515" width="10.42578125" style="55" bestFit="1" customWidth="1"/>
    <col min="516" max="516" width="9" style="55" bestFit="1" customWidth="1"/>
    <col min="517" max="518" width="14.7109375" style="55" bestFit="1" customWidth="1"/>
    <col min="519" max="519" width="10.85546875" style="55" bestFit="1" customWidth="1"/>
    <col min="520" max="520" width="10.7109375" style="55" bestFit="1" customWidth="1"/>
    <col min="521" max="521" width="9" style="55" bestFit="1" customWidth="1"/>
    <col min="522" max="522" width="16.140625" style="55" bestFit="1" customWidth="1"/>
    <col min="523" max="769" width="9.140625" style="55"/>
    <col min="770" max="770" width="13.85546875" style="55" bestFit="1" customWidth="1"/>
    <col min="771" max="771" width="10.42578125" style="55" bestFit="1" customWidth="1"/>
    <col min="772" max="772" width="9" style="55" bestFit="1" customWidth="1"/>
    <col min="773" max="774" width="14.7109375" style="55" bestFit="1" customWidth="1"/>
    <col min="775" max="775" width="10.85546875" style="55" bestFit="1" customWidth="1"/>
    <col min="776" max="776" width="10.7109375" style="55" bestFit="1" customWidth="1"/>
    <col min="777" max="777" width="9" style="55" bestFit="1" customWidth="1"/>
    <col min="778" max="778" width="16.140625" style="55" bestFit="1" customWidth="1"/>
    <col min="779" max="1025" width="9.140625" style="55"/>
    <col min="1026" max="1026" width="13.85546875" style="55" bestFit="1" customWidth="1"/>
    <col min="1027" max="1027" width="10.42578125" style="55" bestFit="1" customWidth="1"/>
    <col min="1028" max="1028" width="9" style="55" bestFit="1" customWidth="1"/>
    <col min="1029" max="1030" width="14.7109375" style="55" bestFit="1" customWidth="1"/>
    <col min="1031" max="1031" width="10.85546875" style="55" bestFit="1" customWidth="1"/>
    <col min="1032" max="1032" width="10.7109375" style="55" bestFit="1" customWidth="1"/>
    <col min="1033" max="1033" width="9" style="55" bestFit="1" customWidth="1"/>
    <col min="1034" max="1034" width="16.140625" style="55" bestFit="1" customWidth="1"/>
    <col min="1035" max="1281" width="9.140625" style="55"/>
    <col min="1282" max="1282" width="13.85546875" style="55" bestFit="1" customWidth="1"/>
    <col min="1283" max="1283" width="10.42578125" style="55" bestFit="1" customWidth="1"/>
    <col min="1284" max="1284" width="9" style="55" bestFit="1" customWidth="1"/>
    <col min="1285" max="1286" width="14.7109375" style="55" bestFit="1" customWidth="1"/>
    <col min="1287" max="1287" width="10.85546875" style="55" bestFit="1" customWidth="1"/>
    <col min="1288" max="1288" width="10.7109375" style="55" bestFit="1" customWidth="1"/>
    <col min="1289" max="1289" width="9" style="55" bestFit="1" customWidth="1"/>
    <col min="1290" max="1290" width="16.140625" style="55" bestFit="1" customWidth="1"/>
    <col min="1291" max="1537" width="9.140625" style="55"/>
    <col min="1538" max="1538" width="13.85546875" style="55" bestFit="1" customWidth="1"/>
    <col min="1539" max="1539" width="10.42578125" style="55" bestFit="1" customWidth="1"/>
    <col min="1540" max="1540" width="9" style="55" bestFit="1" customWidth="1"/>
    <col min="1541" max="1542" width="14.7109375" style="55" bestFit="1" customWidth="1"/>
    <col min="1543" max="1543" width="10.85546875" style="55" bestFit="1" customWidth="1"/>
    <col min="1544" max="1544" width="10.7109375" style="55" bestFit="1" customWidth="1"/>
    <col min="1545" max="1545" width="9" style="55" bestFit="1" customWidth="1"/>
    <col min="1546" max="1546" width="16.140625" style="55" bestFit="1" customWidth="1"/>
    <col min="1547" max="1793" width="9.140625" style="55"/>
    <col min="1794" max="1794" width="13.85546875" style="55" bestFit="1" customWidth="1"/>
    <col min="1795" max="1795" width="10.42578125" style="55" bestFit="1" customWidth="1"/>
    <col min="1796" max="1796" width="9" style="55" bestFit="1" customWidth="1"/>
    <col min="1797" max="1798" width="14.7109375" style="55" bestFit="1" customWidth="1"/>
    <col min="1799" max="1799" width="10.85546875" style="55" bestFit="1" customWidth="1"/>
    <col min="1800" max="1800" width="10.7109375" style="55" bestFit="1" customWidth="1"/>
    <col min="1801" max="1801" width="9" style="55" bestFit="1" customWidth="1"/>
    <col min="1802" max="1802" width="16.140625" style="55" bestFit="1" customWidth="1"/>
    <col min="1803" max="2049" width="9.140625" style="55"/>
    <col min="2050" max="2050" width="13.85546875" style="55" bestFit="1" customWidth="1"/>
    <col min="2051" max="2051" width="10.42578125" style="55" bestFit="1" customWidth="1"/>
    <col min="2052" max="2052" width="9" style="55" bestFit="1" customWidth="1"/>
    <col min="2053" max="2054" width="14.7109375" style="55" bestFit="1" customWidth="1"/>
    <col min="2055" max="2055" width="10.85546875" style="55" bestFit="1" customWidth="1"/>
    <col min="2056" max="2056" width="10.7109375" style="55" bestFit="1" customWidth="1"/>
    <col min="2057" max="2057" width="9" style="55" bestFit="1" customWidth="1"/>
    <col min="2058" max="2058" width="16.140625" style="55" bestFit="1" customWidth="1"/>
    <col min="2059" max="2305" width="9.140625" style="55"/>
    <col min="2306" max="2306" width="13.85546875" style="55" bestFit="1" customWidth="1"/>
    <col min="2307" max="2307" width="10.42578125" style="55" bestFit="1" customWidth="1"/>
    <col min="2308" max="2308" width="9" style="55" bestFit="1" customWidth="1"/>
    <col min="2309" max="2310" width="14.7109375" style="55" bestFit="1" customWidth="1"/>
    <col min="2311" max="2311" width="10.85546875" style="55" bestFit="1" customWidth="1"/>
    <col min="2312" max="2312" width="10.7109375" style="55" bestFit="1" customWidth="1"/>
    <col min="2313" max="2313" width="9" style="55" bestFit="1" customWidth="1"/>
    <col min="2314" max="2314" width="16.140625" style="55" bestFit="1" customWidth="1"/>
    <col min="2315" max="2561" width="9.140625" style="55"/>
    <col min="2562" max="2562" width="13.85546875" style="55" bestFit="1" customWidth="1"/>
    <col min="2563" max="2563" width="10.42578125" style="55" bestFit="1" customWidth="1"/>
    <col min="2564" max="2564" width="9" style="55" bestFit="1" customWidth="1"/>
    <col min="2565" max="2566" width="14.7109375" style="55" bestFit="1" customWidth="1"/>
    <col min="2567" max="2567" width="10.85546875" style="55" bestFit="1" customWidth="1"/>
    <col min="2568" max="2568" width="10.7109375" style="55" bestFit="1" customWidth="1"/>
    <col min="2569" max="2569" width="9" style="55" bestFit="1" customWidth="1"/>
    <col min="2570" max="2570" width="16.140625" style="55" bestFit="1" customWidth="1"/>
    <col min="2571" max="2817" width="9.140625" style="55"/>
    <col min="2818" max="2818" width="13.85546875" style="55" bestFit="1" customWidth="1"/>
    <col min="2819" max="2819" width="10.42578125" style="55" bestFit="1" customWidth="1"/>
    <col min="2820" max="2820" width="9" style="55" bestFit="1" customWidth="1"/>
    <col min="2821" max="2822" width="14.7109375" style="55" bestFit="1" customWidth="1"/>
    <col min="2823" max="2823" width="10.85546875" style="55" bestFit="1" customWidth="1"/>
    <col min="2824" max="2824" width="10.7109375" style="55" bestFit="1" customWidth="1"/>
    <col min="2825" max="2825" width="9" style="55" bestFit="1" customWidth="1"/>
    <col min="2826" max="2826" width="16.140625" style="55" bestFit="1" customWidth="1"/>
    <col min="2827" max="3073" width="9.140625" style="55"/>
    <col min="3074" max="3074" width="13.85546875" style="55" bestFit="1" customWidth="1"/>
    <col min="3075" max="3075" width="10.42578125" style="55" bestFit="1" customWidth="1"/>
    <col min="3076" max="3076" width="9" style="55" bestFit="1" customWidth="1"/>
    <col min="3077" max="3078" width="14.7109375" style="55" bestFit="1" customWidth="1"/>
    <col min="3079" max="3079" width="10.85546875" style="55" bestFit="1" customWidth="1"/>
    <col min="3080" max="3080" width="10.7109375" style="55" bestFit="1" customWidth="1"/>
    <col min="3081" max="3081" width="9" style="55" bestFit="1" customWidth="1"/>
    <col min="3082" max="3082" width="16.140625" style="55" bestFit="1" customWidth="1"/>
    <col min="3083" max="3329" width="9.140625" style="55"/>
    <col min="3330" max="3330" width="13.85546875" style="55" bestFit="1" customWidth="1"/>
    <col min="3331" max="3331" width="10.42578125" style="55" bestFit="1" customWidth="1"/>
    <col min="3332" max="3332" width="9" style="55" bestFit="1" customWidth="1"/>
    <col min="3333" max="3334" width="14.7109375" style="55" bestFit="1" customWidth="1"/>
    <col min="3335" max="3335" width="10.85546875" style="55" bestFit="1" customWidth="1"/>
    <col min="3336" max="3336" width="10.7109375" style="55" bestFit="1" customWidth="1"/>
    <col min="3337" max="3337" width="9" style="55" bestFit="1" customWidth="1"/>
    <col min="3338" max="3338" width="16.140625" style="55" bestFit="1" customWidth="1"/>
    <col min="3339" max="3585" width="9.140625" style="55"/>
    <col min="3586" max="3586" width="13.85546875" style="55" bestFit="1" customWidth="1"/>
    <col min="3587" max="3587" width="10.42578125" style="55" bestFit="1" customWidth="1"/>
    <col min="3588" max="3588" width="9" style="55" bestFit="1" customWidth="1"/>
    <col min="3589" max="3590" width="14.7109375" style="55" bestFit="1" customWidth="1"/>
    <col min="3591" max="3591" width="10.85546875" style="55" bestFit="1" customWidth="1"/>
    <col min="3592" max="3592" width="10.7109375" style="55" bestFit="1" customWidth="1"/>
    <col min="3593" max="3593" width="9" style="55" bestFit="1" customWidth="1"/>
    <col min="3594" max="3594" width="16.140625" style="55" bestFit="1" customWidth="1"/>
    <col min="3595" max="3841" width="9.140625" style="55"/>
    <col min="3842" max="3842" width="13.85546875" style="55" bestFit="1" customWidth="1"/>
    <col min="3843" max="3843" width="10.42578125" style="55" bestFit="1" customWidth="1"/>
    <col min="3844" max="3844" width="9" style="55" bestFit="1" customWidth="1"/>
    <col min="3845" max="3846" width="14.7109375" style="55" bestFit="1" customWidth="1"/>
    <col min="3847" max="3847" width="10.85546875" style="55" bestFit="1" customWidth="1"/>
    <col min="3848" max="3848" width="10.7109375" style="55" bestFit="1" customWidth="1"/>
    <col min="3849" max="3849" width="9" style="55" bestFit="1" customWidth="1"/>
    <col min="3850" max="3850" width="16.140625" style="55" bestFit="1" customWidth="1"/>
    <col min="3851" max="4097" width="9.140625" style="55"/>
    <col min="4098" max="4098" width="13.85546875" style="55" bestFit="1" customWidth="1"/>
    <col min="4099" max="4099" width="10.42578125" style="55" bestFit="1" customWidth="1"/>
    <col min="4100" max="4100" width="9" style="55" bestFit="1" customWidth="1"/>
    <col min="4101" max="4102" width="14.7109375" style="55" bestFit="1" customWidth="1"/>
    <col min="4103" max="4103" width="10.85546875" style="55" bestFit="1" customWidth="1"/>
    <col min="4104" max="4104" width="10.7109375" style="55" bestFit="1" customWidth="1"/>
    <col min="4105" max="4105" width="9" style="55" bestFit="1" customWidth="1"/>
    <col min="4106" max="4106" width="16.140625" style="55" bestFit="1" customWidth="1"/>
    <col min="4107" max="4353" width="9.140625" style="55"/>
    <col min="4354" max="4354" width="13.85546875" style="55" bestFit="1" customWidth="1"/>
    <col min="4355" max="4355" width="10.42578125" style="55" bestFit="1" customWidth="1"/>
    <col min="4356" max="4356" width="9" style="55" bestFit="1" customWidth="1"/>
    <col min="4357" max="4358" width="14.7109375" style="55" bestFit="1" customWidth="1"/>
    <col min="4359" max="4359" width="10.85546875" style="55" bestFit="1" customWidth="1"/>
    <col min="4360" max="4360" width="10.7109375" style="55" bestFit="1" customWidth="1"/>
    <col min="4361" max="4361" width="9" style="55" bestFit="1" customWidth="1"/>
    <col min="4362" max="4362" width="16.140625" style="55" bestFit="1" customWidth="1"/>
    <col min="4363" max="4609" width="9.140625" style="55"/>
    <col min="4610" max="4610" width="13.85546875" style="55" bestFit="1" customWidth="1"/>
    <col min="4611" max="4611" width="10.42578125" style="55" bestFit="1" customWidth="1"/>
    <col min="4612" max="4612" width="9" style="55" bestFit="1" customWidth="1"/>
    <col min="4613" max="4614" width="14.7109375" style="55" bestFit="1" customWidth="1"/>
    <col min="4615" max="4615" width="10.85546875" style="55" bestFit="1" customWidth="1"/>
    <col min="4616" max="4616" width="10.7109375" style="55" bestFit="1" customWidth="1"/>
    <col min="4617" max="4617" width="9" style="55" bestFit="1" customWidth="1"/>
    <col min="4618" max="4618" width="16.140625" style="55" bestFit="1" customWidth="1"/>
    <col min="4619" max="4865" width="9.140625" style="55"/>
    <col min="4866" max="4866" width="13.85546875" style="55" bestFit="1" customWidth="1"/>
    <col min="4867" max="4867" width="10.42578125" style="55" bestFit="1" customWidth="1"/>
    <col min="4868" max="4868" width="9" style="55" bestFit="1" customWidth="1"/>
    <col min="4869" max="4870" width="14.7109375" style="55" bestFit="1" customWidth="1"/>
    <col min="4871" max="4871" width="10.85546875" style="55" bestFit="1" customWidth="1"/>
    <col min="4872" max="4872" width="10.7109375" style="55" bestFit="1" customWidth="1"/>
    <col min="4873" max="4873" width="9" style="55" bestFit="1" customWidth="1"/>
    <col min="4874" max="4874" width="16.140625" style="55" bestFit="1" customWidth="1"/>
    <col min="4875" max="5121" width="9.140625" style="55"/>
    <col min="5122" max="5122" width="13.85546875" style="55" bestFit="1" customWidth="1"/>
    <col min="5123" max="5123" width="10.42578125" style="55" bestFit="1" customWidth="1"/>
    <col min="5124" max="5124" width="9" style="55" bestFit="1" customWidth="1"/>
    <col min="5125" max="5126" width="14.7109375" style="55" bestFit="1" customWidth="1"/>
    <col min="5127" max="5127" width="10.85546875" style="55" bestFit="1" customWidth="1"/>
    <col min="5128" max="5128" width="10.7109375" style="55" bestFit="1" customWidth="1"/>
    <col min="5129" max="5129" width="9" style="55" bestFit="1" customWidth="1"/>
    <col min="5130" max="5130" width="16.140625" style="55" bestFit="1" customWidth="1"/>
    <col min="5131" max="5377" width="9.140625" style="55"/>
    <col min="5378" max="5378" width="13.85546875" style="55" bestFit="1" customWidth="1"/>
    <col min="5379" max="5379" width="10.42578125" style="55" bestFit="1" customWidth="1"/>
    <col min="5380" max="5380" width="9" style="55" bestFit="1" customWidth="1"/>
    <col min="5381" max="5382" width="14.7109375" style="55" bestFit="1" customWidth="1"/>
    <col min="5383" max="5383" width="10.85546875" style="55" bestFit="1" customWidth="1"/>
    <col min="5384" max="5384" width="10.7109375" style="55" bestFit="1" customWidth="1"/>
    <col min="5385" max="5385" width="9" style="55" bestFit="1" customWidth="1"/>
    <col min="5386" max="5386" width="16.140625" style="55" bestFit="1" customWidth="1"/>
    <col min="5387" max="5633" width="9.140625" style="55"/>
    <col min="5634" max="5634" width="13.85546875" style="55" bestFit="1" customWidth="1"/>
    <col min="5635" max="5635" width="10.42578125" style="55" bestFit="1" customWidth="1"/>
    <col min="5636" max="5636" width="9" style="55" bestFit="1" customWidth="1"/>
    <col min="5637" max="5638" width="14.7109375" style="55" bestFit="1" customWidth="1"/>
    <col min="5639" max="5639" width="10.85546875" style="55" bestFit="1" customWidth="1"/>
    <col min="5640" max="5640" width="10.7109375" style="55" bestFit="1" customWidth="1"/>
    <col min="5641" max="5641" width="9" style="55" bestFit="1" customWidth="1"/>
    <col min="5642" max="5642" width="16.140625" style="55" bestFit="1" customWidth="1"/>
    <col min="5643" max="5889" width="9.140625" style="55"/>
    <col min="5890" max="5890" width="13.85546875" style="55" bestFit="1" customWidth="1"/>
    <col min="5891" max="5891" width="10.42578125" style="55" bestFit="1" customWidth="1"/>
    <col min="5892" max="5892" width="9" style="55" bestFit="1" customWidth="1"/>
    <col min="5893" max="5894" width="14.7109375" style="55" bestFit="1" customWidth="1"/>
    <col min="5895" max="5895" width="10.85546875" style="55" bestFit="1" customWidth="1"/>
    <col min="5896" max="5896" width="10.7109375" style="55" bestFit="1" customWidth="1"/>
    <col min="5897" max="5897" width="9" style="55" bestFit="1" customWidth="1"/>
    <col min="5898" max="5898" width="16.140625" style="55" bestFit="1" customWidth="1"/>
    <col min="5899" max="6145" width="9.140625" style="55"/>
    <col min="6146" max="6146" width="13.85546875" style="55" bestFit="1" customWidth="1"/>
    <col min="6147" max="6147" width="10.42578125" style="55" bestFit="1" customWidth="1"/>
    <col min="6148" max="6148" width="9" style="55" bestFit="1" customWidth="1"/>
    <col min="6149" max="6150" width="14.7109375" style="55" bestFit="1" customWidth="1"/>
    <col min="6151" max="6151" width="10.85546875" style="55" bestFit="1" customWidth="1"/>
    <col min="6152" max="6152" width="10.7109375" style="55" bestFit="1" customWidth="1"/>
    <col min="6153" max="6153" width="9" style="55" bestFit="1" customWidth="1"/>
    <col min="6154" max="6154" width="16.140625" style="55" bestFit="1" customWidth="1"/>
    <col min="6155" max="6401" width="9.140625" style="55"/>
    <col min="6402" max="6402" width="13.85546875" style="55" bestFit="1" customWidth="1"/>
    <col min="6403" max="6403" width="10.42578125" style="55" bestFit="1" customWidth="1"/>
    <col min="6404" max="6404" width="9" style="55" bestFit="1" customWidth="1"/>
    <col min="6405" max="6406" width="14.7109375" style="55" bestFit="1" customWidth="1"/>
    <col min="6407" max="6407" width="10.85546875" style="55" bestFit="1" customWidth="1"/>
    <col min="6408" max="6408" width="10.7109375" style="55" bestFit="1" customWidth="1"/>
    <col min="6409" max="6409" width="9" style="55" bestFit="1" customWidth="1"/>
    <col min="6410" max="6410" width="16.140625" style="55" bestFit="1" customWidth="1"/>
    <col min="6411" max="6657" width="9.140625" style="55"/>
    <col min="6658" max="6658" width="13.85546875" style="55" bestFit="1" customWidth="1"/>
    <col min="6659" max="6659" width="10.42578125" style="55" bestFit="1" customWidth="1"/>
    <col min="6660" max="6660" width="9" style="55" bestFit="1" customWidth="1"/>
    <col min="6661" max="6662" width="14.7109375" style="55" bestFit="1" customWidth="1"/>
    <col min="6663" max="6663" width="10.85546875" style="55" bestFit="1" customWidth="1"/>
    <col min="6664" max="6664" width="10.7109375" style="55" bestFit="1" customWidth="1"/>
    <col min="6665" max="6665" width="9" style="55" bestFit="1" customWidth="1"/>
    <col min="6666" max="6666" width="16.140625" style="55" bestFit="1" customWidth="1"/>
    <col min="6667" max="6913" width="9.140625" style="55"/>
    <col min="6914" max="6914" width="13.85546875" style="55" bestFit="1" customWidth="1"/>
    <col min="6915" max="6915" width="10.42578125" style="55" bestFit="1" customWidth="1"/>
    <col min="6916" max="6916" width="9" style="55" bestFit="1" customWidth="1"/>
    <col min="6917" max="6918" width="14.7109375" style="55" bestFit="1" customWidth="1"/>
    <col min="6919" max="6919" width="10.85546875" style="55" bestFit="1" customWidth="1"/>
    <col min="6920" max="6920" width="10.7109375" style="55" bestFit="1" customWidth="1"/>
    <col min="6921" max="6921" width="9" style="55" bestFit="1" customWidth="1"/>
    <col min="6922" max="6922" width="16.140625" style="55" bestFit="1" customWidth="1"/>
    <col min="6923" max="7169" width="9.140625" style="55"/>
    <col min="7170" max="7170" width="13.85546875" style="55" bestFit="1" customWidth="1"/>
    <col min="7171" max="7171" width="10.42578125" style="55" bestFit="1" customWidth="1"/>
    <col min="7172" max="7172" width="9" style="55" bestFit="1" customWidth="1"/>
    <col min="7173" max="7174" width="14.7109375" style="55" bestFit="1" customWidth="1"/>
    <col min="7175" max="7175" width="10.85546875" style="55" bestFit="1" customWidth="1"/>
    <col min="7176" max="7176" width="10.7109375" style="55" bestFit="1" customWidth="1"/>
    <col min="7177" max="7177" width="9" style="55" bestFit="1" customWidth="1"/>
    <col min="7178" max="7178" width="16.140625" style="55" bestFit="1" customWidth="1"/>
    <col min="7179" max="7425" width="9.140625" style="55"/>
    <col min="7426" max="7426" width="13.85546875" style="55" bestFit="1" customWidth="1"/>
    <col min="7427" max="7427" width="10.42578125" style="55" bestFit="1" customWidth="1"/>
    <col min="7428" max="7428" width="9" style="55" bestFit="1" customWidth="1"/>
    <col min="7429" max="7430" width="14.7109375" style="55" bestFit="1" customWidth="1"/>
    <col min="7431" max="7431" width="10.85546875" style="55" bestFit="1" customWidth="1"/>
    <col min="7432" max="7432" width="10.7109375" style="55" bestFit="1" customWidth="1"/>
    <col min="7433" max="7433" width="9" style="55" bestFit="1" customWidth="1"/>
    <col min="7434" max="7434" width="16.140625" style="55" bestFit="1" customWidth="1"/>
    <col min="7435" max="7681" width="9.140625" style="55"/>
    <col min="7682" max="7682" width="13.85546875" style="55" bestFit="1" customWidth="1"/>
    <col min="7683" max="7683" width="10.42578125" style="55" bestFit="1" customWidth="1"/>
    <col min="7684" max="7684" width="9" style="55" bestFit="1" customWidth="1"/>
    <col min="7685" max="7686" width="14.7109375" style="55" bestFit="1" customWidth="1"/>
    <col min="7687" max="7687" width="10.85546875" style="55" bestFit="1" customWidth="1"/>
    <col min="7688" max="7688" width="10.7109375" style="55" bestFit="1" customWidth="1"/>
    <col min="7689" max="7689" width="9" style="55" bestFit="1" customWidth="1"/>
    <col min="7690" max="7690" width="16.140625" style="55" bestFit="1" customWidth="1"/>
    <col min="7691" max="7937" width="9.140625" style="55"/>
    <col min="7938" max="7938" width="13.85546875" style="55" bestFit="1" customWidth="1"/>
    <col min="7939" max="7939" width="10.42578125" style="55" bestFit="1" customWidth="1"/>
    <col min="7940" max="7940" width="9" style="55" bestFit="1" customWidth="1"/>
    <col min="7941" max="7942" width="14.7109375" style="55" bestFit="1" customWidth="1"/>
    <col min="7943" max="7943" width="10.85546875" style="55" bestFit="1" customWidth="1"/>
    <col min="7944" max="7944" width="10.7109375" style="55" bestFit="1" customWidth="1"/>
    <col min="7945" max="7945" width="9" style="55" bestFit="1" customWidth="1"/>
    <col min="7946" max="7946" width="16.140625" style="55" bestFit="1" customWidth="1"/>
    <col min="7947" max="8193" width="9.140625" style="55"/>
    <col min="8194" max="8194" width="13.85546875" style="55" bestFit="1" customWidth="1"/>
    <col min="8195" max="8195" width="10.42578125" style="55" bestFit="1" customWidth="1"/>
    <col min="8196" max="8196" width="9" style="55" bestFit="1" customWidth="1"/>
    <col min="8197" max="8198" width="14.7109375" style="55" bestFit="1" customWidth="1"/>
    <col min="8199" max="8199" width="10.85546875" style="55" bestFit="1" customWidth="1"/>
    <col min="8200" max="8200" width="10.7109375" style="55" bestFit="1" customWidth="1"/>
    <col min="8201" max="8201" width="9" style="55" bestFit="1" customWidth="1"/>
    <col min="8202" max="8202" width="16.140625" style="55" bestFit="1" customWidth="1"/>
    <col min="8203" max="8449" width="9.140625" style="55"/>
    <col min="8450" max="8450" width="13.85546875" style="55" bestFit="1" customWidth="1"/>
    <col min="8451" max="8451" width="10.42578125" style="55" bestFit="1" customWidth="1"/>
    <col min="8452" max="8452" width="9" style="55" bestFit="1" customWidth="1"/>
    <col min="8453" max="8454" width="14.7109375" style="55" bestFit="1" customWidth="1"/>
    <col min="8455" max="8455" width="10.85546875" style="55" bestFit="1" customWidth="1"/>
    <col min="8456" max="8456" width="10.7109375" style="55" bestFit="1" customWidth="1"/>
    <col min="8457" max="8457" width="9" style="55" bestFit="1" customWidth="1"/>
    <col min="8458" max="8458" width="16.140625" style="55" bestFit="1" customWidth="1"/>
    <col min="8459" max="8705" width="9.140625" style="55"/>
    <col min="8706" max="8706" width="13.85546875" style="55" bestFit="1" customWidth="1"/>
    <col min="8707" max="8707" width="10.42578125" style="55" bestFit="1" customWidth="1"/>
    <col min="8708" max="8708" width="9" style="55" bestFit="1" customWidth="1"/>
    <col min="8709" max="8710" width="14.7109375" style="55" bestFit="1" customWidth="1"/>
    <col min="8711" max="8711" width="10.85546875" style="55" bestFit="1" customWidth="1"/>
    <col min="8712" max="8712" width="10.7109375" style="55" bestFit="1" customWidth="1"/>
    <col min="8713" max="8713" width="9" style="55" bestFit="1" customWidth="1"/>
    <col min="8714" max="8714" width="16.140625" style="55" bestFit="1" customWidth="1"/>
    <col min="8715" max="8961" width="9.140625" style="55"/>
    <col min="8962" max="8962" width="13.85546875" style="55" bestFit="1" customWidth="1"/>
    <col min="8963" max="8963" width="10.42578125" style="55" bestFit="1" customWidth="1"/>
    <col min="8964" max="8964" width="9" style="55" bestFit="1" customWidth="1"/>
    <col min="8965" max="8966" width="14.7109375" style="55" bestFit="1" customWidth="1"/>
    <col min="8967" max="8967" width="10.85546875" style="55" bestFit="1" customWidth="1"/>
    <col min="8968" max="8968" width="10.7109375" style="55" bestFit="1" customWidth="1"/>
    <col min="8969" max="8969" width="9" style="55" bestFit="1" customWidth="1"/>
    <col min="8970" max="8970" width="16.140625" style="55" bestFit="1" customWidth="1"/>
    <col min="8971" max="9217" width="9.140625" style="55"/>
    <col min="9218" max="9218" width="13.85546875" style="55" bestFit="1" customWidth="1"/>
    <col min="9219" max="9219" width="10.42578125" style="55" bestFit="1" customWidth="1"/>
    <col min="9220" max="9220" width="9" style="55" bestFit="1" customWidth="1"/>
    <col min="9221" max="9222" width="14.7109375" style="55" bestFit="1" customWidth="1"/>
    <col min="9223" max="9223" width="10.85546875" style="55" bestFit="1" customWidth="1"/>
    <col min="9224" max="9224" width="10.7109375" style="55" bestFit="1" customWidth="1"/>
    <col min="9225" max="9225" width="9" style="55" bestFit="1" customWidth="1"/>
    <col min="9226" max="9226" width="16.140625" style="55" bestFit="1" customWidth="1"/>
    <col min="9227" max="9473" width="9.140625" style="55"/>
    <col min="9474" max="9474" width="13.85546875" style="55" bestFit="1" customWidth="1"/>
    <col min="9475" max="9475" width="10.42578125" style="55" bestFit="1" customWidth="1"/>
    <col min="9476" max="9476" width="9" style="55" bestFit="1" customWidth="1"/>
    <col min="9477" max="9478" width="14.7109375" style="55" bestFit="1" customWidth="1"/>
    <col min="9479" max="9479" width="10.85546875" style="55" bestFit="1" customWidth="1"/>
    <col min="9480" max="9480" width="10.7109375" style="55" bestFit="1" customWidth="1"/>
    <col min="9481" max="9481" width="9" style="55" bestFit="1" customWidth="1"/>
    <col min="9482" max="9482" width="16.140625" style="55" bestFit="1" customWidth="1"/>
    <col min="9483" max="9729" width="9.140625" style="55"/>
    <col min="9730" max="9730" width="13.85546875" style="55" bestFit="1" customWidth="1"/>
    <col min="9731" max="9731" width="10.42578125" style="55" bestFit="1" customWidth="1"/>
    <col min="9732" max="9732" width="9" style="55" bestFit="1" customWidth="1"/>
    <col min="9733" max="9734" width="14.7109375" style="55" bestFit="1" customWidth="1"/>
    <col min="9735" max="9735" width="10.85546875" style="55" bestFit="1" customWidth="1"/>
    <col min="9736" max="9736" width="10.7109375" style="55" bestFit="1" customWidth="1"/>
    <col min="9737" max="9737" width="9" style="55" bestFit="1" customWidth="1"/>
    <col min="9738" max="9738" width="16.140625" style="55" bestFit="1" customWidth="1"/>
    <col min="9739" max="9985" width="9.140625" style="55"/>
    <col min="9986" max="9986" width="13.85546875" style="55" bestFit="1" customWidth="1"/>
    <col min="9987" max="9987" width="10.42578125" style="55" bestFit="1" customWidth="1"/>
    <col min="9988" max="9988" width="9" style="55" bestFit="1" customWidth="1"/>
    <col min="9989" max="9990" width="14.7109375" style="55" bestFit="1" customWidth="1"/>
    <col min="9991" max="9991" width="10.85546875" style="55" bestFit="1" customWidth="1"/>
    <col min="9992" max="9992" width="10.7109375" style="55" bestFit="1" customWidth="1"/>
    <col min="9993" max="9993" width="9" style="55" bestFit="1" customWidth="1"/>
    <col min="9994" max="9994" width="16.140625" style="55" bestFit="1" customWidth="1"/>
    <col min="9995" max="10241" width="9.140625" style="55"/>
    <col min="10242" max="10242" width="13.85546875" style="55" bestFit="1" customWidth="1"/>
    <col min="10243" max="10243" width="10.42578125" style="55" bestFit="1" customWidth="1"/>
    <col min="10244" max="10244" width="9" style="55" bestFit="1" customWidth="1"/>
    <col min="10245" max="10246" width="14.7109375" style="55" bestFit="1" customWidth="1"/>
    <col min="10247" max="10247" width="10.85546875" style="55" bestFit="1" customWidth="1"/>
    <col min="10248" max="10248" width="10.7109375" style="55" bestFit="1" customWidth="1"/>
    <col min="10249" max="10249" width="9" style="55" bestFit="1" customWidth="1"/>
    <col min="10250" max="10250" width="16.140625" style="55" bestFit="1" customWidth="1"/>
    <col min="10251" max="10497" width="9.140625" style="55"/>
    <col min="10498" max="10498" width="13.85546875" style="55" bestFit="1" customWidth="1"/>
    <col min="10499" max="10499" width="10.42578125" style="55" bestFit="1" customWidth="1"/>
    <col min="10500" max="10500" width="9" style="55" bestFit="1" customWidth="1"/>
    <col min="10501" max="10502" width="14.7109375" style="55" bestFit="1" customWidth="1"/>
    <col min="10503" max="10503" width="10.85546875" style="55" bestFit="1" customWidth="1"/>
    <col min="10504" max="10504" width="10.7109375" style="55" bestFit="1" customWidth="1"/>
    <col min="10505" max="10505" width="9" style="55" bestFit="1" customWidth="1"/>
    <col min="10506" max="10506" width="16.140625" style="55" bestFit="1" customWidth="1"/>
    <col min="10507" max="10753" width="9.140625" style="55"/>
    <col min="10754" max="10754" width="13.85546875" style="55" bestFit="1" customWidth="1"/>
    <col min="10755" max="10755" width="10.42578125" style="55" bestFit="1" customWidth="1"/>
    <col min="10756" max="10756" width="9" style="55" bestFit="1" customWidth="1"/>
    <col min="10757" max="10758" width="14.7109375" style="55" bestFit="1" customWidth="1"/>
    <col min="10759" max="10759" width="10.85546875" style="55" bestFit="1" customWidth="1"/>
    <col min="10760" max="10760" width="10.7109375" style="55" bestFit="1" customWidth="1"/>
    <col min="10761" max="10761" width="9" style="55" bestFit="1" customWidth="1"/>
    <col min="10762" max="10762" width="16.140625" style="55" bestFit="1" customWidth="1"/>
    <col min="10763" max="11009" width="9.140625" style="55"/>
    <col min="11010" max="11010" width="13.85546875" style="55" bestFit="1" customWidth="1"/>
    <col min="11011" max="11011" width="10.42578125" style="55" bestFit="1" customWidth="1"/>
    <col min="11012" max="11012" width="9" style="55" bestFit="1" customWidth="1"/>
    <col min="11013" max="11014" width="14.7109375" style="55" bestFit="1" customWidth="1"/>
    <col min="11015" max="11015" width="10.85546875" style="55" bestFit="1" customWidth="1"/>
    <col min="11016" max="11016" width="10.7109375" style="55" bestFit="1" customWidth="1"/>
    <col min="11017" max="11017" width="9" style="55" bestFit="1" customWidth="1"/>
    <col min="11018" max="11018" width="16.140625" style="55" bestFit="1" customWidth="1"/>
    <col min="11019" max="11265" width="9.140625" style="55"/>
    <col min="11266" max="11266" width="13.85546875" style="55" bestFit="1" customWidth="1"/>
    <col min="11267" max="11267" width="10.42578125" style="55" bestFit="1" customWidth="1"/>
    <col min="11268" max="11268" width="9" style="55" bestFit="1" customWidth="1"/>
    <col min="11269" max="11270" width="14.7109375" style="55" bestFit="1" customWidth="1"/>
    <col min="11271" max="11271" width="10.85546875" style="55" bestFit="1" customWidth="1"/>
    <col min="11272" max="11272" width="10.7109375" style="55" bestFit="1" customWidth="1"/>
    <col min="11273" max="11273" width="9" style="55" bestFit="1" customWidth="1"/>
    <col min="11274" max="11274" width="16.140625" style="55" bestFit="1" customWidth="1"/>
    <col min="11275" max="11521" width="9.140625" style="55"/>
    <col min="11522" max="11522" width="13.85546875" style="55" bestFit="1" customWidth="1"/>
    <col min="11523" max="11523" width="10.42578125" style="55" bestFit="1" customWidth="1"/>
    <col min="11524" max="11524" width="9" style="55" bestFit="1" customWidth="1"/>
    <col min="11525" max="11526" width="14.7109375" style="55" bestFit="1" customWidth="1"/>
    <col min="11527" max="11527" width="10.85546875" style="55" bestFit="1" customWidth="1"/>
    <col min="11528" max="11528" width="10.7109375" style="55" bestFit="1" customWidth="1"/>
    <col min="11529" max="11529" width="9" style="55" bestFit="1" customWidth="1"/>
    <col min="11530" max="11530" width="16.140625" style="55" bestFit="1" customWidth="1"/>
    <col min="11531" max="11777" width="9.140625" style="55"/>
    <col min="11778" max="11778" width="13.85546875" style="55" bestFit="1" customWidth="1"/>
    <col min="11779" max="11779" width="10.42578125" style="55" bestFit="1" customWidth="1"/>
    <col min="11780" max="11780" width="9" style="55" bestFit="1" customWidth="1"/>
    <col min="11781" max="11782" width="14.7109375" style="55" bestFit="1" customWidth="1"/>
    <col min="11783" max="11783" width="10.85546875" style="55" bestFit="1" customWidth="1"/>
    <col min="11784" max="11784" width="10.7109375" style="55" bestFit="1" customWidth="1"/>
    <col min="11785" max="11785" width="9" style="55" bestFit="1" customWidth="1"/>
    <col min="11786" max="11786" width="16.140625" style="55" bestFit="1" customWidth="1"/>
    <col min="11787" max="12033" width="9.140625" style="55"/>
    <col min="12034" max="12034" width="13.85546875" style="55" bestFit="1" customWidth="1"/>
    <col min="12035" max="12035" width="10.42578125" style="55" bestFit="1" customWidth="1"/>
    <col min="12036" max="12036" width="9" style="55" bestFit="1" customWidth="1"/>
    <col min="12037" max="12038" width="14.7109375" style="55" bestFit="1" customWidth="1"/>
    <col min="12039" max="12039" width="10.85546875" style="55" bestFit="1" customWidth="1"/>
    <col min="12040" max="12040" width="10.7109375" style="55" bestFit="1" customWidth="1"/>
    <col min="12041" max="12041" width="9" style="55" bestFit="1" customWidth="1"/>
    <col min="12042" max="12042" width="16.140625" style="55" bestFit="1" customWidth="1"/>
    <col min="12043" max="12289" width="9.140625" style="55"/>
    <col min="12290" max="12290" width="13.85546875" style="55" bestFit="1" customWidth="1"/>
    <col min="12291" max="12291" width="10.42578125" style="55" bestFit="1" customWidth="1"/>
    <col min="12292" max="12292" width="9" style="55" bestFit="1" customWidth="1"/>
    <col min="12293" max="12294" width="14.7109375" style="55" bestFit="1" customWidth="1"/>
    <col min="12295" max="12295" width="10.85546875" style="55" bestFit="1" customWidth="1"/>
    <col min="12296" max="12296" width="10.7109375" style="55" bestFit="1" customWidth="1"/>
    <col min="12297" max="12297" width="9" style="55" bestFit="1" customWidth="1"/>
    <col min="12298" max="12298" width="16.140625" style="55" bestFit="1" customWidth="1"/>
    <col min="12299" max="12545" width="9.140625" style="55"/>
    <col min="12546" max="12546" width="13.85546875" style="55" bestFit="1" customWidth="1"/>
    <col min="12547" max="12547" width="10.42578125" style="55" bestFit="1" customWidth="1"/>
    <col min="12548" max="12548" width="9" style="55" bestFit="1" customWidth="1"/>
    <col min="12549" max="12550" width="14.7109375" style="55" bestFit="1" customWidth="1"/>
    <col min="12551" max="12551" width="10.85546875" style="55" bestFit="1" customWidth="1"/>
    <col min="12552" max="12552" width="10.7109375" style="55" bestFit="1" customWidth="1"/>
    <col min="12553" max="12553" width="9" style="55" bestFit="1" customWidth="1"/>
    <col min="12554" max="12554" width="16.140625" style="55" bestFit="1" customWidth="1"/>
    <col min="12555" max="12801" width="9.140625" style="55"/>
    <col min="12802" max="12802" width="13.85546875" style="55" bestFit="1" customWidth="1"/>
    <col min="12803" max="12803" width="10.42578125" style="55" bestFit="1" customWidth="1"/>
    <col min="12804" max="12804" width="9" style="55" bestFit="1" customWidth="1"/>
    <col min="12805" max="12806" width="14.7109375" style="55" bestFit="1" customWidth="1"/>
    <col min="12807" max="12807" width="10.85546875" style="55" bestFit="1" customWidth="1"/>
    <col min="12808" max="12808" width="10.7109375" style="55" bestFit="1" customWidth="1"/>
    <col min="12809" max="12809" width="9" style="55" bestFit="1" customWidth="1"/>
    <col min="12810" max="12810" width="16.140625" style="55" bestFit="1" customWidth="1"/>
    <col min="12811" max="13057" width="9.140625" style="55"/>
    <col min="13058" max="13058" width="13.85546875" style="55" bestFit="1" customWidth="1"/>
    <col min="13059" max="13059" width="10.42578125" style="55" bestFit="1" customWidth="1"/>
    <col min="13060" max="13060" width="9" style="55" bestFit="1" customWidth="1"/>
    <col min="13061" max="13062" width="14.7109375" style="55" bestFit="1" customWidth="1"/>
    <col min="13063" max="13063" width="10.85546875" style="55" bestFit="1" customWidth="1"/>
    <col min="13064" max="13064" width="10.7109375" style="55" bestFit="1" customWidth="1"/>
    <col min="13065" max="13065" width="9" style="55" bestFit="1" customWidth="1"/>
    <col min="13066" max="13066" width="16.140625" style="55" bestFit="1" customWidth="1"/>
    <col min="13067" max="13313" width="9.140625" style="55"/>
    <col min="13314" max="13314" width="13.85546875" style="55" bestFit="1" customWidth="1"/>
    <col min="13315" max="13315" width="10.42578125" style="55" bestFit="1" customWidth="1"/>
    <col min="13316" max="13316" width="9" style="55" bestFit="1" customWidth="1"/>
    <col min="13317" max="13318" width="14.7109375" style="55" bestFit="1" customWidth="1"/>
    <col min="13319" max="13319" width="10.85546875" style="55" bestFit="1" customWidth="1"/>
    <col min="13320" max="13320" width="10.7109375" style="55" bestFit="1" customWidth="1"/>
    <col min="13321" max="13321" width="9" style="55" bestFit="1" customWidth="1"/>
    <col min="13322" max="13322" width="16.140625" style="55" bestFit="1" customWidth="1"/>
    <col min="13323" max="13569" width="9.140625" style="55"/>
    <col min="13570" max="13570" width="13.85546875" style="55" bestFit="1" customWidth="1"/>
    <col min="13571" max="13571" width="10.42578125" style="55" bestFit="1" customWidth="1"/>
    <col min="13572" max="13572" width="9" style="55" bestFit="1" customWidth="1"/>
    <col min="13573" max="13574" width="14.7109375" style="55" bestFit="1" customWidth="1"/>
    <col min="13575" max="13575" width="10.85546875" style="55" bestFit="1" customWidth="1"/>
    <col min="13576" max="13576" width="10.7109375" style="55" bestFit="1" customWidth="1"/>
    <col min="13577" max="13577" width="9" style="55" bestFit="1" customWidth="1"/>
    <col min="13578" max="13578" width="16.140625" style="55" bestFit="1" customWidth="1"/>
    <col min="13579" max="13825" width="9.140625" style="55"/>
    <col min="13826" max="13826" width="13.85546875" style="55" bestFit="1" customWidth="1"/>
    <col min="13827" max="13827" width="10.42578125" style="55" bestFit="1" customWidth="1"/>
    <col min="13828" max="13828" width="9" style="55" bestFit="1" customWidth="1"/>
    <col min="13829" max="13830" width="14.7109375" style="55" bestFit="1" customWidth="1"/>
    <col min="13831" max="13831" width="10.85546875" style="55" bestFit="1" customWidth="1"/>
    <col min="13832" max="13832" width="10.7109375" style="55" bestFit="1" customWidth="1"/>
    <col min="13833" max="13833" width="9" style="55" bestFit="1" customWidth="1"/>
    <col min="13834" max="13834" width="16.140625" style="55" bestFit="1" customWidth="1"/>
    <col min="13835" max="14081" width="9.140625" style="55"/>
    <col min="14082" max="14082" width="13.85546875" style="55" bestFit="1" customWidth="1"/>
    <col min="14083" max="14083" width="10.42578125" style="55" bestFit="1" customWidth="1"/>
    <col min="14084" max="14084" width="9" style="55" bestFit="1" customWidth="1"/>
    <col min="14085" max="14086" width="14.7109375" style="55" bestFit="1" customWidth="1"/>
    <col min="14087" max="14087" width="10.85546875" style="55" bestFit="1" customWidth="1"/>
    <col min="14088" max="14088" width="10.7109375" style="55" bestFit="1" customWidth="1"/>
    <col min="14089" max="14089" width="9" style="55" bestFit="1" customWidth="1"/>
    <col min="14090" max="14090" width="16.140625" style="55" bestFit="1" customWidth="1"/>
    <col min="14091" max="14337" width="9.140625" style="55"/>
    <col min="14338" max="14338" width="13.85546875" style="55" bestFit="1" customWidth="1"/>
    <col min="14339" max="14339" width="10.42578125" style="55" bestFit="1" customWidth="1"/>
    <col min="14340" max="14340" width="9" style="55" bestFit="1" customWidth="1"/>
    <col min="14341" max="14342" width="14.7109375" style="55" bestFit="1" customWidth="1"/>
    <col min="14343" max="14343" width="10.85546875" style="55" bestFit="1" customWidth="1"/>
    <col min="14344" max="14344" width="10.7109375" style="55" bestFit="1" customWidth="1"/>
    <col min="14345" max="14345" width="9" style="55" bestFit="1" customWidth="1"/>
    <col min="14346" max="14346" width="16.140625" style="55" bestFit="1" customWidth="1"/>
    <col min="14347" max="14593" width="9.140625" style="55"/>
    <col min="14594" max="14594" width="13.85546875" style="55" bestFit="1" customWidth="1"/>
    <col min="14595" max="14595" width="10.42578125" style="55" bestFit="1" customWidth="1"/>
    <col min="14596" max="14596" width="9" style="55" bestFit="1" customWidth="1"/>
    <col min="14597" max="14598" width="14.7109375" style="55" bestFit="1" customWidth="1"/>
    <col min="14599" max="14599" width="10.85546875" style="55" bestFit="1" customWidth="1"/>
    <col min="14600" max="14600" width="10.7109375" style="55" bestFit="1" customWidth="1"/>
    <col min="14601" max="14601" width="9" style="55" bestFit="1" customWidth="1"/>
    <col min="14602" max="14602" width="16.140625" style="55" bestFit="1" customWidth="1"/>
    <col min="14603" max="14849" width="9.140625" style="55"/>
    <col min="14850" max="14850" width="13.85546875" style="55" bestFit="1" customWidth="1"/>
    <col min="14851" max="14851" width="10.42578125" style="55" bestFit="1" customWidth="1"/>
    <col min="14852" max="14852" width="9" style="55" bestFit="1" customWidth="1"/>
    <col min="14853" max="14854" width="14.7109375" style="55" bestFit="1" customWidth="1"/>
    <col min="14855" max="14855" width="10.85546875" style="55" bestFit="1" customWidth="1"/>
    <col min="14856" max="14856" width="10.7109375" style="55" bestFit="1" customWidth="1"/>
    <col min="14857" max="14857" width="9" style="55" bestFit="1" customWidth="1"/>
    <col min="14858" max="14858" width="16.140625" style="55" bestFit="1" customWidth="1"/>
    <col min="14859" max="15105" width="9.140625" style="55"/>
    <col min="15106" max="15106" width="13.85546875" style="55" bestFit="1" customWidth="1"/>
    <col min="15107" max="15107" width="10.42578125" style="55" bestFit="1" customWidth="1"/>
    <col min="15108" max="15108" width="9" style="55" bestFit="1" customWidth="1"/>
    <col min="15109" max="15110" width="14.7109375" style="55" bestFit="1" customWidth="1"/>
    <col min="15111" max="15111" width="10.85546875" style="55" bestFit="1" customWidth="1"/>
    <col min="15112" max="15112" width="10.7109375" style="55" bestFit="1" customWidth="1"/>
    <col min="15113" max="15113" width="9" style="55" bestFit="1" customWidth="1"/>
    <col min="15114" max="15114" width="16.140625" style="55" bestFit="1" customWidth="1"/>
    <col min="15115" max="15361" width="9.140625" style="55"/>
    <col min="15362" max="15362" width="13.85546875" style="55" bestFit="1" customWidth="1"/>
    <col min="15363" max="15363" width="10.42578125" style="55" bestFit="1" customWidth="1"/>
    <col min="15364" max="15364" width="9" style="55" bestFit="1" customWidth="1"/>
    <col min="15365" max="15366" width="14.7109375" style="55" bestFit="1" customWidth="1"/>
    <col min="15367" max="15367" width="10.85546875" style="55" bestFit="1" customWidth="1"/>
    <col min="15368" max="15368" width="10.7109375" style="55" bestFit="1" customWidth="1"/>
    <col min="15369" max="15369" width="9" style="55" bestFit="1" customWidth="1"/>
    <col min="15370" max="15370" width="16.140625" style="55" bestFit="1" customWidth="1"/>
    <col min="15371" max="15617" width="9.140625" style="55"/>
    <col min="15618" max="15618" width="13.85546875" style="55" bestFit="1" customWidth="1"/>
    <col min="15619" max="15619" width="10.42578125" style="55" bestFit="1" customWidth="1"/>
    <col min="15620" max="15620" width="9" style="55" bestFit="1" customWidth="1"/>
    <col min="15621" max="15622" width="14.7109375" style="55" bestFit="1" customWidth="1"/>
    <col min="15623" max="15623" width="10.85546875" style="55" bestFit="1" customWidth="1"/>
    <col min="15624" max="15624" width="10.7109375" style="55" bestFit="1" customWidth="1"/>
    <col min="15625" max="15625" width="9" style="55" bestFit="1" customWidth="1"/>
    <col min="15626" max="15626" width="16.140625" style="55" bestFit="1" customWidth="1"/>
    <col min="15627" max="15873" width="9.140625" style="55"/>
    <col min="15874" max="15874" width="13.85546875" style="55" bestFit="1" customWidth="1"/>
    <col min="15875" max="15875" width="10.42578125" style="55" bestFit="1" customWidth="1"/>
    <col min="15876" max="15876" width="9" style="55" bestFit="1" customWidth="1"/>
    <col min="15877" max="15878" width="14.7109375" style="55" bestFit="1" customWidth="1"/>
    <col min="15879" max="15879" width="10.85546875" style="55" bestFit="1" customWidth="1"/>
    <col min="15880" max="15880" width="10.7109375" style="55" bestFit="1" customWidth="1"/>
    <col min="15881" max="15881" width="9" style="55" bestFit="1" customWidth="1"/>
    <col min="15882" max="15882" width="16.140625" style="55" bestFit="1" customWidth="1"/>
    <col min="15883" max="16129" width="9.140625" style="55"/>
    <col min="16130" max="16130" width="13.85546875" style="55" bestFit="1" customWidth="1"/>
    <col min="16131" max="16131" width="10.42578125" style="55" bestFit="1" customWidth="1"/>
    <col min="16132" max="16132" width="9" style="55" bestFit="1" customWidth="1"/>
    <col min="16133" max="16134" width="14.7109375" style="55" bestFit="1" customWidth="1"/>
    <col min="16135" max="16135" width="10.85546875" style="55" bestFit="1" customWidth="1"/>
    <col min="16136" max="16136" width="10.7109375" style="55" bestFit="1" customWidth="1"/>
    <col min="16137" max="16137" width="9" style="55" bestFit="1" customWidth="1"/>
    <col min="16138" max="16138" width="16.140625" style="55" bestFit="1" customWidth="1"/>
    <col min="16139" max="16384" width="9.140625" style="55"/>
  </cols>
  <sheetData>
    <row r="1" spans="1:36" s="82" customFormat="1" ht="134.25" customHeight="1" x14ac:dyDescent="0.2">
      <c r="I1" s="92"/>
      <c r="J1" s="92"/>
      <c r="S1" s="93" t="s">
        <v>307</v>
      </c>
      <c r="W1" s="92"/>
    </row>
    <row r="2" spans="1:36" ht="14.25" customHeight="1" x14ac:dyDescent="0.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</row>
    <row r="3" spans="1:36" ht="19.5" customHeight="1" x14ac:dyDescent="0.2">
      <c r="A3" s="84"/>
      <c r="B3" s="85" t="s">
        <v>256</v>
      </c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3"/>
      <c r="O3" s="84"/>
      <c r="P3" s="85" t="s">
        <v>51</v>
      </c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3"/>
      <c r="AC3" s="83"/>
      <c r="AD3" s="83"/>
      <c r="AE3" s="83"/>
      <c r="AF3" s="83"/>
      <c r="AG3" s="83"/>
      <c r="AH3" s="83"/>
      <c r="AI3" s="83"/>
      <c r="AJ3" s="83"/>
    </row>
    <row r="4" spans="1:36" s="56" customFormat="1" ht="43.5" customHeight="1" x14ac:dyDescent="0.2">
      <c r="A4" s="86"/>
      <c r="B4" s="86"/>
      <c r="C4" s="86"/>
      <c r="D4" s="86"/>
      <c r="E4" s="91" t="s">
        <v>26</v>
      </c>
      <c r="F4" s="91" t="s">
        <v>27</v>
      </c>
      <c r="G4" s="91" t="s">
        <v>28</v>
      </c>
      <c r="H4" s="91" t="s">
        <v>29</v>
      </c>
      <c r="I4" s="91" t="s">
        <v>30</v>
      </c>
      <c r="J4" s="91" t="s">
        <v>31</v>
      </c>
      <c r="K4" s="91" t="s">
        <v>32</v>
      </c>
      <c r="L4" s="91" t="s">
        <v>33</v>
      </c>
      <c r="M4" s="91" t="s">
        <v>34</v>
      </c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</row>
    <row r="5" spans="1:36" ht="21.75" customHeight="1" x14ac:dyDescent="0.2">
      <c r="A5" s="83"/>
      <c r="B5" s="83"/>
      <c r="C5" s="83"/>
      <c r="D5" s="83"/>
      <c r="E5" s="87">
        <f>Data!B3</f>
        <v>6.2</v>
      </c>
      <c r="F5" s="87">
        <f>Data!B4</f>
        <v>47.14</v>
      </c>
      <c r="G5" s="87">
        <f>Data!B5</f>
        <v>2.69</v>
      </c>
      <c r="H5" s="87">
        <f>Data!B6</f>
        <v>4.45</v>
      </c>
      <c r="I5" s="87">
        <f>Data!B7</f>
        <v>3.65</v>
      </c>
      <c r="J5" s="87">
        <f>Data!B8</f>
        <v>4.6399999999999997</v>
      </c>
      <c r="K5" s="87">
        <f>Data!B9</f>
        <v>0.96</v>
      </c>
      <c r="L5" s="87">
        <f>Data!B10</f>
        <v>-2205.3000000000002</v>
      </c>
      <c r="M5" s="87">
        <f>Data!B11</f>
        <v>-5365</v>
      </c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ht="13.5" customHeight="1" x14ac:dyDescent="0.2">
      <c r="A6" s="83"/>
      <c r="B6" s="83"/>
      <c r="C6" s="83"/>
      <c r="D6" s="83"/>
      <c r="E6" s="88"/>
      <c r="F6" s="89"/>
      <c r="G6" s="85"/>
      <c r="H6" s="90"/>
      <c r="I6" s="85"/>
      <c r="J6" s="90"/>
      <c r="K6" s="90"/>
      <c r="L6" s="90"/>
      <c r="M6" s="90"/>
      <c r="N6" s="83"/>
      <c r="O6" s="83"/>
      <c r="P6" s="83"/>
      <c r="Q6" s="83"/>
      <c r="R6" s="83"/>
      <c r="S6" s="88"/>
      <c r="T6" s="89"/>
      <c r="U6" s="85"/>
      <c r="V6" s="90"/>
      <c r="W6" s="85"/>
      <c r="X6" s="90"/>
      <c r="Y6" s="90"/>
      <c r="Z6" s="90"/>
      <c r="AA6" s="90"/>
      <c r="AB6" s="83"/>
      <c r="AC6" s="83"/>
      <c r="AD6" s="83"/>
      <c r="AE6" s="83"/>
      <c r="AF6" s="83"/>
      <c r="AG6" s="83"/>
      <c r="AH6" s="83"/>
      <c r="AI6" s="83"/>
      <c r="AJ6" s="83"/>
    </row>
    <row r="7" spans="1:36" x14ac:dyDescent="0.2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</row>
    <row r="8" spans="1:36" x14ac:dyDescent="0.2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</row>
    <row r="9" spans="1:36" x14ac:dyDescent="0.2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</row>
    <row r="10" spans="1:36" x14ac:dyDescent="0.2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</row>
    <row r="11" spans="1:36" x14ac:dyDescent="0.2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</row>
    <row r="12" spans="1:36" x14ac:dyDescent="0.2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</row>
    <row r="13" spans="1:36" x14ac:dyDescent="0.2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</row>
    <row r="14" spans="1:36" x14ac:dyDescent="0.2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</row>
    <row r="15" spans="1:36" x14ac:dyDescent="0.2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</row>
    <row r="16" spans="1:36" x14ac:dyDescent="0.2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</row>
    <row r="17" spans="1:36" x14ac:dyDescent="0.2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</row>
    <row r="18" spans="1:36" x14ac:dyDescent="0.2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</row>
    <row r="19" spans="1:36" x14ac:dyDescent="0.2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</row>
    <row r="20" spans="1:36" x14ac:dyDescent="0.2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</row>
    <row r="21" spans="1:36" x14ac:dyDescent="0.2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</row>
    <row r="22" spans="1:36" x14ac:dyDescent="0.2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</row>
    <row r="23" spans="1:36" x14ac:dyDescent="0.2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</row>
    <row r="24" spans="1:36" x14ac:dyDescent="0.2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</row>
    <row r="25" spans="1:36" x14ac:dyDescent="0.2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</row>
    <row r="26" spans="1:36" x14ac:dyDescent="0.2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</row>
    <row r="27" spans="1:36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</row>
    <row r="28" spans="1:36" x14ac:dyDescent="0.2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</row>
    <row r="29" spans="1:36" x14ac:dyDescent="0.2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</row>
    <row r="30" spans="1:36" x14ac:dyDescent="0.2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</row>
    <row r="31" spans="1:36" x14ac:dyDescent="0.2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</row>
    <row r="32" spans="1:36" x14ac:dyDescent="0.2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</row>
    <row r="33" spans="1:36" x14ac:dyDescent="0.2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x14ac:dyDescent="0.2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</row>
    <row r="35" spans="1:36" x14ac:dyDescent="0.2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</row>
    <row r="36" spans="1:36" x14ac:dyDescent="0.2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</row>
    <row r="37" spans="1:36" x14ac:dyDescent="0.2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</row>
    <row r="38" spans="1:36" x14ac:dyDescent="0.2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</row>
    <row r="39" spans="1:36" x14ac:dyDescent="0.2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</row>
    <row r="40" spans="1:36" x14ac:dyDescent="0.2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</row>
    <row r="41" spans="1:36" x14ac:dyDescent="0.2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</row>
    <row r="42" spans="1:36" x14ac:dyDescent="0.2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</row>
    <row r="43" spans="1:36" x14ac:dyDescent="0.2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</row>
    <row r="44" spans="1:36" x14ac:dyDescent="0.2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</row>
    <row r="45" spans="1:36" x14ac:dyDescent="0.2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</row>
    <row r="46" spans="1:36" x14ac:dyDescent="0.2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</row>
    <row r="47" spans="1:36" x14ac:dyDescent="0.2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</row>
    <row r="48" spans="1:36" x14ac:dyDescent="0.2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</row>
    <row r="49" spans="1:36" x14ac:dyDescent="0.2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</row>
    <row r="50" spans="1:36" x14ac:dyDescent="0.2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</row>
    <row r="51" spans="1:36" x14ac:dyDescent="0.2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</row>
    <row r="52" spans="1:36" x14ac:dyDescent="0.2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</row>
    <row r="53" spans="1:36" x14ac:dyDescent="0.2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</row>
    <row r="54" spans="1:36" x14ac:dyDescent="0.2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</row>
    <row r="55" spans="1:36" x14ac:dyDescent="0.2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</row>
    <row r="56" spans="1:36" x14ac:dyDescent="0.2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</row>
    <row r="57" spans="1:36" x14ac:dyDescent="0.2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</row>
    <row r="58" spans="1:36" x14ac:dyDescent="0.2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</row>
    <row r="59" spans="1:36" x14ac:dyDescent="0.2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</row>
    <row r="60" spans="1:36" x14ac:dyDescent="0.2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</row>
    <row r="61" spans="1:36" x14ac:dyDescent="0.2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</row>
    <row r="62" spans="1:36" x14ac:dyDescent="0.2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</row>
    <row r="63" spans="1:36" x14ac:dyDescent="0.2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</row>
    <row r="64" spans="1:36" x14ac:dyDescent="0.2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</row>
    <row r="65" spans="1:36" x14ac:dyDescent="0.2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</row>
    <row r="66" spans="1:36" x14ac:dyDescent="0.2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</row>
    <row r="67" spans="1:36" x14ac:dyDescent="0.2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</row>
    <row r="68" spans="1:36" x14ac:dyDescent="0.2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</row>
    <row r="69" spans="1:36" x14ac:dyDescent="0.2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</row>
    <row r="70" spans="1:36" x14ac:dyDescent="0.2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</row>
    <row r="71" spans="1:36" x14ac:dyDescent="0.2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3"/>
    </row>
    <row r="72" spans="1:36" x14ac:dyDescent="0.2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</row>
    <row r="73" spans="1:36" x14ac:dyDescent="0.2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</row>
    <row r="74" spans="1:36" x14ac:dyDescent="0.2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</row>
    <row r="75" spans="1:36" x14ac:dyDescent="0.2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3"/>
    </row>
    <row r="76" spans="1:36" x14ac:dyDescent="0.2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</row>
    <row r="77" spans="1:36" x14ac:dyDescent="0.2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</row>
    <row r="78" spans="1:36" x14ac:dyDescent="0.2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3"/>
    </row>
    <row r="79" spans="1:36" x14ac:dyDescent="0.2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3"/>
    </row>
    <row r="80" spans="1:36" x14ac:dyDescent="0.2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83"/>
      <c r="AJ80" s="83"/>
    </row>
    <row r="81" spans="1:36" x14ac:dyDescent="0.2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</row>
    <row r="82" spans="1:36" x14ac:dyDescent="0.2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</row>
    <row r="83" spans="1:36" x14ac:dyDescent="0.2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83"/>
      <c r="AJ83" s="83"/>
    </row>
    <row r="84" spans="1:36" x14ac:dyDescent="0.2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83"/>
      <c r="AJ84" s="83"/>
    </row>
    <row r="85" spans="1:36" x14ac:dyDescent="0.2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83"/>
      <c r="AJ85" s="83"/>
    </row>
    <row r="86" spans="1:36" x14ac:dyDescent="0.2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</row>
    <row r="87" spans="1:36" x14ac:dyDescent="0.2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</row>
    <row r="88" spans="1:36" x14ac:dyDescent="0.2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</row>
    <row r="89" spans="1:36" x14ac:dyDescent="0.2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</row>
    <row r="90" spans="1:36" x14ac:dyDescent="0.2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</row>
    <row r="91" spans="1:36" x14ac:dyDescent="0.2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</row>
    <row r="92" spans="1:36" x14ac:dyDescent="0.2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</row>
    <row r="93" spans="1:36" x14ac:dyDescent="0.2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</row>
    <row r="94" spans="1:36" x14ac:dyDescent="0.2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</row>
    <row r="95" spans="1:36" x14ac:dyDescent="0.2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3"/>
    </row>
    <row r="96" spans="1:36" x14ac:dyDescent="0.2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</row>
    <row r="97" spans="1:36" x14ac:dyDescent="0.2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</row>
    <row r="98" spans="1:36" x14ac:dyDescent="0.2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83"/>
      <c r="AJ98" s="83"/>
    </row>
    <row r="99" spans="1:36" x14ac:dyDescent="0.2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83"/>
      <c r="AJ99" s="83"/>
    </row>
    <row r="100" spans="1:36" x14ac:dyDescent="0.2">
      <c r="A100" s="83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83"/>
      <c r="AJ100" s="83"/>
    </row>
    <row r="101" spans="1:36" x14ac:dyDescent="0.2">
      <c r="A101" s="83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linkedCell="B3:M3" listFillRange="Data!A34:A54" r:id="rId5">
            <anchor moveWithCells="1">
              <from>
                <xdr:col>0</xdr:col>
                <xdr:colOff>190500</xdr:colOff>
                <xdr:row>1</xdr:row>
                <xdr:rowOff>161925</xdr:rowOff>
              </from>
              <to>
                <xdr:col>3</xdr:col>
                <xdr:colOff>85725</xdr:colOff>
                <xdr:row>3</xdr:row>
                <xdr:rowOff>9525</xdr:rowOff>
              </to>
            </anchor>
          </controlPr>
        </control>
      </mc:Choice>
      <mc:Fallback>
        <control shapeId="3073" r:id="rId4" name="ComboBox1"/>
      </mc:Fallback>
    </mc:AlternateContent>
    <mc:AlternateContent xmlns:mc="http://schemas.openxmlformats.org/markup-compatibility/2006">
      <mc:Choice Requires="x14">
        <control shapeId="3074" r:id="rId6" name="CommandButton1">
          <controlPr autoLine="0" r:id="rId7">
            <anchor moveWithCells="1">
              <from>
                <xdr:col>0</xdr:col>
                <xdr:colOff>171450</xdr:colOff>
                <xdr:row>3</xdr:row>
                <xdr:rowOff>85725</xdr:rowOff>
              </from>
              <to>
                <xdr:col>3</xdr:col>
                <xdr:colOff>66675</xdr:colOff>
                <xdr:row>3</xdr:row>
                <xdr:rowOff>438150</xdr:rowOff>
              </to>
            </anchor>
          </controlPr>
        </control>
      </mc:Choice>
      <mc:Fallback>
        <control shapeId="3074" r:id="rId6" name="CommandButton1"/>
      </mc:Fallback>
    </mc:AlternateContent>
    <mc:AlternateContent xmlns:mc="http://schemas.openxmlformats.org/markup-compatibility/2006">
      <mc:Choice Requires="x14">
        <control shapeId="3079" r:id="rId8" name="Button 7">
          <controlPr defaultSize="0" print="0" autoFill="0" autoPict="0" macro="[0]!CopyChartsAsPicturesInGridWithSpacingAndDeleteImages">
            <anchor moveWithCells="1" sizeWithCells="1">
              <from>
                <xdr:col>14</xdr:col>
                <xdr:colOff>619125</xdr:colOff>
                <xdr:row>3</xdr:row>
                <xdr:rowOff>247650</xdr:rowOff>
              </from>
              <to>
                <xdr:col>16</xdr:col>
                <xdr:colOff>647700</xdr:colOff>
                <xdr:row>4</xdr:row>
                <xdr:rowOff>85725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ABCC-A8A1-4821-BE85-9B0193490C97}">
  <sheetPr codeName="Sheet3"/>
  <dimension ref="A1:AK109"/>
  <sheetViews>
    <sheetView zoomScale="119" workbookViewId="0">
      <selection activeCell="B3" sqref="B3"/>
    </sheetView>
  </sheetViews>
  <sheetFormatPr defaultRowHeight="12.75" x14ac:dyDescent="0.25"/>
  <cols>
    <col min="1" max="1" width="23" style="57" bestFit="1" customWidth="1"/>
    <col min="2" max="6" width="13.85546875" style="57" customWidth="1"/>
    <col min="7" max="7" width="25.28515625" style="57" customWidth="1"/>
    <col min="8" max="8" width="13.85546875" style="57" customWidth="1"/>
    <col min="9" max="11" width="20.85546875" style="57" customWidth="1"/>
    <col min="12" max="12" width="13.85546875" style="57" customWidth="1"/>
    <col min="13" max="13" width="23" style="57" customWidth="1"/>
    <col min="14" max="14" width="20.85546875" style="57" customWidth="1"/>
    <col min="15" max="16" width="13.85546875" style="57" customWidth="1"/>
    <col min="17" max="17" width="15.140625" style="57" bestFit="1" customWidth="1"/>
    <col min="18" max="18" width="24.28515625" style="57" customWidth="1"/>
    <col min="19" max="19" width="25.140625" style="57" bestFit="1" customWidth="1"/>
    <col min="20" max="20" width="21.7109375" style="57" customWidth="1"/>
    <col min="21" max="21" width="16.5703125" style="57" customWidth="1"/>
    <col min="22" max="22" width="20" style="57" customWidth="1"/>
    <col min="23" max="256" width="9.140625" style="57"/>
    <col min="257" max="257" width="23" style="57" bestFit="1" customWidth="1"/>
    <col min="258" max="262" width="13.85546875" style="57" customWidth="1"/>
    <col min="263" max="263" width="25.28515625" style="57" customWidth="1"/>
    <col min="264" max="264" width="13.85546875" style="57" customWidth="1"/>
    <col min="265" max="267" width="20.85546875" style="57" customWidth="1"/>
    <col min="268" max="268" width="13.85546875" style="57" customWidth="1"/>
    <col min="269" max="269" width="23" style="57" customWidth="1"/>
    <col min="270" max="270" width="20.85546875" style="57" customWidth="1"/>
    <col min="271" max="272" width="13.85546875" style="57" customWidth="1"/>
    <col min="273" max="273" width="15.140625" style="57" bestFit="1" customWidth="1"/>
    <col min="274" max="274" width="9.140625" style="57"/>
    <col min="275" max="275" width="25.140625" style="57" bestFit="1" customWidth="1"/>
    <col min="276" max="276" width="13.7109375" style="57" bestFit="1" customWidth="1"/>
    <col min="277" max="512" width="9.140625" style="57"/>
    <col min="513" max="513" width="23" style="57" bestFit="1" customWidth="1"/>
    <col min="514" max="518" width="13.85546875" style="57" customWidth="1"/>
    <col min="519" max="519" width="25.28515625" style="57" customWidth="1"/>
    <col min="520" max="520" width="13.85546875" style="57" customWidth="1"/>
    <col min="521" max="523" width="20.85546875" style="57" customWidth="1"/>
    <col min="524" max="524" width="13.85546875" style="57" customWidth="1"/>
    <col min="525" max="525" width="23" style="57" customWidth="1"/>
    <col min="526" max="526" width="20.85546875" style="57" customWidth="1"/>
    <col min="527" max="528" width="13.85546875" style="57" customWidth="1"/>
    <col min="529" max="529" width="15.140625" style="57" bestFit="1" customWidth="1"/>
    <col min="530" max="530" width="9.140625" style="57"/>
    <col min="531" max="531" width="25.140625" style="57" bestFit="1" customWidth="1"/>
    <col min="532" max="532" width="13.7109375" style="57" bestFit="1" customWidth="1"/>
    <col min="533" max="768" width="9.140625" style="57"/>
    <col min="769" max="769" width="23" style="57" bestFit="1" customWidth="1"/>
    <col min="770" max="774" width="13.85546875" style="57" customWidth="1"/>
    <col min="775" max="775" width="25.28515625" style="57" customWidth="1"/>
    <col min="776" max="776" width="13.85546875" style="57" customWidth="1"/>
    <col min="777" max="779" width="20.85546875" style="57" customWidth="1"/>
    <col min="780" max="780" width="13.85546875" style="57" customWidth="1"/>
    <col min="781" max="781" width="23" style="57" customWidth="1"/>
    <col min="782" max="782" width="20.85546875" style="57" customWidth="1"/>
    <col min="783" max="784" width="13.85546875" style="57" customWidth="1"/>
    <col min="785" max="785" width="15.140625" style="57" bestFit="1" customWidth="1"/>
    <col min="786" max="786" width="9.140625" style="57"/>
    <col min="787" max="787" width="25.140625" style="57" bestFit="1" customWidth="1"/>
    <col min="788" max="788" width="13.7109375" style="57" bestFit="1" customWidth="1"/>
    <col min="789" max="1024" width="9.140625" style="57"/>
    <col min="1025" max="1025" width="23" style="57" bestFit="1" customWidth="1"/>
    <col min="1026" max="1030" width="13.85546875" style="57" customWidth="1"/>
    <col min="1031" max="1031" width="25.28515625" style="57" customWidth="1"/>
    <col min="1032" max="1032" width="13.85546875" style="57" customWidth="1"/>
    <col min="1033" max="1035" width="20.85546875" style="57" customWidth="1"/>
    <col min="1036" max="1036" width="13.85546875" style="57" customWidth="1"/>
    <col min="1037" max="1037" width="23" style="57" customWidth="1"/>
    <col min="1038" max="1038" width="20.85546875" style="57" customWidth="1"/>
    <col min="1039" max="1040" width="13.85546875" style="57" customWidth="1"/>
    <col min="1041" max="1041" width="15.140625" style="57" bestFit="1" customWidth="1"/>
    <col min="1042" max="1042" width="9.140625" style="57"/>
    <col min="1043" max="1043" width="25.140625" style="57" bestFit="1" customWidth="1"/>
    <col min="1044" max="1044" width="13.7109375" style="57" bestFit="1" customWidth="1"/>
    <col min="1045" max="1280" width="9.140625" style="57"/>
    <col min="1281" max="1281" width="23" style="57" bestFit="1" customWidth="1"/>
    <col min="1282" max="1286" width="13.85546875" style="57" customWidth="1"/>
    <col min="1287" max="1287" width="25.28515625" style="57" customWidth="1"/>
    <col min="1288" max="1288" width="13.85546875" style="57" customWidth="1"/>
    <col min="1289" max="1291" width="20.85546875" style="57" customWidth="1"/>
    <col min="1292" max="1292" width="13.85546875" style="57" customWidth="1"/>
    <col min="1293" max="1293" width="23" style="57" customWidth="1"/>
    <col min="1294" max="1294" width="20.85546875" style="57" customWidth="1"/>
    <col min="1295" max="1296" width="13.85546875" style="57" customWidth="1"/>
    <col min="1297" max="1297" width="15.140625" style="57" bestFit="1" customWidth="1"/>
    <col min="1298" max="1298" width="9.140625" style="57"/>
    <col min="1299" max="1299" width="25.140625" style="57" bestFit="1" customWidth="1"/>
    <col min="1300" max="1300" width="13.7109375" style="57" bestFit="1" customWidth="1"/>
    <col min="1301" max="1536" width="9.140625" style="57"/>
    <col min="1537" max="1537" width="23" style="57" bestFit="1" customWidth="1"/>
    <col min="1538" max="1542" width="13.85546875" style="57" customWidth="1"/>
    <col min="1543" max="1543" width="25.28515625" style="57" customWidth="1"/>
    <col min="1544" max="1544" width="13.85546875" style="57" customWidth="1"/>
    <col min="1545" max="1547" width="20.85546875" style="57" customWidth="1"/>
    <col min="1548" max="1548" width="13.85546875" style="57" customWidth="1"/>
    <col min="1549" max="1549" width="23" style="57" customWidth="1"/>
    <col min="1550" max="1550" width="20.85546875" style="57" customWidth="1"/>
    <col min="1551" max="1552" width="13.85546875" style="57" customWidth="1"/>
    <col min="1553" max="1553" width="15.140625" style="57" bestFit="1" customWidth="1"/>
    <col min="1554" max="1554" width="9.140625" style="57"/>
    <col min="1555" max="1555" width="25.140625" style="57" bestFit="1" customWidth="1"/>
    <col min="1556" max="1556" width="13.7109375" style="57" bestFit="1" customWidth="1"/>
    <col min="1557" max="1792" width="9.140625" style="57"/>
    <col min="1793" max="1793" width="23" style="57" bestFit="1" customWidth="1"/>
    <col min="1794" max="1798" width="13.85546875" style="57" customWidth="1"/>
    <col min="1799" max="1799" width="25.28515625" style="57" customWidth="1"/>
    <col min="1800" max="1800" width="13.85546875" style="57" customWidth="1"/>
    <col min="1801" max="1803" width="20.85546875" style="57" customWidth="1"/>
    <col min="1804" max="1804" width="13.85546875" style="57" customWidth="1"/>
    <col min="1805" max="1805" width="23" style="57" customWidth="1"/>
    <col min="1806" max="1806" width="20.85546875" style="57" customWidth="1"/>
    <col min="1807" max="1808" width="13.85546875" style="57" customWidth="1"/>
    <col min="1809" max="1809" width="15.140625" style="57" bestFit="1" customWidth="1"/>
    <col min="1810" max="1810" width="9.140625" style="57"/>
    <col min="1811" max="1811" width="25.140625" style="57" bestFit="1" customWidth="1"/>
    <col min="1812" max="1812" width="13.7109375" style="57" bestFit="1" customWidth="1"/>
    <col min="1813" max="2048" width="9.140625" style="57"/>
    <col min="2049" max="2049" width="23" style="57" bestFit="1" customWidth="1"/>
    <col min="2050" max="2054" width="13.85546875" style="57" customWidth="1"/>
    <col min="2055" max="2055" width="25.28515625" style="57" customWidth="1"/>
    <col min="2056" max="2056" width="13.85546875" style="57" customWidth="1"/>
    <col min="2057" max="2059" width="20.85546875" style="57" customWidth="1"/>
    <col min="2060" max="2060" width="13.85546875" style="57" customWidth="1"/>
    <col min="2061" max="2061" width="23" style="57" customWidth="1"/>
    <col min="2062" max="2062" width="20.85546875" style="57" customWidth="1"/>
    <col min="2063" max="2064" width="13.85546875" style="57" customWidth="1"/>
    <col min="2065" max="2065" width="15.140625" style="57" bestFit="1" customWidth="1"/>
    <col min="2066" max="2066" width="9.140625" style="57"/>
    <col min="2067" max="2067" width="25.140625" style="57" bestFit="1" customWidth="1"/>
    <col min="2068" max="2068" width="13.7109375" style="57" bestFit="1" customWidth="1"/>
    <col min="2069" max="2304" width="9.140625" style="57"/>
    <col min="2305" max="2305" width="23" style="57" bestFit="1" customWidth="1"/>
    <col min="2306" max="2310" width="13.85546875" style="57" customWidth="1"/>
    <col min="2311" max="2311" width="25.28515625" style="57" customWidth="1"/>
    <col min="2312" max="2312" width="13.85546875" style="57" customWidth="1"/>
    <col min="2313" max="2315" width="20.85546875" style="57" customWidth="1"/>
    <col min="2316" max="2316" width="13.85546875" style="57" customWidth="1"/>
    <col min="2317" max="2317" width="23" style="57" customWidth="1"/>
    <col min="2318" max="2318" width="20.85546875" style="57" customWidth="1"/>
    <col min="2319" max="2320" width="13.85546875" style="57" customWidth="1"/>
    <col min="2321" max="2321" width="15.140625" style="57" bestFit="1" customWidth="1"/>
    <col min="2322" max="2322" width="9.140625" style="57"/>
    <col min="2323" max="2323" width="25.140625" style="57" bestFit="1" customWidth="1"/>
    <col min="2324" max="2324" width="13.7109375" style="57" bestFit="1" customWidth="1"/>
    <col min="2325" max="2560" width="9.140625" style="57"/>
    <col min="2561" max="2561" width="23" style="57" bestFit="1" customWidth="1"/>
    <col min="2562" max="2566" width="13.85546875" style="57" customWidth="1"/>
    <col min="2567" max="2567" width="25.28515625" style="57" customWidth="1"/>
    <col min="2568" max="2568" width="13.85546875" style="57" customWidth="1"/>
    <col min="2569" max="2571" width="20.85546875" style="57" customWidth="1"/>
    <col min="2572" max="2572" width="13.85546875" style="57" customWidth="1"/>
    <col min="2573" max="2573" width="23" style="57" customWidth="1"/>
    <col min="2574" max="2574" width="20.85546875" style="57" customWidth="1"/>
    <col min="2575" max="2576" width="13.85546875" style="57" customWidth="1"/>
    <col min="2577" max="2577" width="15.140625" style="57" bestFit="1" customWidth="1"/>
    <col min="2578" max="2578" width="9.140625" style="57"/>
    <col min="2579" max="2579" width="25.140625" style="57" bestFit="1" customWidth="1"/>
    <col min="2580" max="2580" width="13.7109375" style="57" bestFit="1" customWidth="1"/>
    <col min="2581" max="2816" width="9.140625" style="57"/>
    <col min="2817" max="2817" width="23" style="57" bestFit="1" customWidth="1"/>
    <col min="2818" max="2822" width="13.85546875" style="57" customWidth="1"/>
    <col min="2823" max="2823" width="25.28515625" style="57" customWidth="1"/>
    <col min="2824" max="2824" width="13.85546875" style="57" customWidth="1"/>
    <col min="2825" max="2827" width="20.85546875" style="57" customWidth="1"/>
    <col min="2828" max="2828" width="13.85546875" style="57" customWidth="1"/>
    <col min="2829" max="2829" width="23" style="57" customWidth="1"/>
    <col min="2830" max="2830" width="20.85546875" style="57" customWidth="1"/>
    <col min="2831" max="2832" width="13.85546875" style="57" customWidth="1"/>
    <col min="2833" max="2833" width="15.140625" style="57" bestFit="1" customWidth="1"/>
    <col min="2834" max="2834" width="9.140625" style="57"/>
    <col min="2835" max="2835" width="25.140625" style="57" bestFit="1" customWidth="1"/>
    <col min="2836" max="2836" width="13.7109375" style="57" bestFit="1" customWidth="1"/>
    <col min="2837" max="3072" width="9.140625" style="57"/>
    <col min="3073" max="3073" width="23" style="57" bestFit="1" customWidth="1"/>
    <col min="3074" max="3078" width="13.85546875" style="57" customWidth="1"/>
    <col min="3079" max="3079" width="25.28515625" style="57" customWidth="1"/>
    <col min="3080" max="3080" width="13.85546875" style="57" customWidth="1"/>
    <col min="3081" max="3083" width="20.85546875" style="57" customWidth="1"/>
    <col min="3084" max="3084" width="13.85546875" style="57" customWidth="1"/>
    <col min="3085" max="3085" width="23" style="57" customWidth="1"/>
    <col min="3086" max="3086" width="20.85546875" style="57" customWidth="1"/>
    <col min="3087" max="3088" width="13.85546875" style="57" customWidth="1"/>
    <col min="3089" max="3089" width="15.140625" style="57" bestFit="1" customWidth="1"/>
    <col min="3090" max="3090" width="9.140625" style="57"/>
    <col min="3091" max="3091" width="25.140625" style="57" bestFit="1" customWidth="1"/>
    <col min="3092" max="3092" width="13.7109375" style="57" bestFit="1" customWidth="1"/>
    <col min="3093" max="3328" width="9.140625" style="57"/>
    <col min="3329" max="3329" width="23" style="57" bestFit="1" customWidth="1"/>
    <col min="3330" max="3334" width="13.85546875" style="57" customWidth="1"/>
    <col min="3335" max="3335" width="25.28515625" style="57" customWidth="1"/>
    <col min="3336" max="3336" width="13.85546875" style="57" customWidth="1"/>
    <col min="3337" max="3339" width="20.85546875" style="57" customWidth="1"/>
    <col min="3340" max="3340" width="13.85546875" style="57" customWidth="1"/>
    <col min="3341" max="3341" width="23" style="57" customWidth="1"/>
    <col min="3342" max="3342" width="20.85546875" style="57" customWidth="1"/>
    <col min="3343" max="3344" width="13.85546875" style="57" customWidth="1"/>
    <col min="3345" max="3345" width="15.140625" style="57" bestFit="1" customWidth="1"/>
    <col min="3346" max="3346" width="9.140625" style="57"/>
    <col min="3347" max="3347" width="25.140625" style="57" bestFit="1" customWidth="1"/>
    <col min="3348" max="3348" width="13.7109375" style="57" bestFit="1" customWidth="1"/>
    <col min="3349" max="3584" width="9.140625" style="57"/>
    <col min="3585" max="3585" width="23" style="57" bestFit="1" customWidth="1"/>
    <col min="3586" max="3590" width="13.85546875" style="57" customWidth="1"/>
    <col min="3591" max="3591" width="25.28515625" style="57" customWidth="1"/>
    <col min="3592" max="3592" width="13.85546875" style="57" customWidth="1"/>
    <col min="3593" max="3595" width="20.85546875" style="57" customWidth="1"/>
    <col min="3596" max="3596" width="13.85546875" style="57" customWidth="1"/>
    <col min="3597" max="3597" width="23" style="57" customWidth="1"/>
    <col min="3598" max="3598" width="20.85546875" style="57" customWidth="1"/>
    <col min="3599" max="3600" width="13.85546875" style="57" customWidth="1"/>
    <col min="3601" max="3601" width="15.140625" style="57" bestFit="1" customWidth="1"/>
    <col min="3602" max="3602" width="9.140625" style="57"/>
    <col min="3603" max="3603" width="25.140625" style="57" bestFit="1" customWidth="1"/>
    <col min="3604" max="3604" width="13.7109375" style="57" bestFit="1" customWidth="1"/>
    <col min="3605" max="3840" width="9.140625" style="57"/>
    <col min="3841" max="3841" width="23" style="57" bestFit="1" customWidth="1"/>
    <col min="3842" max="3846" width="13.85546875" style="57" customWidth="1"/>
    <col min="3847" max="3847" width="25.28515625" style="57" customWidth="1"/>
    <col min="3848" max="3848" width="13.85546875" style="57" customWidth="1"/>
    <col min="3849" max="3851" width="20.85546875" style="57" customWidth="1"/>
    <col min="3852" max="3852" width="13.85546875" style="57" customWidth="1"/>
    <col min="3853" max="3853" width="23" style="57" customWidth="1"/>
    <col min="3854" max="3854" width="20.85546875" style="57" customWidth="1"/>
    <col min="3855" max="3856" width="13.85546875" style="57" customWidth="1"/>
    <col min="3857" max="3857" width="15.140625" style="57" bestFit="1" customWidth="1"/>
    <col min="3858" max="3858" width="9.140625" style="57"/>
    <col min="3859" max="3859" width="25.140625" style="57" bestFit="1" customWidth="1"/>
    <col min="3860" max="3860" width="13.7109375" style="57" bestFit="1" customWidth="1"/>
    <col min="3861" max="4096" width="9.140625" style="57"/>
    <col min="4097" max="4097" width="23" style="57" bestFit="1" customWidth="1"/>
    <col min="4098" max="4102" width="13.85546875" style="57" customWidth="1"/>
    <col min="4103" max="4103" width="25.28515625" style="57" customWidth="1"/>
    <col min="4104" max="4104" width="13.85546875" style="57" customWidth="1"/>
    <col min="4105" max="4107" width="20.85546875" style="57" customWidth="1"/>
    <col min="4108" max="4108" width="13.85546875" style="57" customWidth="1"/>
    <col min="4109" max="4109" width="23" style="57" customWidth="1"/>
    <col min="4110" max="4110" width="20.85546875" style="57" customWidth="1"/>
    <col min="4111" max="4112" width="13.85546875" style="57" customWidth="1"/>
    <col min="4113" max="4113" width="15.140625" style="57" bestFit="1" customWidth="1"/>
    <col min="4114" max="4114" width="9.140625" style="57"/>
    <col min="4115" max="4115" width="25.140625" style="57" bestFit="1" customWidth="1"/>
    <col min="4116" max="4116" width="13.7109375" style="57" bestFit="1" customWidth="1"/>
    <col min="4117" max="4352" width="9.140625" style="57"/>
    <col min="4353" max="4353" width="23" style="57" bestFit="1" customWidth="1"/>
    <col min="4354" max="4358" width="13.85546875" style="57" customWidth="1"/>
    <col min="4359" max="4359" width="25.28515625" style="57" customWidth="1"/>
    <col min="4360" max="4360" width="13.85546875" style="57" customWidth="1"/>
    <col min="4361" max="4363" width="20.85546875" style="57" customWidth="1"/>
    <col min="4364" max="4364" width="13.85546875" style="57" customWidth="1"/>
    <col min="4365" max="4365" width="23" style="57" customWidth="1"/>
    <col min="4366" max="4366" width="20.85546875" style="57" customWidth="1"/>
    <col min="4367" max="4368" width="13.85546875" style="57" customWidth="1"/>
    <col min="4369" max="4369" width="15.140625" style="57" bestFit="1" customWidth="1"/>
    <col min="4370" max="4370" width="9.140625" style="57"/>
    <col min="4371" max="4371" width="25.140625" style="57" bestFit="1" customWidth="1"/>
    <col min="4372" max="4372" width="13.7109375" style="57" bestFit="1" customWidth="1"/>
    <col min="4373" max="4608" width="9.140625" style="57"/>
    <col min="4609" max="4609" width="23" style="57" bestFit="1" customWidth="1"/>
    <col min="4610" max="4614" width="13.85546875" style="57" customWidth="1"/>
    <col min="4615" max="4615" width="25.28515625" style="57" customWidth="1"/>
    <col min="4616" max="4616" width="13.85546875" style="57" customWidth="1"/>
    <col min="4617" max="4619" width="20.85546875" style="57" customWidth="1"/>
    <col min="4620" max="4620" width="13.85546875" style="57" customWidth="1"/>
    <col min="4621" max="4621" width="23" style="57" customWidth="1"/>
    <col min="4622" max="4622" width="20.85546875" style="57" customWidth="1"/>
    <col min="4623" max="4624" width="13.85546875" style="57" customWidth="1"/>
    <col min="4625" max="4625" width="15.140625" style="57" bestFit="1" customWidth="1"/>
    <col min="4626" max="4626" width="9.140625" style="57"/>
    <col min="4627" max="4627" width="25.140625" style="57" bestFit="1" customWidth="1"/>
    <col min="4628" max="4628" width="13.7109375" style="57" bestFit="1" customWidth="1"/>
    <col min="4629" max="4864" width="9.140625" style="57"/>
    <col min="4865" max="4865" width="23" style="57" bestFit="1" customWidth="1"/>
    <col min="4866" max="4870" width="13.85546875" style="57" customWidth="1"/>
    <col min="4871" max="4871" width="25.28515625" style="57" customWidth="1"/>
    <col min="4872" max="4872" width="13.85546875" style="57" customWidth="1"/>
    <col min="4873" max="4875" width="20.85546875" style="57" customWidth="1"/>
    <col min="4876" max="4876" width="13.85546875" style="57" customWidth="1"/>
    <col min="4877" max="4877" width="23" style="57" customWidth="1"/>
    <col min="4878" max="4878" width="20.85546875" style="57" customWidth="1"/>
    <col min="4879" max="4880" width="13.85546875" style="57" customWidth="1"/>
    <col min="4881" max="4881" width="15.140625" style="57" bestFit="1" customWidth="1"/>
    <col min="4882" max="4882" width="9.140625" style="57"/>
    <col min="4883" max="4883" width="25.140625" style="57" bestFit="1" customWidth="1"/>
    <col min="4884" max="4884" width="13.7109375" style="57" bestFit="1" customWidth="1"/>
    <col min="4885" max="5120" width="9.140625" style="57"/>
    <col min="5121" max="5121" width="23" style="57" bestFit="1" customWidth="1"/>
    <col min="5122" max="5126" width="13.85546875" style="57" customWidth="1"/>
    <col min="5127" max="5127" width="25.28515625" style="57" customWidth="1"/>
    <col min="5128" max="5128" width="13.85546875" style="57" customWidth="1"/>
    <col min="5129" max="5131" width="20.85546875" style="57" customWidth="1"/>
    <col min="5132" max="5132" width="13.85546875" style="57" customWidth="1"/>
    <col min="5133" max="5133" width="23" style="57" customWidth="1"/>
    <col min="5134" max="5134" width="20.85546875" style="57" customWidth="1"/>
    <col min="5135" max="5136" width="13.85546875" style="57" customWidth="1"/>
    <col min="5137" max="5137" width="15.140625" style="57" bestFit="1" customWidth="1"/>
    <col min="5138" max="5138" width="9.140625" style="57"/>
    <col min="5139" max="5139" width="25.140625" style="57" bestFit="1" customWidth="1"/>
    <col min="5140" max="5140" width="13.7109375" style="57" bestFit="1" customWidth="1"/>
    <col min="5141" max="5376" width="9.140625" style="57"/>
    <col min="5377" max="5377" width="23" style="57" bestFit="1" customWidth="1"/>
    <col min="5378" max="5382" width="13.85546875" style="57" customWidth="1"/>
    <col min="5383" max="5383" width="25.28515625" style="57" customWidth="1"/>
    <col min="5384" max="5384" width="13.85546875" style="57" customWidth="1"/>
    <col min="5385" max="5387" width="20.85546875" style="57" customWidth="1"/>
    <col min="5388" max="5388" width="13.85546875" style="57" customWidth="1"/>
    <col min="5389" max="5389" width="23" style="57" customWidth="1"/>
    <col min="5390" max="5390" width="20.85546875" style="57" customWidth="1"/>
    <col min="5391" max="5392" width="13.85546875" style="57" customWidth="1"/>
    <col min="5393" max="5393" width="15.140625" style="57" bestFit="1" customWidth="1"/>
    <col min="5394" max="5394" width="9.140625" style="57"/>
    <col min="5395" max="5395" width="25.140625" style="57" bestFit="1" customWidth="1"/>
    <col min="5396" max="5396" width="13.7109375" style="57" bestFit="1" customWidth="1"/>
    <col min="5397" max="5632" width="9.140625" style="57"/>
    <col min="5633" max="5633" width="23" style="57" bestFit="1" customWidth="1"/>
    <col min="5634" max="5638" width="13.85546875" style="57" customWidth="1"/>
    <col min="5639" max="5639" width="25.28515625" style="57" customWidth="1"/>
    <col min="5640" max="5640" width="13.85546875" style="57" customWidth="1"/>
    <col min="5641" max="5643" width="20.85546875" style="57" customWidth="1"/>
    <col min="5644" max="5644" width="13.85546875" style="57" customWidth="1"/>
    <col min="5645" max="5645" width="23" style="57" customWidth="1"/>
    <col min="5646" max="5646" width="20.85546875" style="57" customWidth="1"/>
    <col min="5647" max="5648" width="13.85546875" style="57" customWidth="1"/>
    <col min="5649" max="5649" width="15.140625" style="57" bestFit="1" customWidth="1"/>
    <col min="5650" max="5650" width="9.140625" style="57"/>
    <col min="5651" max="5651" width="25.140625" style="57" bestFit="1" customWidth="1"/>
    <col min="5652" max="5652" width="13.7109375" style="57" bestFit="1" customWidth="1"/>
    <col min="5653" max="5888" width="9.140625" style="57"/>
    <col min="5889" max="5889" width="23" style="57" bestFit="1" customWidth="1"/>
    <col min="5890" max="5894" width="13.85546875" style="57" customWidth="1"/>
    <col min="5895" max="5895" width="25.28515625" style="57" customWidth="1"/>
    <col min="5896" max="5896" width="13.85546875" style="57" customWidth="1"/>
    <col min="5897" max="5899" width="20.85546875" style="57" customWidth="1"/>
    <col min="5900" max="5900" width="13.85546875" style="57" customWidth="1"/>
    <col min="5901" max="5901" width="23" style="57" customWidth="1"/>
    <col min="5902" max="5902" width="20.85546875" style="57" customWidth="1"/>
    <col min="5903" max="5904" width="13.85546875" style="57" customWidth="1"/>
    <col min="5905" max="5905" width="15.140625" style="57" bestFit="1" customWidth="1"/>
    <col min="5906" max="5906" width="9.140625" style="57"/>
    <col min="5907" max="5907" width="25.140625" style="57" bestFit="1" customWidth="1"/>
    <col min="5908" max="5908" width="13.7109375" style="57" bestFit="1" customWidth="1"/>
    <col min="5909" max="6144" width="9.140625" style="57"/>
    <col min="6145" max="6145" width="23" style="57" bestFit="1" customWidth="1"/>
    <col min="6146" max="6150" width="13.85546875" style="57" customWidth="1"/>
    <col min="6151" max="6151" width="25.28515625" style="57" customWidth="1"/>
    <col min="6152" max="6152" width="13.85546875" style="57" customWidth="1"/>
    <col min="6153" max="6155" width="20.85546875" style="57" customWidth="1"/>
    <col min="6156" max="6156" width="13.85546875" style="57" customWidth="1"/>
    <col min="6157" max="6157" width="23" style="57" customWidth="1"/>
    <col min="6158" max="6158" width="20.85546875" style="57" customWidth="1"/>
    <col min="6159" max="6160" width="13.85546875" style="57" customWidth="1"/>
    <col min="6161" max="6161" width="15.140625" style="57" bestFit="1" customWidth="1"/>
    <col min="6162" max="6162" width="9.140625" style="57"/>
    <col min="6163" max="6163" width="25.140625" style="57" bestFit="1" customWidth="1"/>
    <col min="6164" max="6164" width="13.7109375" style="57" bestFit="1" customWidth="1"/>
    <col min="6165" max="6400" width="9.140625" style="57"/>
    <col min="6401" max="6401" width="23" style="57" bestFit="1" customWidth="1"/>
    <col min="6402" max="6406" width="13.85546875" style="57" customWidth="1"/>
    <col min="6407" max="6407" width="25.28515625" style="57" customWidth="1"/>
    <col min="6408" max="6408" width="13.85546875" style="57" customWidth="1"/>
    <col min="6409" max="6411" width="20.85546875" style="57" customWidth="1"/>
    <col min="6412" max="6412" width="13.85546875" style="57" customWidth="1"/>
    <col min="6413" max="6413" width="23" style="57" customWidth="1"/>
    <col min="6414" max="6414" width="20.85546875" style="57" customWidth="1"/>
    <col min="6415" max="6416" width="13.85546875" style="57" customWidth="1"/>
    <col min="6417" max="6417" width="15.140625" style="57" bestFit="1" customWidth="1"/>
    <col min="6418" max="6418" width="9.140625" style="57"/>
    <col min="6419" max="6419" width="25.140625" style="57" bestFit="1" customWidth="1"/>
    <col min="6420" max="6420" width="13.7109375" style="57" bestFit="1" customWidth="1"/>
    <col min="6421" max="6656" width="9.140625" style="57"/>
    <col min="6657" max="6657" width="23" style="57" bestFit="1" customWidth="1"/>
    <col min="6658" max="6662" width="13.85546875" style="57" customWidth="1"/>
    <col min="6663" max="6663" width="25.28515625" style="57" customWidth="1"/>
    <col min="6664" max="6664" width="13.85546875" style="57" customWidth="1"/>
    <col min="6665" max="6667" width="20.85546875" style="57" customWidth="1"/>
    <col min="6668" max="6668" width="13.85546875" style="57" customWidth="1"/>
    <col min="6669" max="6669" width="23" style="57" customWidth="1"/>
    <col min="6670" max="6670" width="20.85546875" style="57" customWidth="1"/>
    <col min="6671" max="6672" width="13.85546875" style="57" customWidth="1"/>
    <col min="6673" max="6673" width="15.140625" style="57" bestFit="1" customWidth="1"/>
    <col min="6674" max="6674" width="9.140625" style="57"/>
    <col min="6675" max="6675" width="25.140625" style="57" bestFit="1" customWidth="1"/>
    <col min="6676" max="6676" width="13.7109375" style="57" bestFit="1" customWidth="1"/>
    <col min="6677" max="6912" width="9.140625" style="57"/>
    <col min="6913" max="6913" width="23" style="57" bestFit="1" customWidth="1"/>
    <col min="6914" max="6918" width="13.85546875" style="57" customWidth="1"/>
    <col min="6919" max="6919" width="25.28515625" style="57" customWidth="1"/>
    <col min="6920" max="6920" width="13.85546875" style="57" customWidth="1"/>
    <col min="6921" max="6923" width="20.85546875" style="57" customWidth="1"/>
    <col min="6924" max="6924" width="13.85546875" style="57" customWidth="1"/>
    <col min="6925" max="6925" width="23" style="57" customWidth="1"/>
    <col min="6926" max="6926" width="20.85546875" style="57" customWidth="1"/>
    <col min="6927" max="6928" width="13.85546875" style="57" customWidth="1"/>
    <col min="6929" max="6929" width="15.140625" style="57" bestFit="1" customWidth="1"/>
    <col min="6930" max="6930" width="9.140625" style="57"/>
    <col min="6931" max="6931" width="25.140625" style="57" bestFit="1" customWidth="1"/>
    <col min="6932" max="6932" width="13.7109375" style="57" bestFit="1" customWidth="1"/>
    <col min="6933" max="7168" width="9.140625" style="57"/>
    <col min="7169" max="7169" width="23" style="57" bestFit="1" customWidth="1"/>
    <col min="7170" max="7174" width="13.85546875" style="57" customWidth="1"/>
    <col min="7175" max="7175" width="25.28515625" style="57" customWidth="1"/>
    <col min="7176" max="7176" width="13.85546875" style="57" customWidth="1"/>
    <col min="7177" max="7179" width="20.85546875" style="57" customWidth="1"/>
    <col min="7180" max="7180" width="13.85546875" style="57" customWidth="1"/>
    <col min="7181" max="7181" width="23" style="57" customWidth="1"/>
    <col min="7182" max="7182" width="20.85546875" style="57" customWidth="1"/>
    <col min="7183" max="7184" width="13.85546875" style="57" customWidth="1"/>
    <col min="7185" max="7185" width="15.140625" style="57" bestFit="1" customWidth="1"/>
    <col min="7186" max="7186" width="9.140625" style="57"/>
    <col min="7187" max="7187" width="25.140625" style="57" bestFit="1" customWidth="1"/>
    <col min="7188" max="7188" width="13.7109375" style="57" bestFit="1" customWidth="1"/>
    <col min="7189" max="7424" width="9.140625" style="57"/>
    <col min="7425" max="7425" width="23" style="57" bestFit="1" customWidth="1"/>
    <col min="7426" max="7430" width="13.85546875" style="57" customWidth="1"/>
    <col min="7431" max="7431" width="25.28515625" style="57" customWidth="1"/>
    <col min="7432" max="7432" width="13.85546875" style="57" customWidth="1"/>
    <col min="7433" max="7435" width="20.85546875" style="57" customWidth="1"/>
    <col min="7436" max="7436" width="13.85546875" style="57" customWidth="1"/>
    <col min="7437" max="7437" width="23" style="57" customWidth="1"/>
    <col min="7438" max="7438" width="20.85546875" style="57" customWidth="1"/>
    <col min="7439" max="7440" width="13.85546875" style="57" customWidth="1"/>
    <col min="7441" max="7441" width="15.140625" style="57" bestFit="1" customWidth="1"/>
    <col min="7442" max="7442" width="9.140625" style="57"/>
    <col min="7443" max="7443" width="25.140625" style="57" bestFit="1" customWidth="1"/>
    <col min="7444" max="7444" width="13.7109375" style="57" bestFit="1" customWidth="1"/>
    <col min="7445" max="7680" width="9.140625" style="57"/>
    <col min="7681" max="7681" width="23" style="57" bestFit="1" customWidth="1"/>
    <col min="7682" max="7686" width="13.85546875" style="57" customWidth="1"/>
    <col min="7687" max="7687" width="25.28515625" style="57" customWidth="1"/>
    <col min="7688" max="7688" width="13.85546875" style="57" customWidth="1"/>
    <col min="7689" max="7691" width="20.85546875" style="57" customWidth="1"/>
    <col min="7692" max="7692" width="13.85546875" style="57" customWidth="1"/>
    <col min="7693" max="7693" width="23" style="57" customWidth="1"/>
    <col min="7694" max="7694" width="20.85546875" style="57" customWidth="1"/>
    <col min="7695" max="7696" width="13.85546875" style="57" customWidth="1"/>
    <col min="7697" max="7697" width="15.140625" style="57" bestFit="1" customWidth="1"/>
    <col min="7698" max="7698" width="9.140625" style="57"/>
    <col min="7699" max="7699" width="25.140625" style="57" bestFit="1" customWidth="1"/>
    <col min="7700" max="7700" width="13.7109375" style="57" bestFit="1" customWidth="1"/>
    <col min="7701" max="7936" width="9.140625" style="57"/>
    <col min="7937" max="7937" width="23" style="57" bestFit="1" customWidth="1"/>
    <col min="7938" max="7942" width="13.85546875" style="57" customWidth="1"/>
    <col min="7943" max="7943" width="25.28515625" style="57" customWidth="1"/>
    <col min="7944" max="7944" width="13.85546875" style="57" customWidth="1"/>
    <col min="7945" max="7947" width="20.85546875" style="57" customWidth="1"/>
    <col min="7948" max="7948" width="13.85546875" style="57" customWidth="1"/>
    <col min="7949" max="7949" width="23" style="57" customWidth="1"/>
    <col min="7950" max="7950" width="20.85546875" style="57" customWidth="1"/>
    <col min="7951" max="7952" width="13.85546875" style="57" customWidth="1"/>
    <col min="7953" max="7953" width="15.140625" style="57" bestFit="1" customWidth="1"/>
    <col min="7954" max="7954" width="9.140625" style="57"/>
    <col min="7955" max="7955" width="25.140625" style="57" bestFit="1" customWidth="1"/>
    <col min="7956" max="7956" width="13.7109375" style="57" bestFit="1" customWidth="1"/>
    <col min="7957" max="8192" width="9.140625" style="57"/>
    <col min="8193" max="8193" width="23" style="57" bestFit="1" customWidth="1"/>
    <col min="8194" max="8198" width="13.85546875" style="57" customWidth="1"/>
    <col min="8199" max="8199" width="25.28515625" style="57" customWidth="1"/>
    <col min="8200" max="8200" width="13.85546875" style="57" customWidth="1"/>
    <col min="8201" max="8203" width="20.85546875" style="57" customWidth="1"/>
    <col min="8204" max="8204" width="13.85546875" style="57" customWidth="1"/>
    <col min="8205" max="8205" width="23" style="57" customWidth="1"/>
    <col min="8206" max="8206" width="20.85546875" style="57" customWidth="1"/>
    <col min="8207" max="8208" width="13.85546875" style="57" customWidth="1"/>
    <col min="8209" max="8209" width="15.140625" style="57" bestFit="1" customWidth="1"/>
    <col min="8210" max="8210" width="9.140625" style="57"/>
    <col min="8211" max="8211" width="25.140625" style="57" bestFit="1" customWidth="1"/>
    <col min="8212" max="8212" width="13.7109375" style="57" bestFit="1" customWidth="1"/>
    <col min="8213" max="8448" width="9.140625" style="57"/>
    <col min="8449" max="8449" width="23" style="57" bestFit="1" customWidth="1"/>
    <col min="8450" max="8454" width="13.85546875" style="57" customWidth="1"/>
    <col min="8455" max="8455" width="25.28515625" style="57" customWidth="1"/>
    <col min="8456" max="8456" width="13.85546875" style="57" customWidth="1"/>
    <col min="8457" max="8459" width="20.85546875" style="57" customWidth="1"/>
    <col min="8460" max="8460" width="13.85546875" style="57" customWidth="1"/>
    <col min="8461" max="8461" width="23" style="57" customWidth="1"/>
    <col min="8462" max="8462" width="20.85546875" style="57" customWidth="1"/>
    <col min="8463" max="8464" width="13.85546875" style="57" customWidth="1"/>
    <col min="8465" max="8465" width="15.140625" style="57" bestFit="1" customWidth="1"/>
    <col min="8466" max="8466" width="9.140625" style="57"/>
    <col min="8467" max="8467" width="25.140625" style="57" bestFit="1" customWidth="1"/>
    <col min="8468" max="8468" width="13.7109375" style="57" bestFit="1" customWidth="1"/>
    <col min="8469" max="8704" width="9.140625" style="57"/>
    <col min="8705" max="8705" width="23" style="57" bestFit="1" customWidth="1"/>
    <col min="8706" max="8710" width="13.85546875" style="57" customWidth="1"/>
    <col min="8711" max="8711" width="25.28515625" style="57" customWidth="1"/>
    <col min="8712" max="8712" width="13.85546875" style="57" customWidth="1"/>
    <col min="8713" max="8715" width="20.85546875" style="57" customWidth="1"/>
    <col min="8716" max="8716" width="13.85546875" style="57" customWidth="1"/>
    <col min="8717" max="8717" width="23" style="57" customWidth="1"/>
    <col min="8718" max="8718" width="20.85546875" style="57" customWidth="1"/>
    <col min="8719" max="8720" width="13.85546875" style="57" customWidth="1"/>
    <col min="8721" max="8721" width="15.140625" style="57" bestFit="1" customWidth="1"/>
    <col min="8722" max="8722" width="9.140625" style="57"/>
    <col min="8723" max="8723" width="25.140625" style="57" bestFit="1" customWidth="1"/>
    <col min="8724" max="8724" width="13.7109375" style="57" bestFit="1" customWidth="1"/>
    <col min="8725" max="8960" width="9.140625" style="57"/>
    <col min="8961" max="8961" width="23" style="57" bestFit="1" customWidth="1"/>
    <col min="8962" max="8966" width="13.85546875" style="57" customWidth="1"/>
    <col min="8967" max="8967" width="25.28515625" style="57" customWidth="1"/>
    <col min="8968" max="8968" width="13.85546875" style="57" customWidth="1"/>
    <col min="8969" max="8971" width="20.85546875" style="57" customWidth="1"/>
    <col min="8972" max="8972" width="13.85546875" style="57" customWidth="1"/>
    <col min="8973" max="8973" width="23" style="57" customWidth="1"/>
    <col min="8974" max="8974" width="20.85546875" style="57" customWidth="1"/>
    <col min="8975" max="8976" width="13.85546875" style="57" customWidth="1"/>
    <col min="8977" max="8977" width="15.140625" style="57" bestFit="1" customWidth="1"/>
    <col min="8978" max="8978" width="9.140625" style="57"/>
    <col min="8979" max="8979" width="25.140625" style="57" bestFit="1" customWidth="1"/>
    <col min="8980" max="8980" width="13.7109375" style="57" bestFit="1" customWidth="1"/>
    <col min="8981" max="9216" width="9.140625" style="57"/>
    <col min="9217" max="9217" width="23" style="57" bestFit="1" customWidth="1"/>
    <col min="9218" max="9222" width="13.85546875" style="57" customWidth="1"/>
    <col min="9223" max="9223" width="25.28515625" style="57" customWidth="1"/>
    <col min="9224" max="9224" width="13.85546875" style="57" customWidth="1"/>
    <col min="9225" max="9227" width="20.85546875" style="57" customWidth="1"/>
    <col min="9228" max="9228" width="13.85546875" style="57" customWidth="1"/>
    <col min="9229" max="9229" width="23" style="57" customWidth="1"/>
    <col min="9230" max="9230" width="20.85546875" style="57" customWidth="1"/>
    <col min="9231" max="9232" width="13.85546875" style="57" customWidth="1"/>
    <col min="9233" max="9233" width="15.140625" style="57" bestFit="1" customWidth="1"/>
    <col min="9234" max="9234" width="9.140625" style="57"/>
    <col min="9235" max="9235" width="25.140625" style="57" bestFit="1" customWidth="1"/>
    <col min="9236" max="9236" width="13.7109375" style="57" bestFit="1" customWidth="1"/>
    <col min="9237" max="9472" width="9.140625" style="57"/>
    <col min="9473" max="9473" width="23" style="57" bestFit="1" customWidth="1"/>
    <col min="9474" max="9478" width="13.85546875" style="57" customWidth="1"/>
    <col min="9479" max="9479" width="25.28515625" style="57" customWidth="1"/>
    <col min="9480" max="9480" width="13.85546875" style="57" customWidth="1"/>
    <col min="9481" max="9483" width="20.85546875" style="57" customWidth="1"/>
    <col min="9484" max="9484" width="13.85546875" style="57" customWidth="1"/>
    <col min="9485" max="9485" width="23" style="57" customWidth="1"/>
    <col min="9486" max="9486" width="20.85546875" style="57" customWidth="1"/>
    <col min="9487" max="9488" width="13.85546875" style="57" customWidth="1"/>
    <col min="9489" max="9489" width="15.140625" style="57" bestFit="1" customWidth="1"/>
    <col min="9490" max="9490" width="9.140625" style="57"/>
    <col min="9491" max="9491" width="25.140625" style="57" bestFit="1" customWidth="1"/>
    <col min="9492" max="9492" width="13.7109375" style="57" bestFit="1" customWidth="1"/>
    <col min="9493" max="9728" width="9.140625" style="57"/>
    <col min="9729" max="9729" width="23" style="57" bestFit="1" customWidth="1"/>
    <col min="9730" max="9734" width="13.85546875" style="57" customWidth="1"/>
    <col min="9735" max="9735" width="25.28515625" style="57" customWidth="1"/>
    <col min="9736" max="9736" width="13.85546875" style="57" customWidth="1"/>
    <col min="9737" max="9739" width="20.85546875" style="57" customWidth="1"/>
    <col min="9740" max="9740" width="13.85546875" style="57" customWidth="1"/>
    <col min="9741" max="9741" width="23" style="57" customWidth="1"/>
    <col min="9742" max="9742" width="20.85546875" style="57" customWidth="1"/>
    <col min="9743" max="9744" width="13.85546875" style="57" customWidth="1"/>
    <col min="9745" max="9745" width="15.140625" style="57" bestFit="1" customWidth="1"/>
    <col min="9746" max="9746" width="9.140625" style="57"/>
    <col min="9747" max="9747" width="25.140625" style="57" bestFit="1" customWidth="1"/>
    <col min="9748" max="9748" width="13.7109375" style="57" bestFit="1" customWidth="1"/>
    <col min="9749" max="9984" width="9.140625" style="57"/>
    <col min="9985" max="9985" width="23" style="57" bestFit="1" customWidth="1"/>
    <col min="9986" max="9990" width="13.85546875" style="57" customWidth="1"/>
    <col min="9991" max="9991" width="25.28515625" style="57" customWidth="1"/>
    <col min="9992" max="9992" width="13.85546875" style="57" customWidth="1"/>
    <col min="9993" max="9995" width="20.85546875" style="57" customWidth="1"/>
    <col min="9996" max="9996" width="13.85546875" style="57" customWidth="1"/>
    <col min="9997" max="9997" width="23" style="57" customWidth="1"/>
    <col min="9998" max="9998" width="20.85546875" style="57" customWidth="1"/>
    <col min="9999" max="10000" width="13.85546875" style="57" customWidth="1"/>
    <col min="10001" max="10001" width="15.140625" style="57" bestFit="1" customWidth="1"/>
    <col min="10002" max="10002" width="9.140625" style="57"/>
    <col min="10003" max="10003" width="25.140625" style="57" bestFit="1" customWidth="1"/>
    <col min="10004" max="10004" width="13.7109375" style="57" bestFit="1" customWidth="1"/>
    <col min="10005" max="10240" width="9.140625" style="57"/>
    <col min="10241" max="10241" width="23" style="57" bestFit="1" customWidth="1"/>
    <col min="10242" max="10246" width="13.85546875" style="57" customWidth="1"/>
    <col min="10247" max="10247" width="25.28515625" style="57" customWidth="1"/>
    <col min="10248" max="10248" width="13.85546875" style="57" customWidth="1"/>
    <col min="10249" max="10251" width="20.85546875" style="57" customWidth="1"/>
    <col min="10252" max="10252" width="13.85546875" style="57" customWidth="1"/>
    <col min="10253" max="10253" width="23" style="57" customWidth="1"/>
    <col min="10254" max="10254" width="20.85546875" style="57" customWidth="1"/>
    <col min="10255" max="10256" width="13.85546875" style="57" customWidth="1"/>
    <col min="10257" max="10257" width="15.140625" style="57" bestFit="1" customWidth="1"/>
    <col min="10258" max="10258" width="9.140625" style="57"/>
    <col min="10259" max="10259" width="25.140625" style="57" bestFit="1" customWidth="1"/>
    <col min="10260" max="10260" width="13.7109375" style="57" bestFit="1" customWidth="1"/>
    <col min="10261" max="10496" width="9.140625" style="57"/>
    <col min="10497" max="10497" width="23" style="57" bestFit="1" customWidth="1"/>
    <col min="10498" max="10502" width="13.85546875" style="57" customWidth="1"/>
    <col min="10503" max="10503" width="25.28515625" style="57" customWidth="1"/>
    <col min="10504" max="10504" width="13.85546875" style="57" customWidth="1"/>
    <col min="10505" max="10507" width="20.85546875" style="57" customWidth="1"/>
    <col min="10508" max="10508" width="13.85546875" style="57" customWidth="1"/>
    <col min="10509" max="10509" width="23" style="57" customWidth="1"/>
    <col min="10510" max="10510" width="20.85546875" style="57" customWidth="1"/>
    <col min="10511" max="10512" width="13.85546875" style="57" customWidth="1"/>
    <col min="10513" max="10513" width="15.140625" style="57" bestFit="1" customWidth="1"/>
    <col min="10514" max="10514" width="9.140625" style="57"/>
    <col min="10515" max="10515" width="25.140625" style="57" bestFit="1" customWidth="1"/>
    <col min="10516" max="10516" width="13.7109375" style="57" bestFit="1" customWidth="1"/>
    <col min="10517" max="10752" width="9.140625" style="57"/>
    <col min="10753" max="10753" width="23" style="57" bestFit="1" customWidth="1"/>
    <col min="10754" max="10758" width="13.85546875" style="57" customWidth="1"/>
    <col min="10759" max="10759" width="25.28515625" style="57" customWidth="1"/>
    <col min="10760" max="10760" width="13.85546875" style="57" customWidth="1"/>
    <col min="10761" max="10763" width="20.85546875" style="57" customWidth="1"/>
    <col min="10764" max="10764" width="13.85546875" style="57" customWidth="1"/>
    <col min="10765" max="10765" width="23" style="57" customWidth="1"/>
    <col min="10766" max="10766" width="20.85546875" style="57" customWidth="1"/>
    <col min="10767" max="10768" width="13.85546875" style="57" customWidth="1"/>
    <col min="10769" max="10769" width="15.140625" style="57" bestFit="1" customWidth="1"/>
    <col min="10770" max="10770" width="9.140625" style="57"/>
    <col min="10771" max="10771" width="25.140625" style="57" bestFit="1" customWidth="1"/>
    <col min="10772" max="10772" width="13.7109375" style="57" bestFit="1" customWidth="1"/>
    <col min="10773" max="11008" width="9.140625" style="57"/>
    <col min="11009" max="11009" width="23" style="57" bestFit="1" customWidth="1"/>
    <col min="11010" max="11014" width="13.85546875" style="57" customWidth="1"/>
    <col min="11015" max="11015" width="25.28515625" style="57" customWidth="1"/>
    <col min="11016" max="11016" width="13.85546875" style="57" customWidth="1"/>
    <col min="11017" max="11019" width="20.85546875" style="57" customWidth="1"/>
    <col min="11020" max="11020" width="13.85546875" style="57" customWidth="1"/>
    <col min="11021" max="11021" width="23" style="57" customWidth="1"/>
    <col min="11022" max="11022" width="20.85546875" style="57" customWidth="1"/>
    <col min="11023" max="11024" width="13.85546875" style="57" customWidth="1"/>
    <col min="11025" max="11025" width="15.140625" style="57" bestFit="1" customWidth="1"/>
    <col min="11026" max="11026" width="9.140625" style="57"/>
    <col min="11027" max="11027" width="25.140625" style="57" bestFit="1" customWidth="1"/>
    <col min="11028" max="11028" width="13.7109375" style="57" bestFit="1" customWidth="1"/>
    <col min="11029" max="11264" width="9.140625" style="57"/>
    <col min="11265" max="11265" width="23" style="57" bestFit="1" customWidth="1"/>
    <col min="11266" max="11270" width="13.85546875" style="57" customWidth="1"/>
    <col min="11271" max="11271" width="25.28515625" style="57" customWidth="1"/>
    <col min="11272" max="11272" width="13.85546875" style="57" customWidth="1"/>
    <col min="11273" max="11275" width="20.85546875" style="57" customWidth="1"/>
    <col min="11276" max="11276" width="13.85546875" style="57" customWidth="1"/>
    <col min="11277" max="11277" width="23" style="57" customWidth="1"/>
    <col min="11278" max="11278" width="20.85546875" style="57" customWidth="1"/>
    <col min="11279" max="11280" width="13.85546875" style="57" customWidth="1"/>
    <col min="11281" max="11281" width="15.140625" style="57" bestFit="1" customWidth="1"/>
    <col min="11282" max="11282" width="9.140625" style="57"/>
    <col min="11283" max="11283" width="25.140625" style="57" bestFit="1" customWidth="1"/>
    <col min="11284" max="11284" width="13.7109375" style="57" bestFit="1" customWidth="1"/>
    <col min="11285" max="11520" width="9.140625" style="57"/>
    <col min="11521" max="11521" width="23" style="57" bestFit="1" customWidth="1"/>
    <col min="11522" max="11526" width="13.85546875" style="57" customWidth="1"/>
    <col min="11527" max="11527" width="25.28515625" style="57" customWidth="1"/>
    <col min="11528" max="11528" width="13.85546875" style="57" customWidth="1"/>
    <col min="11529" max="11531" width="20.85546875" style="57" customWidth="1"/>
    <col min="11532" max="11532" width="13.85546875" style="57" customWidth="1"/>
    <col min="11533" max="11533" width="23" style="57" customWidth="1"/>
    <col min="11534" max="11534" width="20.85546875" style="57" customWidth="1"/>
    <col min="11535" max="11536" width="13.85546875" style="57" customWidth="1"/>
    <col min="11537" max="11537" width="15.140625" style="57" bestFit="1" customWidth="1"/>
    <col min="11538" max="11538" width="9.140625" style="57"/>
    <col min="11539" max="11539" width="25.140625" style="57" bestFit="1" customWidth="1"/>
    <col min="11540" max="11540" width="13.7109375" style="57" bestFit="1" customWidth="1"/>
    <col min="11541" max="11776" width="9.140625" style="57"/>
    <col min="11777" max="11777" width="23" style="57" bestFit="1" customWidth="1"/>
    <col min="11778" max="11782" width="13.85546875" style="57" customWidth="1"/>
    <col min="11783" max="11783" width="25.28515625" style="57" customWidth="1"/>
    <col min="11784" max="11784" width="13.85546875" style="57" customWidth="1"/>
    <col min="11785" max="11787" width="20.85546875" style="57" customWidth="1"/>
    <col min="11788" max="11788" width="13.85546875" style="57" customWidth="1"/>
    <col min="11789" max="11789" width="23" style="57" customWidth="1"/>
    <col min="11790" max="11790" width="20.85546875" style="57" customWidth="1"/>
    <col min="11791" max="11792" width="13.85546875" style="57" customWidth="1"/>
    <col min="11793" max="11793" width="15.140625" style="57" bestFit="1" customWidth="1"/>
    <col min="11794" max="11794" width="9.140625" style="57"/>
    <col min="11795" max="11795" width="25.140625" style="57" bestFit="1" customWidth="1"/>
    <col min="11796" max="11796" width="13.7109375" style="57" bestFit="1" customWidth="1"/>
    <col min="11797" max="12032" width="9.140625" style="57"/>
    <col min="12033" max="12033" width="23" style="57" bestFit="1" customWidth="1"/>
    <col min="12034" max="12038" width="13.85546875" style="57" customWidth="1"/>
    <col min="12039" max="12039" width="25.28515625" style="57" customWidth="1"/>
    <col min="12040" max="12040" width="13.85546875" style="57" customWidth="1"/>
    <col min="12041" max="12043" width="20.85546875" style="57" customWidth="1"/>
    <col min="12044" max="12044" width="13.85546875" style="57" customWidth="1"/>
    <col min="12045" max="12045" width="23" style="57" customWidth="1"/>
    <col min="12046" max="12046" width="20.85546875" style="57" customWidth="1"/>
    <col min="12047" max="12048" width="13.85546875" style="57" customWidth="1"/>
    <col min="12049" max="12049" width="15.140625" style="57" bestFit="1" customWidth="1"/>
    <col min="12050" max="12050" width="9.140625" style="57"/>
    <col min="12051" max="12051" width="25.140625" style="57" bestFit="1" customWidth="1"/>
    <col min="12052" max="12052" width="13.7109375" style="57" bestFit="1" customWidth="1"/>
    <col min="12053" max="12288" width="9.140625" style="57"/>
    <col min="12289" max="12289" width="23" style="57" bestFit="1" customWidth="1"/>
    <col min="12290" max="12294" width="13.85546875" style="57" customWidth="1"/>
    <col min="12295" max="12295" width="25.28515625" style="57" customWidth="1"/>
    <col min="12296" max="12296" width="13.85546875" style="57" customWidth="1"/>
    <col min="12297" max="12299" width="20.85546875" style="57" customWidth="1"/>
    <col min="12300" max="12300" width="13.85546875" style="57" customWidth="1"/>
    <col min="12301" max="12301" width="23" style="57" customWidth="1"/>
    <col min="12302" max="12302" width="20.85546875" style="57" customWidth="1"/>
    <col min="12303" max="12304" width="13.85546875" style="57" customWidth="1"/>
    <col min="12305" max="12305" width="15.140625" style="57" bestFit="1" customWidth="1"/>
    <col min="12306" max="12306" width="9.140625" style="57"/>
    <col min="12307" max="12307" width="25.140625" style="57" bestFit="1" customWidth="1"/>
    <col min="12308" max="12308" width="13.7109375" style="57" bestFit="1" customWidth="1"/>
    <col min="12309" max="12544" width="9.140625" style="57"/>
    <col min="12545" max="12545" width="23" style="57" bestFit="1" customWidth="1"/>
    <col min="12546" max="12550" width="13.85546875" style="57" customWidth="1"/>
    <col min="12551" max="12551" width="25.28515625" style="57" customWidth="1"/>
    <col min="12552" max="12552" width="13.85546875" style="57" customWidth="1"/>
    <col min="12553" max="12555" width="20.85546875" style="57" customWidth="1"/>
    <col min="12556" max="12556" width="13.85546875" style="57" customWidth="1"/>
    <col min="12557" max="12557" width="23" style="57" customWidth="1"/>
    <col min="12558" max="12558" width="20.85546875" style="57" customWidth="1"/>
    <col min="12559" max="12560" width="13.85546875" style="57" customWidth="1"/>
    <col min="12561" max="12561" width="15.140625" style="57" bestFit="1" customWidth="1"/>
    <col min="12562" max="12562" width="9.140625" style="57"/>
    <col min="12563" max="12563" width="25.140625" style="57" bestFit="1" customWidth="1"/>
    <col min="12564" max="12564" width="13.7109375" style="57" bestFit="1" customWidth="1"/>
    <col min="12565" max="12800" width="9.140625" style="57"/>
    <col min="12801" max="12801" width="23" style="57" bestFit="1" customWidth="1"/>
    <col min="12802" max="12806" width="13.85546875" style="57" customWidth="1"/>
    <col min="12807" max="12807" width="25.28515625" style="57" customWidth="1"/>
    <col min="12808" max="12808" width="13.85546875" style="57" customWidth="1"/>
    <col min="12809" max="12811" width="20.85546875" style="57" customWidth="1"/>
    <col min="12812" max="12812" width="13.85546875" style="57" customWidth="1"/>
    <col min="12813" max="12813" width="23" style="57" customWidth="1"/>
    <col min="12814" max="12814" width="20.85546875" style="57" customWidth="1"/>
    <col min="12815" max="12816" width="13.85546875" style="57" customWidth="1"/>
    <col min="12817" max="12817" width="15.140625" style="57" bestFit="1" customWidth="1"/>
    <col min="12818" max="12818" width="9.140625" style="57"/>
    <col min="12819" max="12819" width="25.140625" style="57" bestFit="1" customWidth="1"/>
    <col min="12820" max="12820" width="13.7109375" style="57" bestFit="1" customWidth="1"/>
    <col min="12821" max="13056" width="9.140625" style="57"/>
    <col min="13057" max="13057" width="23" style="57" bestFit="1" customWidth="1"/>
    <col min="13058" max="13062" width="13.85546875" style="57" customWidth="1"/>
    <col min="13063" max="13063" width="25.28515625" style="57" customWidth="1"/>
    <col min="13064" max="13064" width="13.85546875" style="57" customWidth="1"/>
    <col min="13065" max="13067" width="20.85546875" style="57" customWidth="1"/>
    <col min="13068" max="13068" width="13.85546875" style="57" customWidth="1"/>
    <col min="13069" max="13069" width="23" style="57" customWidth="1"/>
    <col min="13070" max="13070" width="20.85546875" style="57" customWidth="1"/>
    <col min="13071" max="13072" width="13.85546875" style="57" customWidth="1"/>
    <col min="13073" max="13073" width="15.140625" style="57" bestFit="1" customWidth="1"/>
    <col min="13074" max="13074" width="9.140625" style="57"/>
    <col min="13075" max="13075" width="25.140625" style="57" bestFit="1" customWidth="1"/>
    <col min="13076" max="13076" width="13.7109375" style="57" bestFit="1" customWidth="1"/>
    <col min="13077" max="13312" width="9.140625" style="57"/>
    <col min="13313" max="13313" width="23" style="57" bestFit="1" customWidth="1"/>
    <col min="13314" max="13318" width="13.85546875" style="57" customWidth="1"/>
    <col min="13319" max="13319" width="25.28515625" style="57" customWidth="1"/>
    <col min="13320" max="13320" width="13.85546875" style="57" customWidth="1"/>
    <col min="13321" max="13323" width="20.85546875" style="57" customWidth="1"/>
    <col min="13324" max="13324" width="13.85546875" style="57" customWidth="1"/>
    <col min="13325" max="13325" width="23" style="57" customWidth="1"/>
    <col min="13326" max="13326" width="20.85546875" style="57" customWidth="1"/>
    <col min="13327" max="13328" width="13.85546875" style="57" customWidth="1"/>
    <col min="13329" max="13329" width="15.140625" style="57" bestFit="1" customWidth="1"/>
    <col min="13330" max="13330" width="9.140625" style="57"/>
    <col min="13331" max="13331" width="25.140625" style="57" bestFit="1" customWidth="1"/>
    <col min="13332" max="13332" width="13.7109375" style="57" bestFit="1" customWidth="1"/>
    <col min="13333" max="13568" width="9.140625" style="57"/>
    <col min="13569" max="13569" width="23" style="57" bestFit="1" customWidth="1"/>
    <col min="13570" max="13574" width="13.85546875" style="57" customWidth="1"/>
    <col min="13575" max="13575" width="25.28515625" style="57" customWidth="1"/>
    <col min="13576" max="13576" width="13.85546875" style="57" customWidth="1"/>
    <col min="13577" max="13579" width="20.85546875" style="57" customWidth="1"/>
    <col min="13580" max="13580" width="13.85546875" style="57" customWidth="1"/>
    <col min="13581" max="13581" width="23" style="57" customWidth="1"/>
    <col min="13582" max="13582" width="20.85546875" style="57" customWidth="1"/>
    <col min="13583" max="13584" width="13.85546875" style="57" customWidth="1"/>
    <col min="13585" max="13585" width="15.140625" style="57" bestFit="1" customWidth="1"/>
    <col min="13586" max="13586" width="9.140625" style="57"/>
    <col min="13587" max="13587" width="25.140625" style="57" bestFit="1" customWidth="1"/>
    <col min="13588" max="13588" width="13.7109375" style="57" bestFit="1" customWidth="1"/>
    <col min="13589" max="13824" width="9.140625" style="57"/>
    <col min="13825" max="13825" width="23" style="57" bestFit="1" customWidth="1"/>
    <col min="13826" max="13830" width="13.85546875" style="57" customWidth="1"/>
    <col min="13831" max="13831" width="25.28515625" style="57" customWidth="1"/>
    <col min="13832" max="13832" width="13.85546875" style="57" customWidth="1"/>
    <col min="13833" max="13835" width="20.85546875" style="57" customWidth="1"/>
    <col min="13836" max="13836" width="13.85546875" style="57" customWidth="1"/>
    <col min="13837" max="13837" width="23" style="57" customWidth="1"/>
    <col min="13838" max="13838" width="20.85546875" style="57" customWidth="1"/>
    <col min="13839" max="13840" width="13.85546875" style="57" customWidth="1"/>
    <col min="13841" max="13841" width="15.140625" style="57" bestFit="1" customWidth="1"/>
    <col min="13842" max="13842" width="9.140625" style="57"/>
    <col min="13843" max="13843" width="25.140625" style="57" bestFit="1" customWidth="1"/>
    <col min="13844" max="13844" width="13.7109375" style="57" bestFit="1" customWidth="1"/>
    <col min="13845" max="14080" width="9.140625" style="57"/>
    <col min="14081" max="14081" width="23" style="57" bestFit="1" customWidth="1"/>
    <col min="14082" max="14086" width="13.85546875" style="57" customWidth="1"/>
    <col min="14087" max="14087" width="25.28515625" style="57" customWidth="1"/>
    <col min="14088" max="14088" width="13.85546875" style="57" customWidth="1"/>
    <col min="14089" max="14091" width="20.85546875" style="57" customWidth="1"/>
    <col min="14092" max="14092" width="13.85546875" style="57" customWidth="1"/>
    <col min="14093" max="14093" width="23" style="57" customWidth="1"/>
    <col min="14094" max="14094" width="20.85546875" style="57" customWidth="1"/>
    <col min="14095" max="14096" width="13.85546875" style="57" customWidth="1"/>
    <col min="14097" max="14097" width="15.140625" style="57" bestFit="1" customWidth="1"/>
    <col min="14098" max="14098" width="9.140625" style="57"/>
    <col min="14099" max="14099" width="25.140625" style="57" bestFit="1" customWidth="1"/>
    <col min="14100" max="14100" width="13.7109375" style="57" bestFit="1" customWidth="1"/>
    <col min="14101" max="14336" width="9.140625" style="57"/>
    <col min="14337" max="14337" width="23" style="57" bestFit="1" customWidth="1"/>
    <col min="14338" max="14342" width="13.85546875" style="57" customWidth="1"/>
    <col min="14343" max="14343" width="25.28515625" style="57" customWidth="1"/>
    <col min="14344" max="14344" width="13.85546875" style="57" customWidth="1"/>
    <col min="14345" max="14347" width="20.85546875" style="57" customWidth="1"/>
    <col min="14348" max="14348" width="13.85546875" style="57" customWidth="1"/>
    <col min="14349" max="14349" width="23" style="57" customWidth="1"/>
    <col min="14350" max="14350" width="20.85546875" style="57" customWidth="1"/>
    <col min="14351" max="14352" width="13.85546875" style="57" customWidth="1"/>
    <col min="14353" max="14353" width="15.140625" style="57" bestFit="1" customWidth="1"/>
    <col min="14354" max="14354" width="9.140625" style="57"/>
    <col min="14355" max="14355" width="25.140625" style="57" bestFit="1" customWidth="1"/>
    <col min="14356" max="14356" width="13.7109375" style="57" bestFit="1" customWidth="1"/>
    <col min="14357" max="14592" width="9.140625" style="57"/>
    <col min="14593" max="14593" width="23" style="57" bestFit="1" customWidth="1"/>
    <col min="14594" max="14598" width="13.85546875" style="57" customWidth="1"/>
    <col min="14599" max="14599" width="25.28515625" style="57" customWidth="1"/>
    <col min="14600" max="14600" width="13.85546875" style="57" customWidth="1"/>
    <col min="14601" max="14603" width="20.85546875" style="57" customWidth="1"/>
    <col min="14604" max="14604" width="13.85546875" style="57" customWidth="1"/>
    <col min="14605" max="14605" width="23" style="57" customWidth="1"/>
    <col min="14606" max="14606" width="20.85546875" style="57" customWidth="1"/>
    <col min="14607" max="14608" width="13.85546875" style="57" customWidth="1"/>
    <col min="14609" max="14609" width="15.140625" style="57" bestFit="1" customWidth="1"/>
    <col min="14610" max="14610" width="9.140625" style="57"/>
    <col min="14611" max="14611" width="25.140625" style="57" bestFit="1" customWidth="1"/>
    <col min="14612" max="14612" width="13.7109375" style="57" bestFit="1" customWidth="1"/>
    <col min="14613" max="14848" width="9.140625" style="57"/>
    <col min="14849" max="14849" width="23" style="57" bestFit="1" customWidth="1"/>
    <col min="14850" max="14854" width="13.85546875" style="57" customWidth="1"/>
    <col min="14855" max="14855" width="25.28515625" style="57" customWidth="1"/>
    <col min="14856" max="14856" width="13.85546875" style="57" customWidth="1"/>
    <col min="14857" max="14859" width="20.85546875" style="57" customWidth="1"/>
    <col min="14860" max="14860" width="13.85546875" style="57" customWidth="1"/>
    <col min="14861" max="14861" width="23" style="57" customWidth="1"/>
    <col min="14862" max="14862" width="20.85546875" style="57" customWidth="1"/>
    <col min="14863" max="14864" width="13.85546875" style="57" customWidth="1"/>
    <col min="14865" max="14865" width="15.140625" style="57" bestFit="1" customWidth="1"/>
    <col min="14866" max="14866" width="9.140625" style="57"/>
    <col min="14867" max="14867" width="25.140625" style="57" bestFit="1" customWidth="1"/>
    <col min="14868" max="14868" width="13.7109375" style="57" bestFit="1" customWidth="1"/>
    <col min="14869" max="15104" width="9.140625" style="57"/>
    <col min="15105" max="15105" width="23" style="57" bestFit="1" customWidth="1"/>
    <col min="15106" max="15110" width="13.85546875" style="57" customWidth="1"/>
    <col min="15111" max="15111" width="25.28515625" style="57" customWidth="1"/>
    <col min="15112" max="15112" width="13.85546875" style="57" customWidth="1"/>
    <col min="15113" max="15115" width="20.85546875" style="57" customWidth="1"/>
    <col min="15116" max="15116" width="13.85546875" style="57" customWidth="1"/>
    <col min="15117" max="15117" width="23" style="57" customWidth="1"/>
    <col min="15118" max="15118" width="20.85546875" style="57" customWidth="1"/>
    <col min="15119" max="15120" width="13.85546875" style="57" customWidth="1"/>
    <col min="15121" max="15121" width="15.140625" style="57" bestFit="1" customWidth="1"/>
    <col min="15122" max="15122" width="9.140625" style="57"/>
    <col min="15123" max="15123" width="25.140625" style="57" bestFit="1" customWidth="1"/>
    <col min="15124" max="15124" width="13.7109375" style="57" bestFit="1" customWidth="1"/>
    <col min="15125" max="15360" width="9.140625" style="57"/>
    <col min="15361" max="15361" width="23" style="57" bestFit="1" customWidth="1"/>
    <col min="15362" max="15366" width="13.85546875" style="57" customWidth="1"/>
    <col min="15367" max="15367" width="25.28515625" style="57" customWidth="1"/>
    <col min="15368" max="15368" width="13.85546875" style="57" customWidth="1"/>
    <col min="15369" max="15371" width="20.85546875" style="57" customWidth="1"/>
    <col min="15372" max="15372" width="13.85546875" style="57" customWidth="1"/>
    <col min="15373" max="15373" width="23" style="57" customWidth="1"/>
    <col min="15374" max="15374" width="20.85546875" style="57" customWidth="1"/>
    <col min="15375" max="15376" width="13.85546875" style="57" customWidth="1"/>
    <col min="15377" max="15377" width="15.140625" style="57" bestFit="1" customWidth="1"/>
    <col min="15378" max="15378" width="9.140625" style="57"/>
    <col min="15379" max="15379" width="25.140625" style="57" bestFit="1" customWidth="1"/>
    <col min="15380" max="15380" width="13.7109375" style="57" bestFit="1" customWidth="1"/>
    <col min="15381" max="15616" width="9.140625" style="57"/>
    <col min="15617" max="15617" width="23" style="57" bestFit="1" customWidth="1"/>
    <col min="15618" max="15622" width="13.85546875" style="57" customWidth="1"/>
    <col min="15623" max="15623" width="25.28515625" style="57" customWidth="1"/>
    <col min="15624" max="15624" width="13.85546875" style="57" customWidth="1"/>
    <col min="15625" max="15627" width="20.85546875" style="57" customWidth="1"/>
    <col min="15628" max="15628" width="13.85546875" style="57" customWidth="1"/>
    <col min="15629" max="15629" width="23" style="57" customWidth="1"/>
    <col min="15630" max="15630" width="20.85546875" style="57" customWidth="1"/>
    <col min="15631" max="15632" width="13.85546875" style="57" customWidth="1"/>
    <col min="15633" max="15633" width="15.140625" style="57" bestFit="1" customWidth="1"/>
    <col min="15634" max="15634" width="9.140625" style="57"/>
    <col min="15635" max="15635" width="25.140625" style="57" bestFit="1" customWidth="1"/>
    <col min="15636" max="15636" width="13.7109375" style="57" bestFit="1" customWidth="1"/>
    <col min="15637" max="15872" width="9.140625" style="57"/>
    <col min="15873" max="15873" width="23" style="57" bestFit="1" customWidth="1"/>
    <col min="15874" max="15878" width="13.85546875" style="57" customWidth="1"/>
    <col min="15879" max="15879" width="25.28515625" style="57" customWidth="1"/>
    <col min="15880" max="15880" width="13.85546875" style="57" customWidth="1"/>
    <col min="15881" max="15883" width="20.85546875" style="57" customWidth="1"/>
    <col min="15884" max="15884" width="13.85546875" style="57" customWidth="1"/>
    <col min="15885" max="15885" width="23" style="57" customWidth="1"/>
    <col min="15886" max="15886" width="20.85546875" style="57" customWidth="1"/>
    <col min="15887" max="15888" width="13.85546875" style="57" customWidth="1"/>
    <col min="15889" max="15889" width="15.140625" style="57" bestFit="1" customWidth="1"/>
    <col min="15890" max="15890" width="9.140625" style="57"/>
    <col min="15891" max="15891" width="25.140625" style="57" bestFit="1" customWidth="1"/>
    <col min="15892" max="15892" width="13.7109375" style="57" bestFit="1" customWidth="1"/>
    <col min="15893" max="16128" width="9.140625" style="57"/>
    <col min="16129" max="16129" width="23" style="57" bestFit="1" customWidth="1"/>
    <col min="16130" max="16134" width="13.85546875" style="57" customWidth="1"/>
    <col min="16135" max="16135" width="25.28515625" style="57" customWidth="1"/>
    <col min="16136" max="16136" width="13.85546875" style="57" customWidth="1"/>
    <col min="16137" max="16139" width="20.85546875" style="57" customWidth="1"/>
    <col min="16140" max="16140" width="13.85546875" style="57" customWidth="1"/>
    <col min="16141" max="16141" width="23" style="57" customWidth="1"/>
    <col min="16142" max="16142" width="20.85546875" style="57" customWidth="1"/>
    <col min="16143" max="16144" width="13.85546875" style="57" customWidth="1"/>
    <col min="16145" max="16145" width="15.140625" style="57" bestFit="1" customWidth="1"/>
    <col min="16146" max="16146" width="9.140625" style="57"/>
    <col min="16147" max="16147" width="25.140625" style="57" bestFit="1" customWidth="1"/>
    <col min="16148" max="16148" width="13.7109375" style="57" bestFit="1" customWidth="1"/>
    <col min="16149" max="16384" width="9.140625" style="57"/>
  </cols>
  <sheetData>
    <row r="1" spans="1:16" ht="25.5" x14ac:dyDescent="0.25">
      <c r="B1" s="57" t="str">
        <f>WELCOME!B3</f>
        <v>CANADA</v>
      </c>
    </row>
    <row r="3" spans="1:16" ht="27" customHeight="1" x14ac:dyDescent="0.25">
      <c r="A3" s="57" t="s">
        <v>26</v>
      </c>
      <c r="B3" s="58">
        <v>6.2</v>
      </c>
      <c r="C3" s="57" t="s">
        <v>285</v>
      </c>
    </row>
    <row r="4" spans="1:16" ht="25.5" x14ac:dyDescent="0.25">
      <c r="A4" s="57" t="s">
        <v>27</v>
      </c>
      <c r="B4" s="57">
        <v>47.14</v>
      </c>
      <c r="C4" s="57" t="s">
        <v>286</v>
      </c>
    </row>
    <row r="5" spans="1:16" x14ac:dyDescent="0.25">
      <c r="A5" s="57" t="s">
        <v>28</v>
      </c>
      <c r="B5" s="57">
        <v>2.69</v>
      </c>
      <c r="C5" s="57" t="s">
        <v>305</v>
      </c>
    </row>
    <row r="6" spans="1:16" x14ac:dyDescent="0.25">
      <c r="A6" s="57" t="s">
        <v>29</v>
      </c>
      <c r="B6" s="57">
        <v>4.45</v>
      </c>
      <c r="C6" s="57" t="e">
        <v>#N/A</v>
      </c>
    </row>
    <row r="7" spans="1:16" x14ac:dyDescent="0.25">
      <c r="A7" s="57" t="s">
        <v>30</v>
      </c>
      <c r="B7" s="57">
        <v>3.65</v>
      </c>
      <c r="C7" s="57" t="s">
        <v>281</v>
      </c>
    </row>
    <row r="8" spans="1:16" x14ac:dyDescent="0.25">
      <c r="A8" s="57" t="s">
        <v>31</v>
      </c>
      <c r="B8" s="57">
        <v>4.6399999999999997</v>
      </c>
      <c r="C8" s="57" t="s">
        <v>287</v>
      </c>
    </row>
    <row r="9" spans="1:16" x14ac:dyDescent="0.25">
      <c r="A9" s="57" t="s">
        <v>32</v>
      </c>
      <c r="B9" s="57">
        <v>0.96</v>
      </c>
      <c r="C9" s="57" t="e">
        <v>#N/A</v>
      </c>
    </row>
    <row r="10" spans="1:16" x14ac:dyDescent="0.25">
      <c r="A10" s="57" t="s">
        <v>33</v>
      </c>
      <c r="B10" s="57">
        <v>-2205.3000000000002</v>
      </c>
      <c r="C10" s="57" t="s">
        <v>283</v>
      </c>
    </row>
    <row r="11" spans="1:16" ht="25.5" x14ac:dyDescent="0.25">
      <c r="A11" s="57" t="s">
        <v>34</v>
      </c>
      <c r="B11" s="57">
        <v>-5365</v>
      </c>
      <c r="C11" s="57" t="s">
        <v>284</v>
      </c>
    </row>
    <row r="17" spans="1:24" ht="25.5" x14ac:dyDescent="0.25">
      <c r="B17" s="57" t="s">
        <v>41</v>
      </c>
      <c r="C17" s="57" t="s">
        <v>42</v>
      </c>
      <c r="D17" s="57" t="s">
        <v>43</v>
      </c>
      <c r="E17" s="57" t="s">
        <v>44</v>
      </c>
      <c r="F17" s="57" t="s">
        <v>45</v>
      </c>
      <c r="G17" s="57" t="s">
        <v>46</v>
      </c>
      <c r="H17" s="57" t="s">
        <v>47</v>
      </c>
      <c r="I17" s="57" t="s">
        <v>48</v>
      </c>
      <c r="J17" s="57" t="s">
        <v>49</v>
      </c>
      <c r="K17" s="57" t="s">
        <v>50</v>
      </c>
      <c r="L17" s="57" t="s">
        <v>51</v>
      </c>
      <c r="M17" s="57" t="s">
        <v>52</v>
      </c>
      <c r="N17" s="57" t="s">
        <v>53</v>
      </c>
      <c r="O17" s="57" t="s">
        <v>25</v>
      </c>
      <c r="P17" s="57" t="s">
        <v>54</v>
      </c>
      <c r="Q17" s="57" t="s">
        <v>55</v>
      </c>
      <c r="R17" s="57" t="s">
        <v>255</v>
      </c>
      <c r="S17" s="57" t="s">
        <v>256</v>
      </c>
      <c r="T17" s="57" t="s">
        <v>252</v>
      </c>
      <c r="U17" s="57" t="s">
        <v>253</v>
      </c>
      <c r="V17" s="57" t="s">
        <v>254</v>
      </c>
      <c r="W17" s="57" t="s">
        <v>296</v>
      </c>
      <c r="X17" s="57" t="s">
        <v>297</v>
      </c>
    </row>
    <row r="19" spans="1:24" x14ac:dyDescent="0.2">
      <c r="A19" s="57" t="s">
        <v>26</v>
      </c>
      <c r="B19" s="54" t="s">
        <v>56</v>
      </c>
      <c r="C19" s="54" t="s">
        <v>57</v>
      </c>
      <c r="D19" s="54" t="s">
        <v>58</v>
      </c>
      <c r="E19" s="54" t="s">
        <v>59</v>
      </c>
      <c r="F19" s="54" t="s">
        <v>60</v>
      </c>
      <c r="G19" s="54" t="s">
        <v>61</v>
      </c>
      <c r="H19" s="54" t="s">
        <v>62</v>
      </c>
      <c r="I19" s="54" t="s">
        <v>63</v>
      </c>
      <c r="J19" s="54" t="s">
        <v>64</v>
      </c>
      <c r="K19" s="54" t="s">
        <v>65</v>
      </c>
      <c r="L19" s="54" t="s">
        <v>66</v>
      </c>
      <c r="M19" s="54" t="s">
        <v>67</v>
      </c>
      <c r="N19" s="54" t="s">
        <v>68</v>
      </c>
      <c r="O19" s="54" t="s">
        <v>69</v>
      </c>
      <c r="P19" s="54" t="s">
        <v>35</v>
      </c>
      <c r="Q19" s="54" t="s">
        <v>70</v>
      </c>
      <c r="R19" s="80" t="s">
        <v>294</v>
      </c>
      <c r="S19" s="80" t="s">
        <v>285</v>
      </c>
      <c r="T19" s="80" t="s">
        <v>258</v>
      </c>
      <c r="U19" s="80" t="s">
        <v>270</v>
      </c>
      <c r="V19" s="80" t="s">
        <v>279</v>
      </c>
    </row>
    <row r="20" spans="1:24" ht="25.5" x14ac:dyDescent="0.25">
      <c r="A20" s="57" t="s">
        <v>27</v>
      </c>
      <c r="B20" s="57" t="s">
        <v>71</v>
      </c>
      <c r="C20" s="57" t="s">
        <v>72</v>
      </c>
      <c r="D20" s="57" t="s">
        <v>73</v>
      </c>
      <c r="E20" s="57" t="s">
        <v>301</v>
      </c>
      <c r="F20" s="57" t="s">
        <v>74</v>
      </c>
      <c r="G20" s="57" t="s">
        <v>75</v>
      </c>
      <c r="H20" s="57" t="s">
        <v>76</v>
      </c>
      <c r="I20" s="57" t="s">
        <v>77</v>
      </c>
      <c r="J20" s="57" t="s">
        <v>78</v>
      </c>
      <c r="K20" s="57" t="s">
        <v>79</v>
      </c>
      <c r="L20" s="57" t="s">
        <v>80</v>
      </c>
      <c r="M20" s="57" t="s">
        <v>81</v>
      </c>
      <c r="N20" s="57" t="s">
        <v>82</v>
      </c>
      <c r="O20" s="57" t="s">
        <v>83</v>
      </c>
      <c r="P20" s="57" t="s">
        <v>36</v>
      </c>
      <c r="Q20" s="57" t="s">
        <v>84</v>
      </c>
      <c r="R20" s="81" t="s">
        <v>288</v>
      </c>
      <c r="S20" s="81" t="s">
        <v>286</v>
      </c>
      <c r="T20" s="81" t="s">
        <v>259</v>
      </c>
      <c r="U20" s="81" t="s">
        <v>264</v>
      </c>
      <c r="V20" s="81" t="s">
        <v>278</v>
      </c>
    </row>
    <row r="21" spans="1:24" ht="25.5" x14ac:dyDescent="0.25">
      <c r="A21" s="57" t="s">
        <v>28</v>
      </c>
      <c r="B21" s="57" t="s">
        <v>85</v>
      </c>
      <c r="C21" s="57" t="s">
        <v>86</v>
      </c>
      <c r="D21" s="57" t="s">
        <v>87</v>
      </c>
      <c r="E21" s="57" t="s">
        <v>88</v>
      </c>
      <c r="F21" s="57" t="s">
        <v>89</v>
      </c>
      <c r="G21" s="57" t="s">
        <v>90</v>
      </c>
      <c r="H21" s="57" t="s">
        <v>91</v>
      </c>
      <c r="I21" s="57" t="s">
        <v>92</v>
      </c>
      <c r="J21" s="57" t="s">
        <v>93</v>
      </c>
      <c r="K21" s="57" t="s">
        <v>94</v>
      </c>
      <c r="L21" s="57" t="s">
        <v>95</v>
      </c>
      <c r="M21" s="57" t="s">
        <v>96</v>
      </c>
      <c r="N21" s="57" t="s">
        <v>97</v>
      </c>
      <c r="O21" s="57" t="s">
        <v>98</v>
      </c>
      <c r="P21" s="57" t="s">
        <v>99</v>
      </c>
      <c r="Q21" s="57" t="s">
        <v>100</v>
      </c>
      <c r="R21" s="81" t="s">
        <v>306</v>
      </c>
      <c r="S21" s="81" t="s">
        <v>305</v>
      </c>
      <c r="T21" s="81" t="s">
        <v>304</v>
      </c>
      <c r="U21" s="81" t="s">
        <v>303</v>
      </c>
      <c r="V21" s="81" t="s">
        <v>302</v>
      </c>
    </row>
    <row r="22" spans="1:24" ht="25.5" x14ac:dyDescent="0.25">
      <c r="A22" s="57" t="s">
        <v>29</v>
      </c>
      <c r="B22" s="57" t="s">
        <v>101</v>
      </c>
      <c r="C22" s="57" t="s">
        <v>102</v>
      </c>
      <c r="D22" s="57" t="s">
        <v>103</v>
      </c>
      <c r="E22" s="57" t="s">
        <v>104</v>
      </c>
      <c r="F22" s="57" t="s">
        <v>105</v>
      </c>
      <c r="G22" s="57" t="s">
        <v>106</v>
      </c>
      <c r="H22" s="57" t="s">
        <v>107</v>
      </c>
      <c r="I22" s="57" t="s">
        <v>108</v>
      </c>
      <c r="J22" s="57" t="s">
        <v>109</v>
      </c>
      <c r="K22" s="57" t="s">
        <v>110</v>
      </c>
      <c r="L22" s="57" t="s">
        <v>111</v>
      </c>
      <c r="M22" s="57" t="s">
        <v>112</v>
      </c>
      <c r="N22" s="57" t="s">
        <v>113</v>
      </c>
      <c r="O22" s="57" t="s">
        <v>114</v>
      </c>
      <c r="P22" s="57" t="s">
        <v>115</v>
      </c>
      <c r="Q22" s="57" t="s">
        <v>116</v>
      </c>
      <c r="R22" s="81" t="s">
        <v>295</v>
      </c>
      <c r="S22" s="81" t="s">
        <v>280</v>
      </c>
      <c r="T22" s="81" t="s">
        <v>263</v>
      </c>
      <c r="U22" s="81" t="s">
        <v>269</v>
      </c>
      <c r="V22" s="81" t="s">
        <v>277</v>
      </c>
    </row>
    <row r="23" spans="1:24" x14ac:dyDescent="0.25">
      <c r="A23" s="57" t="s">
        <v>30</v>
      </c>
      <c r="B23" s="57" t="s">
        <v>117</v>
      </c>
      <c r="C23" s="57" t="s">
        <v>118</v>
      </c>
      <c r="D23" s="57" t="s">
        <v>119</v>
      </c>
      <c r="E23" s="57" t="s">
        <v>120</v>
      </c>
      <c r="F23" s="57" t="s">
        <v>121</v>
      </c>
      <c r="G23" s="57" t="s">
        <v>122</v>
      </c>
      <c r="H23" s="57" t="s">
        <v>123</v>
      </c>
      <c r="I23" s="57" t="s">
        <v>124</v>
      </c>
      <c r="J23" s="57" t="s">
        <v>125</v>
      </c>
      <c r="K23" s="57" t="s">
        <v>126</v>
      </c>
      <c r="L23" s="57" t="s">
        <v>127</v>
      </c>
      <c r="M23" s="57" t="s">
        <v>128</v>
      </c>
      <c r="N23" s="57" t="s">
        <v>129</v>
      </c>
      <c r="O23" s="57" t="s">
        <v>130</v>
      </c>
      <c r="P23" s="57" t="s">
        <v>37</v>
      </c>
      <c r="Q23" s="57" t="s">
        <v>131</v>
      </c>
      <c r="R23" s="81" t="s">
        <v>289</v>
      </c>
      <c r="S23" s="81" t="s">
        <v>281</v>
      </c>
      <c r="T23" s="81" t="s">
        <v>257</v>
      </c>
      <c r="U23" s="81" t="s">
        <v>265</v>
      </c>
      <c r="V23" s="81" t="s">
        <v>272</v>
      </c>
    </row>
    <row r="24" spans="1:24" x14ac:dyDescent="0.25">
      <c r="A24" s="57" t="s">
        <v>31</v>
      </c>
      <c r="B24" s="57" t="s">
        <v>132</v>
      </c>
      <c r="C24" s="57" t="s">
        <v>133</v>
      </c>
      <c r="D24" s="57" t="s">
        <v>134</v>
      </c>
      <c r="E24" s="57" t="s">
        <v>300</v>
      </c>
      <c r="F24" s="57" t="s">
        <v>135</v>
      </c>
      <c r="G24" s="57" t="s">
        <v>136</v>
      </c>
      <c r="H24" s="57" t="s">
        <v>137</v>
      </c>
      <c r="I24" s="57" t="s">
        <v>138</v>
      </c>
      <c r="J24" s="57" t="s">
        <v>139</v>
      </c>
      <c r="K24" s="57" t="s">
        <v>140</v>
      </c>
      <c r="L24" s="57" t="s">
        <v>317</v>
      </c>
      <c r="M24" s="57" t="s">
        <v>141</v>
      </c>
      <c r="N24" s="57" t="s">
        <v>142</v>
      </c>
      <c r="O24" s="57" t="s">
        <v>143</v>
      </c>
      <c r="P24" s="57" t="s">
        <v>38</v>
      </c>
      <c r="Q24" s="57" t="s">
        <v>144</v>
      </c>
      <c r="R24" s="81" t="s">
        <v>290</v>
      </c>
      <c r="S24" s="81" t="s">
        <v>287</v>
      </c>
      <c r="T24" s="81" t="s">
        <v>260</v>
      </c>
      <c r="U24" s="81" t="s">
        <v>271</v>
      </c>
      <c r="V24" s="81" t="s">
        <v>276</v>
      </c>
    </row>
    <row r="25" spans="1:24" ht="25.5" x14ac:dyDescent="0.25">
      <c r="A25" s="57" t="s">
        <v>32</v>
      </c>
      <c r="B25" s="57" t="s">
        <v>145</v>
      </c>
      <c r="C25" s="57" t="s">
        <v>146</v>
      </c>
      <c r="D25" s="57" t="s">
        <v>147</v>
      </c>
      <c r="E25" s="57" t="s">
        <v>148</v>
      </c>
      <c r="F25" s="57" t="s">
        <v>149</v>
      </c>
      <c r="G25" s="57" t="s">
        <v>150</v>
      </c>
      <c r="H25" s="57" t="s">
        <v>151</v>
      </c>
      <c r="I25" s="57" t="s">
        <v>152</v>
      </c>
      <c r="J25" s="57" t="s">
        <v>153</v>
      </c>
      <c r="K25" s="57" t="s">
        <v>154</v>
      </c>
      <c r="L25" s="57" t="s">
        <v>155</v>
      </c>
      <c r="M25" s="57" t="s">
        <v>156</v>
      </c>
      <c r="N25" s="57" t="s">
        <v>157</v>
      </c>
      <c r="O25" s="57" t="s">
        <v>158</v>
      </c>
      <c r="P25" s="57" t="s">
        <v>159</v>
      </c>
      <c r="Q25" s="57" t="s">
        <v>160</v>
      </c>
      <c r="R25" s="81" t="s">
        <v>291</v>
      </c>
      <c r="S25" s="81" t="s">
        <v>282</v>
      </c>
      <c r="T25" s="81" t="s">
        <v>261</v>
      </c>
      <c r="U25" s="81" t="s">
        <v>266</v>
      </c>
      <c r="V25" s="81" t="s">
        <v>273</v>
      </c>
    </row>
    <row r="26" spans="1:24" x14ac:dyDescent="0.25">
      <c r="A26" s="57" t="s">
        <v>33</v>
      </c>
      <c r="B26" s="57" t="s">
        <v>161</v>
      </c>
      <c r="C26" s="57" t="s">
        <v>162</v>
      </c>
      <c r="D26" s="57" t="s">
        <v>163</v>
      </c>
      <c r="E26" s="57" t="s">
        <v>164</v>
      </c>
      <c r="F26" s="57" t="s">
        <v>165</v>
      </c>
      <c r="G26" s="57" t="s">
        <v>166</v>
      </c>
      <c r="H26" s="57" t="s">
        <v>167</v>
      </c>
      <c r="I26" s="57" t="s">
        <v>168</v>
      </c>
      <c r="J26" s="57" t="s">
        <v>169</v>
      </c>
      <c r="K26" s="57" t="s">
        <v>170</v>
      </c>
      <c r="L26" s="57" t="s">
        <v>171</v>
      </c>
      <c r="M26" s="57" t="s">
        <v>172</v>
      </c>
      <c r="N26" s="57" t="s">
        <v>173</v>
      </c>
      <c r="O26" s="57" t="s">
        <v>174</v>
      </c>
      <c r="P26" s="57" t="s">
        <v>39</v>
      </c>
      <c r="Q26" s="57" t="s">
        <v>175</v>
      </c>
      <c r="R26" s="81" t="s">
        <v>292</v>
      </c>
      <c r="S26" s="81" t="s">
        <v>283</v>
      </c>
      <c r="T26" s="81" t="s">
        <v>299</v>
      </c>
      <c r="U26" s="81" t="s">
        <v>267</v>
      </c>
      <c r="V26" s="81" t="s">
        <v>274</v>
      </c>
    </row>
    <row r="27" spans="1:24" ht="25.5" x14ac:dyDescent="0.25">
      <c r="A27" s="57" t="s">
        <v>34</v>
      </c>
      <c r="B27" s="57" t="s">
        <v>176</v>
      </c>
      <c r="C27" s="57" t="s">
        <v>177</v>
      </c>
      <c r="D27" s="57" t="s">
        <v>178</v>
      </c>
      <c r="E27" s="57" t="s">
        <v>179</v>
      </c>
      <c r="F27" s="57" t="s">
        <v>180</v>
      </c>
      <c r="G27" s="57" t="s">
        <v>181</v>
      </c>
      <c r="H27" s="57" t="s">
        <v>182</v>
      </c>
      <c r="I27" s="57" t="s">
        <v>183</v>
      </c>
      <c r="J27" s="57" t="s">
        <v>184</v>
      </c>
      <c r="K27" s="57" t="s">
        <v>185</v>
      </c>
      <c r="L27" s="57" t="s">
        <v>186</v>
      </c>
      <c r="M27" s="57" t="s">
        <v>187</v>
      </c>
      <c r="N27" s="57" t="s">
        <v>188</v>
      </c>
      <c r="O27" s="57" t="s">
        <v>189</v>
      </c>
      <c r="P27" s="57" t="s">
        <v>40</v>
      </c>
      <c r="Q27" s="57" t="s">
        <v>190</v>
      </c>
      <c r="R27" s="81" t="s">
        <v>293</v>
      </c>
      <c r="S27" s="81" t="s">
        <v>284</v>
      </c>
      <c r="T27" s="81" t="s">
        <v>262</v>
      </c>
      <c r="U27" s="81" t="s">
        <v>268</v>
      </c>
      <c r="V27" s="81" t="s">
        <v>275</v>
      </c>
    </row>
    <row r="28" spans="1:24" x14ac:dyDescent="0.25">
      <c r="R28" s="81"/>
      <c r="S28" s="81"/>
      <c r="T28" s="81"/>
      <c r="U28" s="81"/>
      <c r="V28" s="81"/>
    </row>
    <row r="29" spans="1:24" ht="140.25" x14ac:dyDescent="0.25">
      <c r="B29" s="57" t="str">
        <f>B19&amp;","&amp;B20&amp;","&amp;B21&amp;","&amp;B22&amp;","&amp;B23&amp;","&amp;B24&amp;","&amp;B25&amp;","&amp;B26&amp;","&amp;B27</f>
        <v>FRUN%TOTQ,FRCNFCONQ,FRCPANNL,PCH#(FRM3....A,1Y),FRGBOND.,FRINTER3,PCH#(FRGDP...D,1Y),FRVISGDSB,FRCURBALB</v>
      </c>
      <c r="C29" s="57" t="str">
        <f>C19&amp;","&amp;C20&amp;","&amp;C21&amp;","&amp;C22&amp;","&amp;C23&amp;","&amp;C24&amp;","&amp;C25&amp;","&amp;C26&amp;","&amp;C27</f>
        <v>BDUN%TOTR,BDCNFCONQ,BDCPANNL,PCH#(BDM3....B,1Y),BDGBOND.,BDINTER3,PCH#(BDGDP...D,1Y),BDVISBALB,BDCURBALA</v>
      </c>
      <c r="D29" s="57" t="str">
        <f t="shared" ref="D29:Q29" si="0">D19&amp;","&amp;D20&amp;","&amp;D21&amp;","&amp;D22&amp;","&amp;D23&amp;","&amp;D24&amp;","&amp;D25&amp;","&amp;D26&amp;","&amp;D27</f>
        <v>ITUN%TOTQ,ITCNFCONQ,ITCPANNL,PCH#(ITM3....A,1Y),ITGBOND.,ITINTER3,PCH#(ITGDP...D,1Y),ITVISBOPA,ITCURBALA</v>
      </c>
      <c r="E29" s="57" t="str">
        <f>E19&amp;","&amp;E20&amp;","&amp;E21&amp;","&amp;E22&amp;","&amp;E23&amp;","&amp;E24&amp;","&amp;E25&amp;","&amp;E26&amp;","&amp;E27</f>
        <v>UKUN%TOTQ,UKCCIPSOR,UKRPANNL,PCH#(UKM4....B,1Y),UKGBOND.,ECUKPST,PCH#(UKGDP...D,1Y),UKVISBOPB,UKCURBALB</v>
      </c>
      <c r="F29" s="57" t="str">
        <f t="shared" si="0"/>
        <v>BGUN%TOTQ,BGCNFCONQ,BGCPANNL,PCH#(BGM3....A,1Y),BGGBOND.,BGINTER3,PCH#(BGGDP...D,1Y),BGVISBOPA,BGCURBALA</v>
      </c>
      <c r="G29" s="57" t="str">
        <f t="shared" si="0"/>
        <v>DKUN%TOTQ,DKCNFCONR,DKCPANNL,PCH#(DKM3....A,1Y),DKGBOND.,DKINTER3,PCH#(DKGDP...D,1Y),DKVISGDSA,DKCURBALA</v>
      </c>
      <c r="H29" s="57" t="str">
        <f t="shared" si="0"/>
        <v>NLNEWUN%R,NLCNFCONQ,NLCPANNL,PCH#(NLM3....A,1Y),NLOIR080R,NLINTER3,PCH#(NLGDP...D,1Y),NLVISBOPA,NLCURBALA</v>
      </c>
      <c r="I29" s="57" t="str">
        <f t="shared" si="0"/>
        <v>NWUN%TOTQ,NWCNFCONQ,NWCPANNL,PCH#(NWM2....A,1Y),NWGBOND.,NWINTER3,PCH#(NWGDP...D,1Y),NWVISBOPA,NWCURBALA</v>
      </c>
      <c r="J29" s="57" t="str">
        <f t="shared" si="0"/>
        <v>ESUN%TOTQ,ESCNFCONQ,ESCPANNL,PCH#(ESM3....A,1Y),ESGBOND.,ESINTER3,PCH#(ESGDP..VE,1Y),ESVISBOPA,ESCURBALA</v>
      </c>
      <c r="K29" s="57" t="str">
        <f t="shared" si="0"/>
        <v>SDUN%TOTR,SDCNFCONR,SDCPANNL,PCH#(SDM3....A,1Y),SDGBOND.,SDINTER3,PCH#(SDGDP...D,1Y),SDVISBOPA,SDCURBALA</v>
      </c>
      <c r="L29" s="57" t="str">
        <f t="shared" si="0"/>
        <v>SWUN%TOTQ,SWCNFCONR,SWCPANNL,PCH#(SWM3....A,1Y),SWGBOND.,ECSWFST,PCH#(SWGDP...D,1Y),SWVISBOPA,SWCURBALA</v>
      </c>
      <c r="M29" s="57" t="str">
        <f t="shared" si="0"/>
        <v>FNUN%TOTR,FNCNFCONQ,PCH#(FNCONPRCF,1Y),PCH#(FNM3....A,1Y),FNGBOND.,FNINTER3,PCH#(FNGDP...D,1Y),FNVISBOPA,FNCURBALA</v>
      </c>
      <c r="N29" s="57" t="str">
        <f t="shared" si="0"/>
        <v>IRUN%TOTQ,IRCNFCONQ,IRCPANNL,PCH#(IRM3....A,1Y),IRGBOND.,IRINTER3,PCH#(IRGDP...D,1Y),IRVISBOPA,IRCURBALA</v>
      </c>
      <c r="O29" s="57" t="str">
        <f t="shared" si="0"/>
        <v>PTUN%TOTR,PTCNFCONQ,PTCPI%..F,PCH#(PTM2....A,1Y),PTGBOND.,PTINTER3,PCH#(PTGDP...D,1Y),PTVISBOPA,PTCURBALA</v>
      </c>
      <c r="P29" s="57" t="str">
        <f t="shared" si="0"/>
        <v>GRUN%TOTR,GRCNFCONQ,PCH#(GRCONPRCF,1Y),PCH#(GRM3....A,1Y),GRGBOND.,GRINTER3,PCH#(GRGDP...D,1Y),GRVISBOPA,GRCURBALA</v>
      </c>
      <c r="Q29" s="57" t="str">
        <f t="shared" si="0"/>
        <v>OEUN%TOTR,OECNFCONQ,PCH#(OECPHARMF,1Y),PCH#(OEM3....A,1Y),OEGBOND.,OEINTER3,PCH#(OEGDP...C,1Y),OEVISBOPA,OECURBALA</v>
      </c>
      <c r="R29" s="81" t="str">
        <f t="shared" ref="R29:V29" si="1">R19&amp;","&amp;R20&amp;","&amp;R21&amp;","&amp;R22&amp;","&amp;R23&amp;","&amp;R24&amp;","&amp;R25&amp;","&amp;R26&amp;","&amp;R27</f>
        <v>NZUN%TOTR,NZCNFCONR,NZCPANNL,PCH#(NZM3....A,1Y),NZGBOND.,ECNZDST,PCH#(NZGDP...C,1Y),NZVISBOPA,NZCURBALB</v>
      </c>
      <c r="S29" s="81" t="str">
        <f t="shared" si="1"/>
        <v>CNUN%TOTQ,CNCNFCONR,CNCPANNL,PCH#(CNM2....B,1Y),CNGBOND.,ECCADST,PCH#(CNGDP...C,1Y),CNVISBOPA,CNCURBALB</v>
      </c>
      <c r="T29" s="81" t="str">
        <f t="shared" si="1"/>
        <v>USUN%TOTQ,USCNFCONQ,USCPANNL,PCH#(USM2....B,1Y),USGBOND.,USINTER3,PCH#(USGDP...C,1Y),USVISBOPB,USCURBALB</v>
      </c>
      <c r="U29" s="81" t="str">
        <f t="shared" si="1"/>
        <v>JPUN%TOTQ,JPCNFCONQ,JPCPANNL,PCH#(JPM4....A,1Y),JPGBOND.,JPMSHORT,PCH#(JPGDP...C,1Y),JPVISBOPA,JPCURBALA</v>
      </c>
      <c r="V29" s="81" t="str">
        <f t="shared" si="1"/>
        <v>AUUN%TOTR,AUCNFCONR,AUCPANNL,PCH#(AUM3....B,1Y),AUGBOND.,ECAUDST,PCH#(AUGDP...C,1Y),AUVISBOPA,AUCURBALB</v>
      </c>
    </row>
    <row r="34" spans="1:1" x14ac:dyDescent="0.25">
      <c r="A34" s="57" t="s">
        <v>55</v>
      </c>
    </row>
    <row r="35" spans="1:1" x14ac:dyDescent="0.25">
      <c r="A35" s="57" t="s">
        <v>45</v>
      </c>
    </row>
    <row r="36" spans="1:1" x14ac:dyDescent="0.25">
      <c r="A36" s="57" t="s">
        <v>46</v>
      </c>
    </row>
    <row r="37" spans="1:1" x14ac:dyDescent="0.25">
      <c r="A37" s="57" t="s">
        <v>52</v>
      </c>
    </row>
    <row r="38" spans="1:1" x14ac:dyDescent="0.25">
      <c r="A38" s="57" t="s">
        <v>41</v>
      </c>
    </row>
    <row r="39" spans="1:1" x14ac:dyDescent="0.25">
      <c r="A39" s="57" t="s">
        <v>42</v>
      </c>
    </row>
    <row r="40" spans="1:1" x14ac:dyDescent="0.25">
      <c r="A40" s="57" t="s">
        <v>54</v>
      </c>
    </row>
    <row r="41" spans="1:1" x14ac:dyDescent="0.25">
      <c r="A41" s="57" t="s">
        <v>53</v>
      </c>
    </row>
    <row r="42" spans="1:1" x14ac:dyDescent="0.25">
      <c r="A42" s="57" t="s">
        <v>43</v>
      </c>
    </row>
    <row r="43" spans="1:1" x14ac:dyDescent="0.25">
      <c r="A43" s="57" t="s">
        <v>47</v>
      </c>
    </row>
    <row r="44" spans="1:1" x14ac:dyDescent="0.25">
      <c r="A44" s="57" t="s">
        <v>48</v>
      </c>
    </row>
    <row r="45" spans="1:1" x14ac:dyDescent="0.25">
      <c r="A45" s="57" t="s">
        <v>25</v>
      </c>
    </row>
    <row r="46" spans="1:1" x14ac:dyDescent="0.25">
      <c r="A46" s="57" t="s">
        <v>49</v>
      </c>
    </row>
    <row r="47" spans="1:1" x14ac:dyDescent="0.25">
      <c r="A47" s="57" t="s">
        <v>50</v>
      </c>
    </row>
    <row r="48" spans="1:1" x14ac:dyDescent="0.25">
      <c r="A48" s="57" t="s">
        <v>51</v>
      </c>
    </row>
    <row r="49" spans="1:1" x14ac:dyDescent="0.25">
      <c r="A49" s="57" t="s">
        <v>44</v>
      </c>
    </row>
    <row r="50" spans="1:1" x14ac:dyDescent="0.25">
      <c r="A50" s="57" t="s">
        <v>252</v>
      </c>
    </row>
    <row r="51" spans="1:1" x14ac:dyDescent="0.25">
      <c r="A51" s="57" t="s">
        <v>253</v>
      </c>
    </row>
    <row r="52" spans="1:1" x14ac:dyDescent="0.25">
      <c r="A52" s="57" t="s">
        <v>254</v>
      </c>
    </row>
    <row r="53" spans="1:1" x14ac:dyDescent="0.25">
      <c r="A53" s="57" t="s">
        <v>255</v>
      </c>
    </row>
    <row r="54" spans="1:1" x14ac:dyDescent="0.25">
      <c r="A54" s="57" t="s">
        <v>256</v>
      </c>
    </row>
    <row r="55" spans="1:1" x14ac:dyDescent="0.25">
      <c r="A55" s="57" t="s">
        <v>298</v>
      </c>
    </row>
    <row r="56" spans="1:1" x14ac:dyDescent="0.25">
      <c r="A56" s="57" t="s">
        <v>297</v>
      </c>
    </row>
    <row r="67" spans="1:37" ht="76.5" x14ac:dyDescent="0.25">
      <c r="A67" s="57" t="s">
        <v>191</v>
      </c>
      <c r="B67" s="57" t="s">
        <v>308</v>
      </c>
      <c r="C67" s="57" t="s">
        <v>309</v>
      </c>
      <c r="D67" s="57" t="s">
        <v>310</v>
      </c>
      <c r="E67" s="57" t="s">
        <v>311</v>
      </c>
      <c r="F67" s="57" t="s">
        <v>312</v>
      </c>
      <c r="G67" s="57" t="s">
        <v>313</v>
      </c>
      <c r="H67" s="57" t="s">
        <v>314</v>
      </c>
      <c r="I67" s="57" t="s">
        <v>315</v>
      </c>
      <c r="J67" s="57" t="s">
        <v>316</v>
      </c>
    </row>
    <row r="68" spans="1:37" ht="25.5" x14ac:dyDescent="0.25">
      <c r="A68" s="57" t="s">
        <v>192</v>
      </c>
      <c r="B68" s="57" t="s">
        <v>285</v>
      </c>
      <c r="C68" s="57" t="s">
        <v>286</v>
      </c>
      <c r="D68" s="57" t="s">
        <v>305</v>
      </c>
      <c r="E68" s="57" t="s">
        <v>280</v>
      </c>
      <c r="F68" s="57" t="s">
        <v>281</v>
      </c>
      <c r="G68" s="57" t="s">
        <v>287</v>
      </c>
      <c r="H68" s="57" t="s">
        <v>282</v>
      </c>
      <c r="I68" s="57" t="s">
        <v>283</v>
      </c>
      <c r="J68" s="57" t="s">
        <v>284</v>
      </c>
      <c r="L68" s="58" t="s">
        <v>193</v>
      </c>
      <c r="O68" s="57" t="s">
        <v>194</v>
      </c>
      <c r="U68" s="57" t="s">
        <v>195</v>
      </c>
      <c r="X68" s="57" t="s">
        <v>196</v>
      </c>
      <c r="AA68" s="58" t="s">
        <v>197</v>
      </c>
      <c r="AD68" s="58" t="s">
        <v>198</v>
      </c>
      <c r="AG68" s="58" t="s">
        <v>199</v>
      </c>
      <c r="AJ68" s="58" t="s">
        <v>200</v>
      </c>
    </row>
    <row r="69" spans="1:37" ht="76.5" x14ac:dyDescent="0.25">
      <c r="A69" s="57" t="s">
        <v>201</v>
      </c>
      <c r="B69" s="57">
        <v>7.2</v>
      </c>
      <c r="C69" s="57">
        <v>54.8</v>
      </c>
      <c r="D69" s="57">
        <v>2.2200000000000002</v>
      </c>
      <c r="E69" s="57">
        <v>5.48</v>
      </c>
      <c r="F69" s="57">
        <v>2.72</v>
      </c>
      <c r="G69" s="57">
        <v>1.105</v>
      </c>
      <c r="H69" s="57">
        <v>3.3</v>
      </c>
      <c r="I69" s="57">
        <v>819.6</v>
      </c>
      <c r="J69" s="57">
        <v>-10216</v>
      </c>
      <c r="L69" s="58"/>
      <c r="M69" s="57" t="s">
        <v>26</v>
      </c>
      <c r="P69" s="57" t="s">
        <v>27</v>
      </c>
      <c r="S69" s="57" t="str">
        <f>A21</f>
        <v>INFLATION</v>
      </c>
      <c r="V69" s="57" t="s">
        <v>29</v>
      </c>
      <c r="Y69" s="57" t="s">
        <v>30</v>
      </c>
      <c r="AA69" s="58"/>
      <c r="AB69" s="57" t="s">
        <v>31</v>
      </c>
      <c r="AD69" s="58"/>
      <c r="AE69" s="57" t="s">
        <v>32</v>
      </c>
      <c r="AG69" s="58"/>
      <c r="AH69" s="57" t="s">
        <v>33</v>
      </c>
      <c r="AJ69" s="58"/>
      <c r="AK69" s="57" t="s">
        <v>34</v>
      </c>
    </row>
    <row r="70" spans="1:37" x14ac:dyDescent="0.25">
      <c r="A70" s="57" t="s">
        <v>202</v>
      </c>
      <c r="B70" s="59">
        <v>7</v>
      </c>
      <c r="C70" s="57">
        <v>55.87</v>
      </c>
      <c r="D70" s="59">
        <v>2.08</v>
      </c>
      <c r="E70" s="57">
        <v>5.54</v>
      </c>
      <c r="F70" s="57">
        <v>2.61</v>
      </c>
      <c r="G70" s="57">
        <v>1.075</v>
      </c>
      <c r="H70" s="59">
        <v>3.3</v>
      </c>
      <c r="I70" s="57">
        <v>672.3</v>
      </c>
      <c r="J70" s="57">
        <v>-9549</v>
      </c>
      <c r="L70" s="58" t="str">
        <f t="shared" ref="L70:M109" si="2">A69</f>
        <v>Q2 2014</v>
      </c>
      <c r="M70" s="60">
        <f>B69</f>
        <v>7.2</v>
      </c>
      <c r="O70" s="60" t="str">
        <f t="shared" ref="O70:O109" si="3">L70</f>
        <v>Q2 2014</v>
      </c>
      <c r="P70" s="60">
        <f t="shared" ref="P70:P109" si="4">C69</f>
        <v>54.8</v>
      </c>
      <c r="R70" s="60" t="str">
        <f>O70</f>
        <v>Q2 2014</v>
      </c>
      <c r="S70" s="60">
        <f>D70</f>
        <v>2.08</v>
      </c>
      <c r="U70" s="60" t="str">
        <f t="shared" ref="U70:U109" si="5">R70</f>
        <v>Q2 2014</v>
      </c>
      <c r="V70" s="60">
        <f t="shared" ref="V70:V109" si="6">E69</f>
        <v>5.48</v>
      </c>
      <c r="X70" s="60" t="str">
        <f t="shared" ref="X70:X109" si="7">U70</f>
        <v>Q2 2014</v>
      </c>
      <c r="Y70" s="60">
        <f t="shared" ref="Y70:Y109" si="8">F69</f>
        <v>2.72</v>
      </c>
      <c r="AA70" s="58" t="str">
        <f t="shared" ref="AA70:AA109" si="9">L70</f>
        <v>Q2 2014</v>
      </c>
      <c r="AB70" s="60">
        <f t="shared" ref="AB70:AB109" si="10">G69</f>
        <v>1.105</v>
      </c>
      <c r="AD70" s="58" t="str">
        <f t="shared" ref="AD70:AD109" si="11">O70</f>
        <v>Q2 2014</v>
      </c>
      <c r="AE70" s="60">
        <f t="shared" ref="AE70:AE109" si="12">H69</f>
        <v>3.3</v>
      </c>
      <c r="AG70" s="58" t="str">
        <f t="shared" ref="AG70:AG109" si="13">R70</f>
        <v>Q2 2014</v>
      </c>
      <c r="AH70" s="60">
        <f t="shared" ref="AH70:AH109" si="14">I69</f>
        <v>819.6</v>
      </c>
      <c r="AJ70" s="58" t="str">
        <f t="shared" ref="AJ70:AJ109" si="15">U70</f>
        <v>Q2 2014</v>
      </c>
      <c r="AK70" s="60">
        <f t="shared" ref="AK70:AK109" si="16">J69</f>
        <v>-10216</v>
      </c>
    </row>
    <row r="71" spans="1:37" x14ac:dyDescent="0.25">
      <c r="A71" s="57" t="s">
        <v>203</v>
      </c>
      <c r="B71" s="59">
        <v>6.8</v>
      </c>
      <c r="C71" s="57">
        <v>53.59</v>
      </c>
      <c r="D71" s="59">
        <v>1.93</v>
      </c>
      <c r="E71" s="57">
        <v>4.75</v>
      </c>
      <c r="F71" s="57">
        <v>2.2200000000000002</v>
      </c>
      <c r="G71" s="57">
        <v>0.93</v>
      </c>
      <c r="H71" s="59">
        <v>2.4</v>
      </c>
      <c r="I71" s="57">
        <v>-477.5</v>
      </c>
      <c r="J71" s="57">
        <v>-14709</v>
      </c>
      <c r="L71" s="58" t="str">
        <f t="shared" si="2"/>
        <v>Q3 2014</v>
      </c>
      <c r="M71" s="60">
        <f t="shared" si="2"/>
        <v>7</v>
      </c>
      <c r="O71" s="60" t="str">
        <f t="shared" si="3"/>
        <v>Q3 2014</v>
      </c>
      <c r="P71" s="60">
        <f t="shared" si="4"/>
        <v>55.87</v>
      </c>
      <c r="R71" s="60" t="str">
        <f t="shared" ref="R71:R109" si="17">O71</f>
        <v>Q3 2014</v>
      </c>
      <c r="S71" s="60">
        <f t="shared" ref="S71:S109" si="18">D71</f>
        <v>1.93</v>
      </c>
      <c r="U71" s="60" t="str">
        <f t="shared" si="5"/>
        <v>Q3 2014</v>
      </c>
      <c r="V71" s="60">
        <f t="shared" si="6"/>
        <v>5.54</v>
      </c>
      <c r="X71" s="60" t="str">
        <f t="shared" si="7"/>
        <v>Q3 2014</v>
      </c>
      <c r="Y71" s="60">
        <f t="shared" si="8"/>
        <v>2.61</v>
      </c>
      <c r="AA71" s="58" t="str">
        <f t="shared" si="9"/>
        <v>Q3 2014</v>
      </c>
      <c r="AB71" s="60">
        <f t="shared" si="10"/>
        <v>1.075</v>
      </c>
      <c r="AD71" s="58" t="str">
        <f t="shared" si="11"/>
        <v>Q3 2014</v>
      </c>
      <c r="AE71" s="60">
        <f t="shared" si="12"/>
        <v>3.3</v>
      </c>
      <c r="AG71" s="58" t="str">
        <f t="shared" si="13"/>
        <v>Q3 2014</v>
      </c>
      <c r="AH71" s="60">
        <f t="shared" si="14"/>
        <v>672.3</v>
      </c>
      <c r="AJ71" s="58" t="str">
        <f t="shared" si="15"/>
        <v>Q3 2014</v>
      </c>
      <c r="AK71" s="60">
        <f t="shared" si="16"/>
        <v>-9549</v>
      </c>
    </row>
    <row r="72" spans="1:37" x14ac:dyDescent="0.25">
      <c r="A72" s="57" t="s">
        <v>204</v>
      </c>
      <c r="B72" s="59">
        <v>6.8</v>
      </c>
      <c r="C72" s="57">
        <v>51.55</v>
      </c>
      <c r="D72" s="59">
        <v>1.07</v>
      </c>
      <c r="E72" s="57">
        <v>4.9400000000000004</v>
      </c>
      <c r="F72" s="57">
        <v>1.79</v>
      </c>
      <c r="G72" s="57">
        <v>0.63500000000000001</v>
      </c>
      <c r="H72" s="59">
        <v>2.2000000000000002</v>
      </c>
      <c r="I72" s="57">
        <v>-4832.8999999999996</v>
      </c>
      <c r="J72" s="57">
        <v>-19319</v>
      </c>
      <c r="L72" s="58" t="str">
        <f t="shared" si="2"/>
        <v>Q4 2014</v>
      </c>
      <c r="M72" s="60">
        <f t="shared" si="2"/>
        <v>6.8</v>
      </c>
      <c r="O72" s="60" t="str">
        <f t="shared" si="3"/>
        <v>Q4 2014</v>
      </c>
      <c r="P72" s="60">
        <f t="shared" si="4"/>
        <v>53.59</v>
      </c>
      <c r="R72" s="60" t="str">
        <f t="shared" si="17"/>
        <v>Q4 2014</v>
      </c>
      <c r="S72" s="60">
        <f t="shared" si="18"/>
        <v>1.07</v>
      </c>
      <c r="U72" s="60" t="str">
        <f t="shared" si="5"/>
        <v>Q4 2014</v>
      </c>
      <c r="V72" s="60">
        <f t="shared" si="6"/>
        <v>4.75</v>
      </c>
      <c r="X72" s="60" t="str">
        <f t="shared" si="7"/>
        <v>Q4 2014</v>
      </c>
      <c r="Y72" s="60">
        <f t="shared" si="8"/>
        <v>2.2200000000000002</v>
      </c>
      <c r="AA72" s="58" t="str">
        <f t="shared" si="9"/>
        <v>Q4 2014</v>
      </c>
      <c r="AB72" s="60">
        <f t="shared" si="10"/>
        <v>0.93</v>
      </c>
      <c r="AD72" s="58" t="str">
        <f t="shared" si="11"/>
        <v>Q4 2014</v>
      </c>
      <c r="AE72" s="60">
        <f t="shared" si="12"/>
        <v>2.4</v>
      </c>
      <c r="AG72" s="58" t="str">
        <f t="shared" si="13"/>
        <v>Q4 2014</v>
      </c>
      <c r="AH72" s="60">
        <f t="shared" si="14"/>
        <v>-477.5</v>
      </c>
      <c r="AJ72" s="58" t="str">
        <f t="shared" si="15"/>
        <v>Q4 2014</v>
      </c>
      <c r="AK72" s="60">
        <f t="shared" si="16"/>
        <v>-14709</v>
      </c>
    </row>
    <row r="73" spans="1:37" x14ac:dyDescent="0.25">
      <c r="A73" s="57" t="s">
        <v>205</v>
      </c>
      <c r="B73" s="59">
        <v>6.9</v>
      </c>
      <c r="C73" s="57">
        <v>51.79</v>
      </c>
      <c r="D73" s="59">
        <v>0.9</v>
      </c>
      <c r="E73" s="57">
        <v>5.08</v>
      </c>
      <c r="F73" s="57">
        <v>2.29</v>
      </c>
      <c r="G73" s="57">
        <v>0.78</v>
      </c>
      <c r="H73" s="59">
        <v>0.5</v>
      </c>
      <c r="I73" s="57">
        <v>-6815.4</v>
      </c>
      <c r="J73" s="57">
        <v>-16654</v>
      </c>
      <c r="L73" s="58" t="str">
        <f t="shared" si="2"/>
        <v>Q1 2015</v>
      </c>
      <c r="M73" s="60">
        <f t="shared" si="2"/>
        <v>6.8</v>
      </c>
      <c r="O73" s="60" t="str">
        <f t="shared" si="3"/>
        <v>Q1 2015</v>
      </c>
      <c r="P73" s="60">
        <f t="shared" si="4"/>
        <v>51.55</v>
      </c>
      <c r="R73" s="60" t="str">
        <f t="shared" si="17"/>
        <v>Q1 2015</v>
      </c>
      <c r="S73" s="60">
        <f t="shared" si="18"/>
        <v>0.9</v>
      </c>
      <c r="U73" s="60" t="str">
        <f t="shared" si="5"/>
        <v>Q1 2015</v>
      </c>
      <c r="V73" s="60">
        <f t="shared" si="6"/>
        <v>4.9400000000000004</v>
      </c>
      <c r="X73" s="60" t="str">
        <f t="shared" si="7"/>
        <v>Q1 2015</v>
      </c>
      <c r="Y73" s="60">
        <f t="shared" si="8"/>
        <v>1.79</v>
      </c>
      <c r="AA73" s="58" t="str">
        <f t="shared" si="9"/>
        <v>Q1 2015</v>
      </c>
      <c r="AB73" s="60">
        <f t="shared" si="10"/>
        <v>0.63500000000000001</v>
      </c>
      <c r="AD73" s="58" t="str">
        <f t="shared" si="11"/>
        <v>Q1 2015</v>
      </c>
      <c r="AE73" s="60">
        <f t="shared" si="12"/>
        <v>2.2000000000000002</v>
      </c>
      <c r="AG73" s="58" t="str">
        <f t="shared" si="13"/>
        <v>Q1 2015</v>
      </c>
      <c r="AH73" s="60">
        <f t="shared" si="14"/>
        <v>-4832.8999999999996</v>
      </c>
      <c r="AJ73" s="58" t="str">
        <f t="shared" si="15"/>
        <v>Q1 2015</v>
      </c>
      <c r="AK73" s="60">
        <f t="shared" si="16"/>
        <v>-19319</v>
      </c>
    </row>
    <row r="74" spans="1:37" x14ac:dyDescent="0.25">
      <c r="A74" s="57" t="s">
        <v>206</v>
      </c>
      <c r="B74" s="59">
        <v>7</v>
      </c>
      <c r="C74" s="57">
        <v>50.83</v>
      </c>
      <c r="D74" s="59">
        <v>1.19</v>
      </c>
      <c r="E74" s="57">
        <v>5.99</v>
      </c>
      <c r="F74" s="57">
        <v>2.09</v>
      </c>
      <c r="G74" s="57">
        <v>0.35499999999999998</v>
      </c>
      <c r="H74" s="59">
        <v>-0.1</v>
      </c>
      <c r="I74" s="57">
        <v>-7657.7</v>
      </c>
      <c r="J74" s="57">
        <v>-15683</v>
      </c>
      <c r="L74" s="58" t="str">
        <f t="shared" si="2"/>
        <v>Q2 2015</v>
      </c>
      <c r="M74" s="60">
        <f t="shared" si="2"/>
        <v>6.9</v>
      </c>
      <c r="O74" s="60" t="str">
        <f t="shared" si="3"/>
        <v>Q2 2015</v>
      </c>
      <c r="P74" s="60">
        <f t="shared" si="4"/>
        <v>51.79</v>
      </c>
      <c r="R74" s="60" t="str">
        <f t="shared" si="17"/>
        <v>Q2 2015</v>
      </c>
      <c r="S74" s="60">
        <f t="shared" si="18"/>
        <v>1.19</v>
      </c>
      <c r="U74" s="60" t="str">
        <f t="shared" si="5"/>
        <v>Q2 2015</v>
      </c>
      <c r="V74" s="60">
        <f t="shared" si="6"/>
        <v>5.08</v>
      </c>
      <c r="X74" s="60" t="str">
        <f t="shared" si="7"/>
        <v>Q2 2015</v>
      </c>
      <c r="Y74" s="60">
        <f t="shared" si="8"/>
        <v>2.29</v>
      </c>
      <c r="AA74" s="58" t="str">
        <f t="shared" si="9"/>
        <v>Q2 2015</v>
      </c>
      <c r="AB74" s="60">
        <f t="shared" si="10"/>
        <v>0.78</v>
      </c>
      <c r="AD74" s="58" t="str">
        <f t="shared" si="11"/>
        <v>Q2 2015</v>
      </c>
      <c r="AE74" s="60">
        <f t="shared" si="12"/>
        <v>0.5</v>
      </c>
      <c r="AG74" s="58" t="str">
        <f t="shared" si="13"/>
        <v>Q2 2015</v>
      </c>
      <c r="AH74" s="60">
        <f t="shared" si="14"/>
        <v>-6815.4</v>
      </c>
      <c r="AJ74" s="58" t="str">
        <f t="shared" si="15"/>
        <v>Q2 2015</v>
      </c>
      <c r="AK74" s="60">
        <f t="shared" si="16"/>
        <v>-16654</v>
      </c>
    </row>
    <row r="75" spans="1:37" x14ac:dyDescent="0.25">
      <c r="A75" s="57" t="s">
        <v>207</v>
      </c>
      <c r="B75" s="59">
        <v>7.1</v>
      </c>
      <c r="C75" s="57">
        <v>51.84</v>
      </c>
      <c r="D75" s="59">
        <v>1.33</v>
      </c>
      <c r="E75" s="57">
        <v>5.97</v>
      </c>
      <c r="F75" s="57">
        <v>2.04</v>
      </c>
      <c r="G75" s="57">
        <v>0.315</v>
      </c>
      <c r="H75" s="59">
        <v>0</v>
      </c>
      <c r="I75" s="57">
        <v>-4445.3999999999996</v>
      </c>
      <c r="J75" s="57">
        <v>-17913</v>
      </c>
      <c r="L75" s="58" t="str">
        <f t="shared" si="2"/>
        <v>Q3 2015</v>
      </c>
      <c r="M75" s="60">
        <f t="shared" si="2"/>
        <v>7</v>
      </c>
      <c r="O75" s="60" t="str">
        <f t="shared" si="3"/>
        <v>Q3 2015</v>
      </c>
      <c r="P75" s="60">
        <f t="shared" si="4"/>
        <v>50.83</v>
      </c>
      <c r="R75" s="60" t="str">
        <f t="shared" si="17"/>
        <v>Q3 2015</v>
      </c>
      <c r="S75" s="60">
        <f t="shared" si="18"/>
        <v>1.33</v>
      </c>
      <c r="U75" s="60" t="str">
        <f t="shared" si="5"/>
        <v>Q3 2015</v>
      </c>
      <c r="V75" s="60">
        <f t="shared" si="6"/>
        <v>5.99</v>
      </c>
      <c r="X75" s="60" t="str">
        <f t="shared" si="7"/>
        <v>Q3 2015</v>
      </c>
      <c r="Y75" s="60">
        <f t="shared" si="8"/>
        <v>2.09</v>
      </c>
      <c r="AA75" s="58" t="str">
        <f t="shared" si="9"/>
        <v>Q3 2015</v>
      </c>
      <c r="AB75" s="60">
        <f t="shared" si="10"/>
        <v>0.35499999999999998</v>
      </c>
      <c r="AD75" s="58" t="str">
        <f t="shared" si="11"/>
        <v>Q3 2015</v>
      </c>
      <c r="AE75" s="60">
        <f t="shared" si="12"/>
        <v>-0.1</v>
      </c>
      <c r="AG75" s="58" t="str">
        <f t="shared" si="13"/>
        <v>Q3 2015</v>
      </c>
      <c r="AH75" s="60">
        <f t="shared" si="14"/>
        <v>-7657.7</v>
      </c>
      <c r="AJ75" s="58" t="str">
        <f t="shared" si="15"/>
        <v>Q3 2015</v>
      </c>
      <c r="AK75" s="60">
        <f t="shared" si="16"/>
        <v>-15683</v>
      </c>
    </row>
    <row r="76" spans="1:37" x14ac:dyDescent="0.25">
      <c r="A76" s="57" t="s">
        <v>208</v>
      </c>
      <c r="B76" s="59">
        <v>7.3</v>
      </c>
      <c r="C76" s="57">
        <v>48.13</v>
      </c>
      <c r="D76" s="59">
        <v>1.54</v>
      </c>
      <c r="E76" s="57">
        <v>6.71</v>
      </c>
      <c r="F76" s="57">
        <v>1.86</v>
      </c>
      <c r="G76" s="57">
        <v>0.47</v>
      </c>
      <c r="H76" s="59">
        <v>0.5</v>
      </c>
      <c r="I76" s="57">
        <v>-5049.1000000000004</v>
      </c>
      <c r="J76" s="57">
        <v>-18642</v>
      </c>
      <c r="L76" s="58" t="str">
        <f t="shared" si="2"/>
        <v>Q4 2015</v>
      </c>
      <c r="M76" s="60">
        <f t="shared" si="2"/>
        <v>7.1</v>
      </c>
      <c r="O76" s="60" t="str">
        <f t="shared" si="3"/>
        <v>Q4 2015</v>
      </c>
      <c r="P76" s="60">
        <f t="shared" si="4"/>
        <v>51.84</v>
      </c>
      <c r="R76" s="60" t="str">
        <f t="shared" si="17"/>
        <v>Q4 2015</v>
      </c>
      <c r="S76" s="60">
        <f t="shared" si="18"/>
        <v>1.54</v>
      </c>
      <c r="U76" s="60" t="str">
        <f t="shared" si="5"/>
        <v>Q4 2015</v>
      </c>
      <c r="V76" s="60">
        <f t="shared" si="6"/>
        <v>5.97</v>
      </c>
      <c r="X76" s="60" t="str">
        <f t="shared" si="7"/>
        <v>Q4 2015</v>
      </c>
      <c r="Y76" s="60">
        <f t="shared" si="8"/>
        <v>2.04</v>
      </c>
      <c r="AA76" s="58" t="str">
        <f t="shared" si="9"/>
        <v>Q4 2015</v>
      </c>
      <c r="AB76" s="60">
        <f t="shared" si="10"/>
        <v>0.315</v>
      </c>
      <c r="AD76" s="58" t="str">
        <f t="shared" si="11"/>
        <v>Q4 2015</v>
      </c>
      <c r="AE76" s="60">
        <f t="shared" si="12"/>
        <v>0</v>
      </c>
      <c r="AG76" s="58" t="str">
        <f t="shared" si="13"/>
        <v>Q4 2015</v>
      </c>
      <c r="AH76" s="60">
        <f t="shared" si="14"/>
        <v>-4445.3999999999996</v>
      </c>
      <c r="AJ76" s="58" t="str">
        <f t="shared" si="15"/>
        <v>Q4 2015</v>
      </c>
      <c r="AK76" s="60">
        <f t="shared" si="16"/>
        <v>-17913</v>
      </c>
    </row>
    <row r="77" spans="1:37" x14ac:dyDescent="0.25">
      <c r="A77" s="57" t="s">
        <v>209</v>
      </c>
      <c r="B77" s="59">
        <v>7.1</v>
      </c>
      <c r="C77" s="57">
        <v>52.96</v>
      </c>
      <c r="D77" s="59">
        <v>1.55</v>
      </c>
      <c r="E77" s="57">
        <v>7.55</v>
      </c>
      <c r="F77" s="57">
        <v>1.67</v>
      </c>
      <c r="G77" s="57">
        <v>0.48499999999999999</v>
      </c>
      <c r="H77" s="59">
        <v>-1.2</v>
      </c>
      <c r="I77" s="57">
        <v>-12403.1</v>
      </c>
      <c r="J77" s="57">
        <v>-17807</v>
      </c>
      <c r="L77" s="58" t="str">
        <f t="shared" si="2"/>
        <v>Q1 2016</v>
      </c>
      <c r="M77" s="60">
        <f t="shared" si="2"/>
        <v>7.3</v>
      </c>
      <c r="O77" s="60" t="str">
        <f t="shared" si="3"/>
        <v>Q1 2016</v>
      </c>
      <c r="P77" s="60">
        <f t="shared" si="4"/>
        <v>48.13</v>
      </c>
      <c r="R77" s="60" t="str">
        <f t="shared" si="17"/>
        <v>Q1 2016</v>
      </c>
      <c r="S77" s="60">
        <f t="shared" si="18"/>
        <v>1.55</v>
      </c>
      <c r="U77" s="60" t="str">
        <f t="shared" si="5"/>
        <v>Q1 2016</v>
      </c>
      <c r="V77" s="60">
        <f t="shared" si="6"/>
        <v>6.71</v>
      </c>
      <c r="X77" s="60" t="str">
        <f t="shared" si="7"/>
        <v>Q1 2016</v>
      </c>
      <c r="Y77" s="60">
        <f t="shared" si="8"/>
        <v>1.86</v>
      </c>
      <c r="AA77" s="58" t="str">
        <f t="shared" si="9"/>
        <v>Q1 2016</v>
      </c>
      <c r="AB77" s="60">
        <f t="shared" si="10"/>
        <v>0.47</v>
      </c>
      <c r="AD77" s="58" t="str">
        <f t="shared" si="11"/>
        <v>Q1 2016</v>
      </c>
      <c r="AE77" s="60">
        <f t="shared" si="12"/>
        <v>0.5</v>
      </c>
      <c r="AG77" s="58" t="str">
        <f t="shared" si="13"/>
        <v>Q1 2016</v>
      </c>
      <c r="AH77" s="60">
        <f t="shared" si="14"/>
        <v>-5049.1000000000004</v>
      </c>
      <c r="AJ77" s="58" t="str">
        <f t="shared" si="15"/>
        <v>Q1 2016</v>
      </c>
      <c r="AK77" s="60">
        <f t="shared" si="16"/>
        <v>-18642</v>
      </c>
    </row>
    <row r="78" spans="1:37" x14ac:dyDescent="0.25">
      <c r="A78" s="57" t="s">
        <v>210</v>
      </c>
      <c r="B78" s="59">
        <v>6.9</v>
      </c>
      <c r="C78" s="57">
        <v>52.95</v>
      </c>
      <c r="D78" s="59">
        <v>1.23</v>
      </c>
      <c r="E78" s="57">
        <v>7.56</v>
      </c>
      <c r="F78" s="57">
        <v>1.52</v>
      </c>
      <c r="G78" s="57">
        <v>0.23499999999999999</v>
      </c>
      <c r="H78" s="59">
        <v>1.9</v>
      </c>
      <c r="I78" s="57">
        <v>-10720.8</v>
      </c>
      <c r="J78" s="57">
        <v>-16411</v>
      </c>
      <c r="L78" s="58" t="str">
        <f t="shared" si="2"/>
        <v>Q2 2016</v>
      </c>
      <c r="M78" s="60">
        <f t="shared" si="2"/>
        <v>7.1</v>
      </c>
      <c r="O78" s="60" t="str">
        <f t="shared" si="3"/>
        <v>Q2 2016</v>
      </c>
      <c r="P78" s="60">
        <f t="shared" si="4"/>
        <v>52.96</v>
      </c>
      <c r="R78" s="60" t="str">
        <f t="shared" si="17"/>
        <v>Q2 2016</v>
      </c>
      <c r="S78" s="60">
        <f t="shared" si="18"/>
        <v>1.23</v>
      </c>
      <c r="U78" s="60" t="str">
        <f t="shared" si="5"/>
        <v>Q2 2016</v>
      </c>
      <c r="V78" s="60">
        <f t="shared" si="6"/>
        <v>7.55</v>
      </c>
      <c r="X78" s="60" t="str">
        <f t="shared" si="7"/>
        <v>Q2 2016</v>
      </c>
      <c r="Y78" s="60">
        <f t="shared" si="8"/>
        <v>1.67</v>
      </c>
      <c r="AA78" s="58" t="str">
        <f t="shared" si="9"/>
        <v>Q2 2016</v>
      </c>
      <c r="AB78" s="60">
        <f t="shared" si="10"/>
        <v>0.48499999999999999</v>
      </c>
      <c r="AD78" s="58" t="str">
        <f t="shared" si="11"/>
        <v>Q2 2016</v>
      </c>
      <c r="AE78" s="60">
        <f t="shared" si="12"/>
        <v>-1.2</v>
      </c>
      <c r="AG78" s="58" t="str">
        <f t="shared" si="13"/>
        <v>Q2 2016</v>
      </c>
      <c r="AH78" s="60">
        <f t="shared" si="14"/>
        <v>-12403.1</v>
      </c>
      <c r="AJ78" s="58" t="str">
        <f t="shared" si="15"/>
        <v>Q2 2016</v>
      </c>
      <c r="AK78" s="60">
        <f t="shared" si="16"/>
        <v>-17807</v>
      </c>
    </row>
    <row r="79" spans="1:37" x14ac:dyDescent="0.25">
      <c r="A79" s="57" t="s">
        <v>211</v>
      </c>
      <c r="B79" s="59">
        <v>6.9</v>
      </c>
      <c r="C79" s="57">
        <v>51.62</v>
      </c>
      <c r="D79" s="59">
        <v>1.39</v>
      </c>
      <c r="E79" s="57">
        <v>8.34</v>
      </c>
      <c r="F79" s="57">
        <v>2.2400000000000002</v>
      </c>
      <c r="G79" s="57">
        <v>0.16500000000000001</v>
      </c>
      <c r="H79" s="59">
        <v>1.9</v>
      </c>
      <c r="I79" s="57">
        <v>3124.8</v>
      </c>
      <c r="J79" s="57">
        <v>-9693</v>
      </c>
      <c r="L79" s="58" t="str">
        <f t="shared" si="2"/>
        <v>Q3 2016</v>
      </c>
      <c r="M79" s="60">
        <f t="shared" si="2"/>
        <v>6.9</v>
      </c>
      <c r="O79" s="60" t="str">
        <f t="shared" si="3"/>
        <v>Q3 2016</v>
      </c>
      <c r="P79" s="60">
        <f t="shared" si="4"/>
        <v>52.95</v>
      </c>
      <c r="R79" s="60" t="str">
        <f t="shared" si="17"/>
        <v>Q3 2016</v>
      </c>
      <c r="S79" s="60">
        <f t="shared" si="18"/>
        <v>1.39</v>
      </c>
      <c r="U79" s="60" t="str">
        <f t="shared" si="5"/>
        <v>Q3 2016</v>
      </c>
      <c r="V79" s="60">
        <f t="shared" si="6"/>
        <v>7.56</v>
      </c>
      <c r="X79" s="60" t="str">
        <f t="shared" si="7"/>
        <v>Q3 2016</v>
      </c>
      <c r="Y79" s="60">
        <f t="shared" si="8"/>
        <v>1.52</v>
      </c>
      <c r="AA79" s="58" t="str">
        <f t="shared" si="9"/>
        <v>Q3 2016</v>
      </c>
      <c r="AB79" s="60">
        <f t="shared" si="10"/>
        <v>0.23499999999999999</v>
      </c>
      <c r="AD79" s="58" t="str">
        <f t="shared" si="11"/>
        <v>Q3 2016</v>
      </c>
      <c r="AE79" s="60">
        <f t="shared" si="12"/>
        <v>1.9</v>
      </c>
      <c r="AG79" s="58" t="str">
        <f t="shared" si="13"/>
        <v>Q3 2016</v>
      </c>
      <c r="AH79" s="60">
        <f t="shared" si="14"/>
        <v>-10720.8</v>
      </c>
      <c r="AJ79" s="58" t="str">
        <f t="shared" si="15"/>
        <v>Q3 2016</v>
      </c>
      <c r="AK79" s="60">
        <f t="shared" si="16"/>
        <v>-16411</v>
      </c>
    </row>
    <row r="80" spans="1:37" x14ac:dyDescent="0.25">
      <c r="A80" s="57" t="s">
        <v>212</v>
      </c>
      <c r="B80" s="59">
        <v>6.7</v>
      </c>
      <c r="C80" s="57">
        <v>50.81</v>
      </c>
      <c r="D80" s="59">
        <v>1.91</v>
      </c>
      <c r="E80" s="57">
        <v>8.25</v>
      </c>
      <c r="F80" s="57">
        <v>2.14</v>
      </c>
      <c r="G80" s="57">
        <v>0.5</v>
      </c>
      <c r="H80" s="59">
        <v>2.1</v>
      </c>
      <c r="I80" s="57">
        <v>-374.8</v>
      </c>
      <c r="J80" s="57">
        <v>-12576</v>
      </c>
      <c r="L80" s="58" t="str">
        <f t="shared" si="2"/>
        <v>Q4 2016</v>
      </c>
      <c r="M80" s="60">
        <f t="shared" si="2"/>
        <v>6.9</v>
      </c>
      <c r="O80" s="60" t="str">
        <f t="shared" si="3"/>
        <v>Q4 2016</v>
      </c>
      <c r="P80" s="60">
        <f t="shared" si="4"/>
        <v>51.62</v>
      </c>
      <c r="R80" s="60" t="str">
        <f t="shared" si="17"/>
        <v>Q4 2016</v>
      </c>
      <c r="S80" s="60">
        <f t="shared" si="18"/>
        <v>1.91</v>
      </c>
      <c r="U80" s="60" t="str">
        <f t="shared" si="5"/>
        <v>Q4 2016</v>
      </c>
      <c r="V80" s="60">
        <f t="shared" si="6"/>
        <v>8.34</v>
      </c>
      <c r="X80" s="60" t="str">
        <f t="shared" si="7"/>
        <v>Q4 2016</v>
      </c>
      <c r="Y80" s="60">
        <f t="shared" si="8"/>
        <v>2.2400000000000002</v>
      </c>
      <c r="AA80" s="58" t="str">
        <f t="shared" si="9"/>
        <v>Q4 2016</v>
      </c>
      <c r="AB80" s="60">
        <f t="shared" si="10"/>
        <v>0.16500000000000001</v>
      </c>
      <c r="AD80" s="58" t="str">
        <f t="shared" si="11"/>
        <v>Q4 2016</v>
      </c>
      <c r="AE80" s="60">
        <f t="shared" si="12"/>
        <v>1.9</v>
      </c>
      <c r="AG80" s="58" t="str">
        <f t="shared" si="13"/>
        <v>Q4 2016</v>
      </c>
      <c r="AH80" s="60">
        <f t="shared" si="14"/>
        <v>3124.8</v>
      </c>
      <c r="AJ80" s="58" t="str">
        <f t="shared" si="15"/>
        <v>Q4 2016</v>
      </c>
      <c r="AK80" s="60">
        <f t="shared" si="16"/>
        <v>-9693</v>
      </c>
    </row>
    <row r="81" spans="1:37" x14ac:dyDescent="0.25">
      <c r="A81" s="57" t="s">
        <v>213</v>
      </c>
      <c r="B81" s="59">
        <v>6.5</v>
      </c>
      <c r="C81" s="57">
        <v>52.99</v>
      </c>
      <c r="D81" s="59">
        <v>1.32</v>
      </c>
      <c r="E81" s="57">
        <v>8.27</v>
      </c>
      <c r="F81" s="57">
        <v>1.99</v>
      </c>
      <c r="G81" s="57">
        <v>0.6</v>
      </c>
      <c r="H81" s="59">
        <v>5.7</v>
      </c>
      <c r="I81" s="57">
        <v>-7455.1</v>
      </c>
      <c r="J81" s="57">
        <v>-14958</v>
      </c>
      <c r="L81" s="58" t="str">
        <f t="shared" si="2"/>
        <v>Q1 2017</v>
      </c>
      <c r="M81" s="60">
        <f t="shared" si="2"/>
        <v>6.7</v>
      </c>
      <c r="O81" s="60" t="str">
        <f t="shared" si="3"/>
        <v>Q1 2017</v>
      </c>
      <c r="P81" s="60">
        <f t="shared" si="4"/>
        <v>50.81</v>
      </c>
      <c r="R81" s="60" t="str">
        <f t="shared" si="17"/>
        <v>Q1 2017</v>
      </c>
      <c r="S81" s="60">
        <f t="shared" si="18"/>
        <v>1.32</v>
      </c>
      <c r="U81" s="60" t="str">
        <f t="shared" si="5"/>
        <v>Q1 2017</v>
      </c>
      <c r="V81" s="60">
        <f t="shared" si="6"/>
        <v>8.25</v>
      </c>
      <c r="X81" s="60" t="str">
        <f t="shared" si="7"/>
        <v>Q1 2017</v>
      </c>
      <c r="Y81" s="60">
        <f t="shared" si="8"/>
        <v>2.14</v>
      </c>
      <c r="AA81" s="58" t="str">
        <f t="shared" si="9"/>
        <v>Q1 2017</v>
      </c>
      <c r="AB81" s="60">
        <f t="shared" si="10"/>
        <v>0.5</v>
      </c>
      <c r="AD81" s="58" t="str">
        <f t="shared" si="11"/>
        <v>Q1 2017</v>
      </c>
      <c r="AE81" s="60">
        <f t="shared" si="12"/>
        <v>2.1</v>
      </c>
      <c r="AG81" s="58" t="str">
        <f t="shared" si="13"/>
        <v>Q1 2017</v>
      </c>
      <c r="AH81" s="60">
        <f t="shared" si="14"/>
        <v>-374.8</v>
      </c>
      <c r="AJ81" s="58" t="str">
        <f t="shared" si="15"/>
        <v>Q1 2017</v>
      </c>
      <c r="AK81" s="60">
        <f t="shared" si="16"/>
        <v>-12576</v>
      </c>
    </row>
    <row r="82" spans="1:37" x14ac:dyDescent="0.25">
      <c r="A82" s="57" t="s">
        <v>214</v>
      </c>
      <c r="B82" s="59">
        <v>6.2</v>
      </c>
      <c r="C82" s="57">
        <v>54.81</v>
      </c>
      <c r="D82" s="59">
        <v>1.37</v>
      </c>
      <c r="E82" s="57">
        <v>5.84</v>
      </c>
      <c r="F82" s="57">
        <v>2.42</v>
      </c>
      <c r="G82" s="57">
        <v>1.1499999999999999</v>
      </c>
      <c r="H82" s="59">
        <v>3.8</v>
      </c>
      <c r="I82" s="57">
        <v>-12203.1</v>
      </c>
      <c r="J82" s="57">
        <v>-16828</v>
      </c>
      <c r="L82" s="58" t="str">
        <f t="shared" si="2"/>
        <v>Q2 2017</v>
      </c>
      <c r="M82" s="60">
        <f t="shared" si="2"/>
        <v>6.5</v>
      </c>
      <c r="O82" s="60" t="str">
        <f t="shared" si="3"/>
        <v>Q2 2017</v>
      </c>
      <c r="P82" s="60">
        <f t="shared" si="4"/>
        <v>52.99</v>
      </c>
      <c r="R82" s="60" t="str">
        <f t="shared" si="17"/>
        <v>Q2 2017</v>
      </c>
      <c r="S82" s="60">
        <f t="shared" si="18"/>
        <v>1.37</v>
      </c>
      <c r="U82" s="60" t="str">
        <f t="shared" si="5"/>
        <v>Q2 2017</v>
      </c>
      <c r="V82" s="60">
        <f t="shared" si="6"/>
        <v>8.27</v>
      </c>
      <c r="X82" s="60" t="str">
        <f t="shared" si="7"/>
        <v>Q2 2017</v>
      </c>
      <c r="Y82" s="60">
        <f t="shared" si="8"/>
        <v>1.99</v>
      </c>
      <c r="AA82" s="58" t="str">
        <f t="shared" si="9"/>
        <v>Q2 2017</v>
      </c>
      <c r="AB82" s="60">
        <f t="shared" si="10"/>
        <v>0.6</v>
      </c>
      <c r="AD82" s="58" t="str">
        <f t="shared" si="11"/>
        <v>Q2 2017</v>
      </c>
      <c r="AE82" s="60">
        <f t="shared" si="12"/>
        <v>5.7</v>
      </c>
      <c r="AG82" s="58" t="str">
        <f t="shared" si="13"/>
        <v>Q2 2017</v>
      </c>
      <c r="AH82" s="60">
        <f t="shared" si="14"/>
        <v>-7455.1</v>
      </c>
      <c r="AJ82" s="58" t="str">
        <f t="shared" si="15"/>
        <v>Q2 2017</v>
      </c>
      <c r="AK82" s="60">
        <f t="shared" si="16"/>
        <v>-14958</v>
      </c>
    </row>
    <row r="83" spans="1:37" x14ac:dyDescent="0.25">
      <c r="A83" s="57" t="s">
        <v>215</v>
      </c>
      <c r="B83" s="59">
        <v>6.2</v>
      </c>
      <c r="C83" s="57">
        <v>54.88</v>
      </c>
      <c r="D83" s="59">
        <v>1.79</v>
      </c>
      <c r="E83" s="57">
        <v>5.96</v>
      </c>
      <c r="F83" s="57">
        <v>2.15</v>
      </c>
      <c r="G83" s="57">
        <v>0.95</v>
      </c>
      <c r="H83" s="59">
        <v>2.4</v>
      </c>
      <c r="I83" s="57">
        <v>-4466.5</v>
      </c>
      <c r="J83" s="57">
        <v>-15637</v>
      </c>
      <c r="L83" s="58" t="str">
        <f t="shared" si="2"/>
        <v>Q3 2017</v>
      </c>
      <c r="M83" s="60">
        <f t="shared" si="2"/>
        <v>6.2</v>
      </c>
      <c r="O83" s="60" t="str">
        <f t="shared" si="3"/>
        <v>Q3 2017</v>
      </c>
      <c r="P83" s="60">
        <f t="shared" si="4"/>
        <v>54.81</v>
      </c>
      <c r="R83" s="60" t="str">
        <f t="shared" si="17"/>
        <v>Q3 2017</v>
      </c>
      <c r="S83" s="60">
        <f t="shared" si="18"/>
        <v>1.79</v>
      </c>
      <c r="U83" s="60" t="str">
        <f t="shared" si="5"/>
        <v>Q3 2017</v>
      </c>
      <c r="V83" s="60">
        <f t="shared" si="6"/>
        <v>5.84</v>
      </c>
      <c r="X83" s="60" t="str">
        <f t="shared" si="7"/>
        <v>Q3 2017</v>
      </c>
      <c r="Y83" s="60">
        <f t="shared" si="8"/>
        <v>2.42</v>
      </c>
      <c r="AA83" s="58" t="str">
        <f t="shared" si="9"/>
        <v>Q3 2017</v>
      </c>
      <c r="AB83" s="60">
        <f t="shared" si="10"/>
        <v>1.1499999999999999</v>
      </c>
      <c r="AD83" s="58" t="str">
        <f t="shared" si="11"/>
        <v>Q3 2017</v>
      </c>
      <c r="AE83" s="60">
        <f t="shared" si="12"/>
        <v>3.8</v>
      </c>
      <c r="AG83" s="58" t="str">
        <f t="shared" si="13"/>
        <v>Q3 2017</v>
      </c>
      <c r="AH83" s="60">
        <f t="shared" si="14"/>
        <v>-12203.1</v>
      </c>
      <c r="AJ83" s="58" t="str">
        <f t="shared" si="15"/>
        <v>Q3 2017</v>
      </c>
      <c r="AK83" s="60">
        <f t="shared" si="16"/>
        <v>-16828</v>
      </c>
    </row>
    <row r="84" spans="1:37" x14ac:dyDescent="0.25">
      <c r="A84" s="57" t="s">
        <v>216</v>
      </c>
      <c r="B84" s="59">
        <v>5.9</v>
      </c>
      <c r="C84" s="57">
        <v>54.82</v>
      </c>
      <c r="D84" s="59">
        <v>2.06</v>
      </c>
      <c r="E84" s="57">
        <v>5.3</v>
      </c>
      <c r="F84" s="57">
        <v>2.2200000000000002</v>
      </c>
      <c r="G84" s="57">
        <v>1.3</v>
      </c>
      <c r="H84" s="59">
        <v>2.6</v>
      </c>
      <c r="I84" s="57">
        <v>-5607.5</v>
      </c>
      <c r="J84" s="57">
        <v>-15056</v>
      </c>
      <c r="L84" s="58" t="str">
        <f t="shared" si="2"/>
        <v>Q4 2017</v>
      </c>
      <c r="M84" s="60">
        <f t="shared" si="2"/>
        <v>6.2</v>
      </c>
      <c r="O84" s="60" t="str">
        <f t="shared" si="3"/>
        <v>Q4 2017</v>
      </c>
      <c r="P84" s="60">
        <f t="shared" si="4"/>
        <v>54.88</v>
      </c>
      <c r="R84" s="60" t="str">
        <f t="shared" si="17"/>
        <v>Q4 2017</v>
      </c>
      <c r="S84" s="60">
        <f t="shared" si="18"/>
        <v>2.06</v>
      </c>
      <c r="U84" s="60" t="str">
        <f t="shared" si="5"/>
        <v>Q4 2017</v>
      </c>
      <c r="V84" s="60">
        <f t="shared" si="6"/>
        <v>5.96</v>
      </c>
      <c r="X84" s="60" t="str">
        <f t="shared" si="7"/>
        <v>Q4 2017</v>
      </c>
      <c r="Y84" s="60">
        <f t="shared" si="8"/>
        <v>2.15</v>
      </c>
      <c r="AA84" s="58" t="str">
        <f t="shared" si="9"/>
        <v>Q4 2017</v>
      </c>
      <c r="AB84" s="60">
        <f t="shared" si="10"/>
        <v>0.95</v>
      </c>
      <c r="AD84" s="58" t="str">
        <f t="shared" si="11"/>
        <v>Q4 2017</v>
      </c>
      <c r="AE84" s="60">
        <f t="shared" si="12"/>
        <v>2.4</v>
      </c>
      <c r="AG84" s="58" t="str">
        <f t="shared" si="13"/>
        <v>Q4 2017</v>
      </c>
      <c r="AH84" s="60">
        <f t="shared" si="14"/>
        <v>-4466.5</v>
      </c>
      <c r="AJ84" s="58" t="str">
        <f t="shared" si="15"/>
        <v>Q4 2017</v>
      </c>
      <c r="AK84" s="60">
        <f t="shared" si="16"/>
        <v>-15637</v>
      </c>
    </row>
    <row r="85" spans="1:37" x14ac:dyDescent="0.25">
      <c r="A85" s="57" t="s">
        <v>217</v>
      </c>
      <c r="B85" s="59">
        <v>5.9</v>
      </c>
      <c r="C85" s="57">
        <v>55.4</v>
      </c>
      <c r="D85" s="59">
        <v>2.2999999999999998</v>
      </c>
      <c r="E85" s="57">
        <v>3.65</v>
      </c>
      <c r="F85" s="57">
        <v>2.15</v>
      </c>
      <c r="G85" s="57">
        <v>1.35</v>
      </c>
      <c r="H85" s="59">
        <v>2.2999999999999998</v>
      </c>
      <c r="I85" s="57">
        <v>-5915.4</v>
      </c>
      <c r="J85" s="57">
        <v>-12566</v>
      </c>
      <c r="L85" s="58" t="str">
        <f t="shared" si="2"/>
        <v>Q1 2018</v>
      </c>
      <c r="M85" s="60">
        <f t="shared" si="2"/>
        <v>5.9</v>
      </c>
      <c r="O85" s="60" t="str">
        <f t="shared" si="3"/>
        <v>Q1 2018</v>
      </c>
      <c r="P85" s="60">
        <f t="shared" si="4"/>
        <v>54.82</v>
      </c>
      <c r="R85" s="60" t="str">
        <f t="shared" si="17"/>
        <v>Q1 2018</v>
      </c>
      <c r="S85" s="60">
        <f t="shared" si="18"/>
        <v>2.2999999999999998</v>
      </c>
      <c r="U85" s="60" t="str">
        <f t="shared" si="5"/>
        <v>Q1 2018</v>
      </c>
      <c r="V85" s="60">
        <f t="shared" si="6"/>
        <v>5.3</v>
      </c>
      <c r="X85" s="60" t="str">
        <f t="shared" si="7"/>
        <v>Q1 2018</v>
      </c>
      <c r="Y85" s="60">
        <f t="shared" si="8"/>
        <v>2.2200000000000002</v>
      </c>
      <c r="AA85" s="58" t="str">
        <f t="shared" si="9"/>
        <v>Q1 2018</v>
      </c>
      <c r="AB85" s="60">
        <f t="shared" si="10"/>
        <v>1.3</v>
      </c>
      <c r="AD85" s="58" t="str">
        <f t="shared" si="11"/>
        <v>Q1 2018</v>
      </c>
      <c r="AE85" s="60">
        <f t="shared" si="12"/>
        <v>2.6</v>
      </c>
      <c r="AG85" s="58" t="str">
        <f t="shared" si="13"/>
        <v>Q1 2018</v>
      </c>
      <c r="AH85" s="60">
        <f t="shared" si="14"/>
        <v>-5607.5</v>
      </c>
      <c r="AJ85" s="58" t="str">
        <f t="shared" si="15"/>
        <v>Q1 2018</v>
      </c>
      <c r="AK85" s="60">
        <f t="shared" si="16"/>
        <v>-15056</v>
      </c>
    </row>
    <row r="86" spans="1:37" x14ac:dyDescent="0.25">
      <c r="A86" s="57" t="s">
        <v>218</v>
      </c>
      <c r="B86" s="59">
        <v>5.9</v>
      </c>
      <c r="C86" s="57">
        <v>55.17</v>
      </c>
      <c r="D86" s="59">
        <v>2.68</v>
      </c>
      <c r="E86" s="57">
        <v>4.6100000000000003</v>
      </c>
      <c r="F86" s="57">
        <v>2.4300000000000002</v>
      </c>
      <c r="G86" s="57">
        <v>1.35</v>
      </c>
      <c r="H86" s="59">
        <v>3</v>
      </c>
      <c r="I86" s="57">
        <v>-4582.6000000000004</v>
      </c>
      <c r="J86" s="57">
        <v>-9192</v>
      </c>
      <c r="L86" s="58" t="str">
        <f t="shared" si="2"/>
        <v>Q2 2018</v>
      </c>
      <c r="M86" s="60">
        <f t="shared" si="2"/>
        <v>5.9</v>
      </c>
      <c r="O86" s="60" t="str">
        <f t="shared" si="3"/>
        <v>Q2 2018</v>
      </c>
      <c r="P86" s="60">
        <f t="shared" si="4"/>
        <v>55.4</v>
      </c>
      <c r="R86" s="60" t="str">
        <f t="shared" si="17"/>
        <v>Q2 2018</v>
      </c>
      <c r="S86" s="60">
        <f t="shared" si="18"/>
        <v>2.68</v>
      </c>
      <c r="U86" s="60" t="str">
        <f t="shared" si="5"/>
        <v>Q2 2018</v>
      </c>
      <c r="V86" s="60">
        <f t="shared" si="6"/>
        <v>3.65</v>
      </c>
      <c r="X86" s="60" t="str">
        <f t="shared" si="7"/>
        <v>Q2 2018</v>
      </c>
      <c r="Y86" s="60">
        <f t="shared" si="8"/>
        <v>2.15</v>
      </c>
      <c r="AA86" s="58" t="str">
        <f t="shared" si="9"/>
        <v>Q2 2018</v>
      </c>
      <c r="AB86" s="60">
        <f t="shared" si="10"/>
        <v>1.35</v>
      </c>
      <c r="AD86" s="58" t="str">
        <f t="shared" si="11"/>
        <v>Q2 2018</v>
      </c>
      <c r="AE86" s="60">
        <f t="shared" si="12"/>
        <v>2.2999999999999998</v>
      </c>
      <c r="AG86" s="58" t="str">
        <f t="shared" si="13"/>
        <v>Q2 2018</v>
      </c>
      <c r="AH86" s="60">
        <f t="shared" si="14"/>
        <v>-5915.4</v>
      </c>
      <c r="AJ86" s="58" t="str">
        <f t="shared" si="15"/>
        <v>Q2 2018</v>
      </c>
      <c r="AK86" s="60">
        <f t="shared" si="16"/>
        <v>-12566</v>
      </c>
    </row>
    <row r="87" spans="1:37" x14ac:dyDescent="0.25">
      <c r="A87" s="57" t="s">
        <v>219</v>
      </c>
      <c r="B87" s="59">
        <v>5.7</v>
      </c>
      <c r="C87" s="57">
        <v>54.91</v>
      </c>
      <c r="D87" s="59">
        <v>2.04</v>
      </c>
      <c r="E87" s="57">
        <v>5.51</v>
      </c>
      <c r="F87" s="57">
        <v>2.12</v>
      </c>
      <c r="G87" s="57">
        <v>1.5</v>
      </c>
      <c r="H87" s="59">
        <v>3.1</v>
      </c>
      <c r="I87" s="57">
        <v>-5699.8</v>
      </c>
      <c r="J87" s="57">
        <v>-16327</v>
      </c>
      <c r="L87" s="58" t="str">
        <f t="shared" si="2"/>
        <v>Q3 2018</v>
      </c>
      <c r="M87" s="60">
        <f t="shared" si="2"/>
        <v>5.9</v>
      </c>
      <c r="O87" s="60" t="str">
        <f t="shared" si="3"/>
        <v>Q3 2018</v>
      </c>
      <c r="P87" s="60">
        <f t="shared" si="4"/>
        <v>55.17</v>
      </c>
      <c r="R87" s="60" t="str">
        <f t="shared" si="17"/>
        <v>Q3 2018</v>
      </c>
      <c r="S87" s="60">
        <f t="shared" si="18"/>
        <v>2.04</v>
      </c>
      <c r="U87" s="60" t="str">
        <f t="shared" si="5"/>
        <v>Q3 2018</v>
      </c>
      <c r="V87" s="60">
        <f t="shared" si="6"/>
        <v>4.6100000000000003</v>
      </c>
      <c r="X87" s="60" t="str">
        <f t="shared" si="7"/>
        <v>Q3 2018</v>
      </c>
      <c r="Y87" s="60">
        <f t="shared" si="8"/>
        <v>2.4300000000000002</v>
      </c>
      <c r="AA87" s="58" t="str">
        <f t="shared" si="9"/>
        <v>Q3 2018</v>
      </c>
      <c r="AB87" s="60">
        <f t="shared" si="10"/>
        <v>1.35</v>
      </c>
      <c r="AD87" s="58" t="str">
        <f t="shared" si="11"/>
        <v>Q3 2018</v>
      </c>
      <c r="AE87" s="60">
        <f t="shared" si="12"/>
        <v>3</v>
      </c>
      <c r="AG87" s="58" t="str">
        <f t="shared" si="13"/>
        <v>Q3 2018</v>
      </c>
      <c r="AH87" s="60">
        <f t="shared" si="14"/>
        <v>-4582.6000000000004</v>
      </c>
      <c r="AJ87" s="58" t="str">
        <f t="shared" si="15"/>
        <v>Q3 2018</v>
      </c>
      <c r="AK87" s="60">
        <f t="shared" si="16"/>
        <v>-9192</v>
      </c>
    </row>
    <row r="88" spans="1:37" x14ac:dyDescent="0.25">
      <c r="A88" s="57" t="s">
        <v>220</v>
      </c>
      <c r="B88" s="59">
        <v>5.8</v>
      </c>
      <c r="C88" s="57">
        <v>54.46</v>
      </c>
      <c r="D88" s="59">
        <v>1.61</v>
      </c>
      <c r="E88" s="57">
        <v>5.58</v>
      </c>
      <c r="F88" s="57">
        <v>1.76</v>
      </c>
      <c r="G88" s="57">
        <v>1.65</v>
      </c>
      <c r="H88" s="59">
        <v>2.2999999999999998</v>
      </c>
      <c r="I88" s="57">
        <v>-7016.6</v>
      </c>
      <c r="J88" s="57">
        <v>-17476</v>
      </c>
      <c r="L88" s="58" t="str">
        <f t="shared" si="2"/>
        <v>Q4 2018</v>
      </c>
      <c r="M88" s="60">
        <f t="shared" si="2"/>
        <v>5.7</v>
      </c>
      <c r="O88" s="60" t="str">
        <f t="shared" si="3"/>
        <v>Q4 2018</v>
      </c>
      <c r="P88" s="60">
        <f t="shared" si="4"/>
        <v>54.91</v>
      </c>
      <c r="R88" s="60" t="str">
        <f t="shared" si="17"/>
        <v>Q4 2018</v>
      </c>
      <c r="S88" s="60">
        <f t="shared" si="18"/>
        <v>1.61</v>
      </c>
      <c r="U88" s="60" t="str">
        <f t="shared" si="5"/>
        <v>Q4 2018</v>
      </c>
      <c r="V88" s="60">
        <f t="shared" si="6"/>
        <v>5.51</v>
      </c>
      <c r="X88" s="60" t="str">
        <f t="shared" si="7"/>
        <v>Q4 2018</v>
      </c>
      <c r="Y88" s="60">
        <f t="shared" si="8"/>
        <v>2.12</v>
      </c>
      <c r="AA88" s="58" t="str">
        <f t="shared" si="9"/>
        <v>Q4 2018</v>
      </c>
      <c r="AB88" s="60">
        <f t="shared" si="10"/>
        <v>1.5</v>
      </c>
      <c r="AD88" s="58" t="str">
        <f t="shared" si="11"/>
        <v>Q4 2018</v>
      </c>
      <c r="AE88" s="60">
        <f t="shared" si="12"/>
        <v>3.1</v>
      </c>
      <c r="AG88" s="58" t="str">
        <f t="shared" si="13"/>
        <v>Q4 2018</v>
      </c>
      <c r="AH88" s="60">
        <f t="shared" si="14"/>
        <v>-5699.8</v>
      </c>
      <c r="AJ88" s="58" t="str">
        <f t="shared" si="15"/>
        <v>Q4 2018</v>
      </c>
      <c r="AK88" s="60">
        <f t="shared" si="16"/>
        <v>-16327</v>
      </c>
    </row>
    <row r="89" spans="1:37" x14ac:dyDescent="0.25">
      <c r="A89" s="57" t="s">
        <v>221</v>
      </c>
      <c r="B89" s="59">
        <v>5.6</v>
      </c>
      <c r="C89" s="57">
        <v>53.74</v>
      </c>
      <c r="D89" s="59">
        <v>2.15</v>
      </c>
      <c r="E89" s="57">
        <v>7.29</v>
      </c>
      <c r="F89" s="57">
        <v>1.7</v>
      </c>
      <c r="G89" s="57">
        <v>1.65</v>
      </c>
      <c r="H89" s="59">
        <v>2.2000000000000002</v>
      </c>
      <c r="I89" s="57">
        <v>-3341.2</v>
      </c>
      <c r="J89" s="57">
        <v>-6523</v>
      </c>
      <c r="L89" s="58" t="str">
        <f t="shared" si="2"/>
        <v>Q1 2019</v>
      </c>
      <c r="M89" s="60">
        <f t="shared" si="2"/>
        <v>5.8</v>
      </c>
      <c r="O89" s="60" t="str">
        <f t="shared" si="3"/>
        <v>Q1 2019</v>
      </c>
      <c r="P89" s="60">
        <f t="shared" si="4"/>
        <v>54.46</v>
      </c>
      <c r="R89" s="60" t="str">
        <f t="shared" si="17"/>
        <v>Q1 2019</v>
      </c>
      <c r="S89" s="60">
        <f t="shared" si="18"/>
        <v>2.15</v>
      </c>
      <c r="U89" s="60" t="str">
        <f t="shared" si="5"/>
        <v>Q1 2019</v>
      </c>
      <c r="V89" s="60">
        <f t="shared" si="6"/>
        <v>5.58</v>
      </c>
      <c r="X89" s="60" t="str">
        <f t="shared" si="7"/>
        <v>Q1 2019</v>
      </c>
      <c r="Y89" s="60">
        <f t="shared" si="8"/>
        <v>1.76</v>
      </c>
      <c r="AA89" s="58" t="str">
        <f t="shared" si="9"/>
        <v>Q1 2019</v>
      </c>
      <c r="AB89" s="60">
        <f t="shared" si="10"/>
        <v>1.65</v>
      </c>
      <c r="AD89" s="58" t="str">
        <f t="shared" si="11"/>
        <v>Q1 2019</v>
      </c>
      <c r="AE89" s="60">
        <f t="shared" si="12"/>
        <v>2.2999999999999998</v>
      </c>
      <c r="AG89" s="58" t="str">
        <f t="shared" si="13"/>
        <v>Q1 2019</v>
      </c>
      <c r="AH89" s="60">
        <f t="shared" si="14"/>
        <v>-7016.6</v>
      </c>
      <c r="AJ89" s="58" t="str">
        <f t="shared" si="15"/>
        <v>Q1 2019</v>
      </c>
      <c r="AK89" s="60">
        <f t="shared" si="16"/>
        <v>-17476</v>
      </c>
    </row>
    <row r="90" spans="1:37" x14ac:dyDescent="0.25">
      <c r="A90" s="57" t="s">
        <v>222</v>
      </c>
      <c r="B90" s="59">
        <v>5.7</v>
      </c>
      <c r="C90" s="57">
        <v>54.37</v>
      </c>
      <c r="D90" s="59">
        <v>1.94</v>
      </c>
      <c r="E90" s="57">
        <v>8.11</v>
      </c>
      <c r="F90" s="57">
        <v>1.54</v>
      </c>
      <c r="G90" s="57">
        <v>1.48</v>
      </c>
      <c r="H90" s="59">
        <v>1</v>
      </c>
      <c r="I90" s="57">
        <v>-7522.3</v>
      </c>
      <c r="J90" s="57">
        <v>-12648</v>
      </c>
      <c r="L90" s="58" t="str">
        <f t="shared" si="2"/>
        <v>Q2 2019</v>
      </c>
      <c r="M90" s="60">
        <f t="shared" si="2"/>
        <v>5.6</v>
      </c>
      <c r="O90" s="60" t="str">
        <f t="shared" si="3"/>
        <v>Q2 2019</v>
      </c>
      <c r="P90" s="60">
        <f t="shared" si="4"/>
        <v>53.74</v>
      </c>
      <c r="R90" s="60" t="str">
        <f t="shared" si="17"/>
        <v>Q2 2019</v>
      </c>
      <c r="S90" s="60">
        <f t="shared" si="18"/>
        <v>1.94</v>
      </c>
      <c r="U90" s="60" t="str">
        <f t="shared" si="5"/>
        <v>Q2 2019</v>
      </c>
      <c r="V90" s="60">
        <f t="shared" si="6"/>
        <v>7.29</v>
      </c>
      <c r="X90" s="60" t="str">
        <f t="shared" si="7"/>
        <v>Q2 2019</v>
      </c>
      <c r="Y90" s="60">
        <f t="shared" si="8"/>
        <v>1.7</v>
      </c>
      <c r="AA90" s="58" t="str">
        <f t="shared" si="9"/>
        <v>Q2 2019</v>
      </c>
      <c r="AB90" s="60">
        <f t="shared" si="10"/>
        <v>1.65</v>
      </c>
      <c r="AD90" s="58" t="str">
        <f t="shared" si="11"/>
        <v>Q2 2019</v>
      </c>
      <c r="AE90" s="60">
        <f t="shared" si="12"/>
        <v>2.2000000000000002</v>
      </c>
      <c r="AG90" s="58" t="str">
        <f t="shared" si="13"/>
        <v>Q2 2019</v>
      </c>
      <c r="AH90" s="60">
        <f t="shared" si="14"/>
        <v>-3341.2</v>
      </c>
      <c r="AJ90" s="58" t="str">
        <f t="shared" si="15"/>
        <v>Q2 2019</v>
      </c>
      <c r="AK90" s="60">
        <f t="shared" si="16"/>
        <v>-6523</v>
      </c>
    </row>
    <row r="91" spans="1:37" x14ac:dyDescent="0.25">
      <c r="A91" s="57" t="s">
        <v>223</v>
      </c>
      <c r="B91" s="59">
        <v>5.7</v>
      </c>
      <c r="C91" s="57">
        <v>52.95</v>
      </c>
      <c r="D91" s="59">
        <v>2.1</v>
      </c>
      <c r="E91" s="57">
        <v>7.77</v>
      </c>
      <c r="F91" s="57">
        <v>1.67</v>
      </c>
      <c r="G91" s="57">
        <v>1.62</v>
      </c>
      <c r="H91" s="59">
        <v>2.5</v>
      </c>
      <c r="I91" s="57">
        <v>-918.1</v>
      </c>
      <c r="J91" s="57">
        <v>-8536</v>
      </c>
      <c r="L91" s="58" t="str">
        <f t="shared" si="2"/>
        <v>Q3 2019</v>
      </c>
      <c r="M91" s="60">
        <f t="shared" si="2"/>
        <v>5.7</v>
      </c>
      <c r="O91" s="60" t="str">
        <f t="shared" si="3"/>
        <v>Q3 2019</v>
      </c>
      <c r="P91" s="60">
        <f t="shared" si="4"/>
        <v>54.37</v>
      </c>
      <c r="R91" s="60" t="str">
        <f t="shared" si="17"/>
        <v>Q3 2019</v>
      </c>
      <c r="S91" s="60">
        <f t="shared" si="18"/>
        <v>2.1</v>
      </c>
      <c r="U91" s="60" t="str">
        <f t="shared" si="5"/>
        <v>Q3 2019</v>
      </c>
      <c r="V91" s="60">
        <f t="shared" si="6"/>
        <v>8.11</v>
      </c>
      <c r="X91" s="60" t="str">
        <f t="shared" si="7"/>
        <v>Q3 2019</v>
      </c>
      <c r="Y91" s="60">
        <f t="shared" si="8"/>
        <v>1.54</v>
      </c>
      <c r="AA91" s="58" t="str">
        <f t="shared" si="9"/>
        <v>Q3 2019</v>
      </c>
      <c r="AB91" s="60">
        <f t="shared" si="10"/>
        <v>1.48</v>
      </c>
      <c r="AD91" s="58" t="str">
        <f t="shared" si="11"/>
        <v>Q3 2019</v>
      </c>
      <c r="AE91" s="60">
        <f t="shared" si="12"/>
        <v>1</v>
      </c>
      <c r="AG91" s="58" t="str">
        <f t="shared" si="13"/>
        <v>Q3 2019</v>
      </c>
      <c r="AH91" s="60">
        <f t="shared" si="14"/>
        <v>-7522.3</v>
      </c>
      <c r="AJ91" s="58" t="str">
        <f t="shared" si="15"/>
        <v>Q3 2019</v>
      </c>
      <c r="AK91" s="60">
        <f t="shared" si="16"/>
        <v>-12648</v>
      </c>
    </row>
    <row r="92" spans="1:37" x14ac:dyDescent="0.25">
      <c r="A92" s="57" t="s">
        <v>224</v>
      </c>
      <c r="B92" s="59">
        <v>6.5</v>
      </c>
      <c r="C92" s="57">
        <v>52.83</v>
      </c>
      <c r="D92" s="59">
        <v>1.81</v>
      </c>
      <c r="E92" s="57">
        <v>9.56</v>
      </c>
      <c r="F92" s="57">
        <v>1.25</v>
      </c>
      <c r="G92" s="57">
        <v>1.4</v>
      </c>
      <c r="H92" s="59">
        <v>-0.3</v>
      </c>
      <c r="I92" s="57">
        <v>-8766.5</v>
      </c>
      <c r="J92" s="57">
        <v>-17822</v>
      </c>
      <c r="L92" s="58" t="str">
        <f t="shared" si="2"/>
        <v>Q4 2019</v>
      </c>
      <c r="M92" s="60">
        <f t="shared" si="2"/>
        <v>5.7</v>
      </c>
      <c r="O92" s="60" t="str">
        <f t="shared" si="3"/>
        <v>Q4 2019</v>
      </c>
      <c r="P92" s="60">
        <f t="shared" si="4"/>
        <v>52.95</v>
      </c>
      <c r="R92" s="60" t="str">
        <f t="shared" si="17"/>
        <v>Q4 2019</v>
      </c>
      <c r="S92" s="60">
        <f t="shared" si="18"/>
        <v>1.81</v>
      </c>
      <c r="U92" s="60" t="str">
        <f t="shared" si="5"/>
        <v>Q4 2019</v>
      </c>
      <c r="V92" s="60">
        <f t="shared" si="6"/>
        <v>7.77</v>
      </c>
      <c r="X92" s="60" t="str">
        <f t="shared" si="7"/>
        <v>Q4 2019</v>
      </c>
      <c r="Y92" s="60">
        <f t="shared" si="8"/>
        <v>1.67</v>
      </c>
      <c r="AA92" s="58" t="str">
        <f t="shared" si="9"/>
        <v>Q4 2019</v>
      </c>
      <c r="AB92" s="60">
        <f t="shared" si="10"/>
        <v>1.62</v>
      </c>
      <c r="AD92" s="58" t="str">
        <f t="shared" si="11"/>
        <v>Q4 2019</v>
      </c>
      <c r="AE92" s="60">
        <f t="shared" si="12"/>
        <v>2.5</v>
      </c>
      <c r="AG92" s="58" t="str">
        <f t="shared" si="13"/>
        <v>Q4 2019</v>
      </c>
      <c r="AH92" s="60">
        <f t="shared" si="14"/>
        <v>-918.1</v>
      </c>
      <c r="AJ92" s="58" t="str">
        <f t="shared" si="15"/>
        <v>Q4 2019</v>
      </c>
      <c r="AK92" s="60">
        <f t="shared" si="16"/>
        <v>-8536</v>
      </c>
    </row>
    <row r="93" spans="1:37" x14ac:dyDescent="0.25">
      <c r="A93" s="57" t="s">
        <v>225</v>
      </c>
      <c r="B93" s="59">
        <v>13.4</v>
      </c>
      <c r="C93" s="57">
        <v>38.79</v>
      </c>
      <c r="D93" s="59">
        <v>0.02</v>
      </c>
      <c r="E93" s="57">
        <v>16.21</v>
      </c>
      <c r="F93" s="57">
        <v>0.95</v>
      </c>
      <c r="G93" s="57">
        <v>0.12</v>
      </c>
      <c r="H93" s="59">
        <v>-12.1</v>
      </c>
      <c r="I93" s="57">
        <v>-10839.1</v>
      </c>
      <c r="J93" s="57">
        <v>-7080</v>
      </c>
      <c r="L93" s="58" t="str">
        <f t="shared" si="2"/>
        <v>Q1 2020</v>
      </c>
      <c r="M93" s="60">
        <f t="shared" si="2"/>
        <v>6.5</v>
      </c>
      <c r="O93" s="60" t="str">
        <f t="shared" si="3"/>
        <v>Q1 2020</v>
      </c>
      <c r="P93" s="60">
        <f t="shared" si="4"/>
        <v>52.83</v>
      </c>
      <c r="R93" s="60" t="str">
        <f t="shared" si="17"/>
        <v>Q1 2020</v>
      </c>
      <c r="S93" s="60">
        <f t="shared" si="18"/>
        <v>0.02</v>
      </c>
      <c r="U93" s="60" t="str">
        <f t="shared" si="5"/>
        <v>Q1 2020</v>
      </c>
      <c r="V93" s="60">
        <f t="shared" si="6"/>
        <v>9.56</v>
      </c>
      <c r="X93" s="60" t="str">
        <f t="shared" si="7"/>
        <v>Q1 2020</v>
      </c>
      <c r="Y93" s="60">
        <f t="shared" si="8"/>
        <v>1.25</v>
      </c>
      <c r="AA93" s="58" t="str">
        <f t="shared" si="9"/>
        <v>Q1 2020</v>
      </c>
      <c r="AB93" s="60">
        <f t="shared" si="10"/>
        <v>1.4</v>
      </c>
      <c r="AD93" s="58" t="str">
        <f t="shared" si="11"/>
        <v>Q1 2020</v>
      </c>
      <c r="AE93" s="60">
        <f t="shared" si="12"/>
        <v>-0.3</v>
      </c>
      <c r="AG93" s="58" t="str">
        <f t="shared" si="13"/>
        <v>Q1 2020</v>
      </c>
      <c r="AH93" s="60">
        <f t="shared" si="14"/>
        <v>-8766.5</v>
      </c>
      <c r="AJ93" s="58" t="str">
        <f t="shared" si="15"/>
        <v>Q1 2020</v>
      </c>
      <c r="AK93" s="60">
        <f t="shared" si="16"/>
        <v>-17822</v>
      </c>
    </row>
    <row r="94" spans="1:37" x14ac:dyDescent="0.25">
      <c r="A94" s="57" t="s">
        <v>236</v>
      </c>
      <c r="B94" s="59">
        <v>10.1</v>
      </c>
      <c r="C94" s="57">
        <v>44.47</v>
      </c>
      <c r="D94" s="59">
        <v>0.27</v>
      </c>
      <c r="E94" s="57">
        <v>18.07</v>
      </c>
      <c r="F94" s="57">
        <v>0.99</v>
      </c>
      <c r="G94" s="57">
        <v>7.0000000000000007E-2</v>
      </c>
      <c r="H94" s="59">
        <v>-3.8</v>
      </c>
      <c r="I94" s="57">
        <v>-13074.7</v>
      </c>
      <c r="J94" s="57">
        <v>-12375</v>
      </c>
      <c r="L94" s="58" t="str">
        <f t="shared" si="2"/>
        <v>Q2 2020</v>
      </c>
      <c r="M94" s="60">
        <f t="shared" si="2"/>
        <v>13.4</v>
      </c>
      <c r="O94" s="60" t="str">
        <f t="shared" si="3"/>
        <v>Q2 2020</v>
      </c>
      <c r="P94" s="60">
        <f t="shared" si="4"/>
        <v>38.79</v>
      </c>
      <c r="R94" s="60" t="str">
        <f t="shared" si="17"/>
        <v>Q2 2020</v>
      </c>
      <c r="S94" s="60">
        <f t="shared" si="18"/>
        <v>0.27</v>
      </c>
      <c r="U94" s="60" t="str">
        <f t="shared" si="5"/>
        <v>Q2 2020</v>
      </c>
      <c r="V94" s="60">
        <f t="shared" si="6"/>
        <v>16.21</v>
      </c>
      <c r="X94" s="60" t="str">
        <f t="shared" si="7"/>
        <v>Q2 2020</v>
      </c>
      <c r="Y94" s="60">
        <f t="shared" si="8"/>
        <v>0.95</v>
      </c>
      <c r="AA94" s="58" t="str">
        <f t="shared" si="9"/>
        <v>Q2 2020</v>
      </c>
      <c r="AB94" s="60">
        <f t="shared" si="10"/>
        <v>0.12</v>
      </c>
      <c r="AD94" s="58" t="str">
        <f t="shared" si="11"/>
        <v>Q2 2020</v>
      </c>
      <c r="AE94" s="60">
        <f t="shared" si="12"/>
        <v>-12.1</v>
      </c>
      <c r="AG94" s="58" t="str">
        <f t="shared" si="13"/>
        <v>Q2 2020</v>
      </c>
      <c r="AH94" s="60">
        <f t="shared" si="14"/>
        <v>-10839.1</v>
      </c>
      <c r="AJ94" s="58" t="str">
        <f t="shared" si="15"/>
        <v>Q2 2020</v>
      </c>
      <c r="AK94" s="60">
        <f t="shared" si="16"/>
        <v>-7080</v>
      </c>
    </row>
    <row r="95" spans="1:37" x14ac:dyDescent="0.25">
      <c r="A95" s="57" t="s">
        <v>237</v>
      </c>
      <c r="B95" s="59">
        <v>8.9</v>
      </c>
      <c r="C95" s="57">
        <v>43.94</v>
      </c>
      <c r="D95" s="59">
        <v>0.78</v>
      </c>
      <c r="E95" s="57">
        <v>18.059999999999999</v>
      </c>
      <c r="F95" s="57">
        <v>1.1299999999999999</v>
      </c>
      <c r="G95" s="57">
        <v>0</v>
      </c>
      <c r="H95" s="59">
        <v>-3.6</v>
      </c>
      <c r="I95" s="57">
        <v>-7967.1</v>
      </c>
      <c r="J95" s="57">
        <v>-7512</v>
      </c>
      <c r="L95" s="58" t="str">
        <f t="shared" si="2"/>
        <v>Q3 2020</v>
      </c>
      <c r="M95" s="60">
        <f t="shared" si="2"/>
        <v>10.1</v>
      </c>
      <c r="O95" s="60" t="str">
        <f t="shared" si="3"/>
        <v>Q3 2020</v>
      </c>
      <c r="P95" s="60">
        <f t="shared" si="4"/>
        <v>44.47</v>
      </c>
      <c r="R95" s="60" t="str">
        <f t="shared" si="17"/>
        <v>Q3 2020</v>
      </c>
      <c r="S95" s="60">
        <f t="shared" si="18"/>
        <v>0.78</v>
      </c>
      <c r="U95" s="60" t="str">
        <f t="shared" si="5"/>
        <v>Q3 2020</v>
      </c>
      <c r="V95" s="60">
        <f t="shared" si="6"/>
        <v>18.07</v>
      </c>
      <c r="X95" s="60" t="str">
        <f t="shared" si="7"/>
        <v>Q3 2020</v>
      </c>
      <c r="Y95" s="60">
        <f t="shared" si="8"/>
        <v>0.99</v>
      </c>
      <c r="AA95" s="58" t="str">
        <f t="shared" si="9"/>
        <v>Q3 2020</v>
      </c>
      <c r="AB95" s="60">
        <f t="shared" si="10"/>
        <v>7.0000000000000007E-2</v>
      </c>
      <c r="AD95" s="58" t="str">
        <f t="shared" si="11"/>
        <v>Q3 2020</v>
      </c>
      <c r="AE95" s="60">
        <f t="shared" si="12"/>
        <v>-3.8</v>
      </c>
      <c r="AG95" s="58" t="str">
        <f t="shared" si="13"/>
        <v>Q3 2020</v>
      </c>
      <c r="AH95" s="60">
        <f t="shared" si="14"/>
        <v>-13074.7</v>
      </c>
      <c r="AJ95" s="58" t="str">
        <f t="shared" si="15"/>
        <v>Q3 2020</v>
      </c>
      <c r="AK95" s="60">
        <f t="shared" si="16"/>
        <v>-12375</v>
      </c>
    </row>
    <row r="96" spans="1:37" x14ac:dyDescent="0.25">
      <c r="A96" s="57" t="s">
        <v>238</v>
      </c>
      <c r="B96" s="59">
        <v>8.5</v>
      </c>
      <c r="C96" s="57">
        <v>48.19</v>
      </c>
      <c r="D96" s="59">
        <v>1.44</v>
      </c>
      <c r="E96" s="57">
        <v>17.12</v>
      </c>
      <c r="F96" s="57">
        <v>1.9</v>
      </c>
      <c r="G96" s="57">
        <v>0</v>
      </c>
      <c r="H96" s="59">
        <v>0.1</v>
      </c>
      <c r="I96" s="57">
        <v>2166</v>
      </c>
      <c r="J96" s="57">
        <v>78</v>
      </c>
      <c r="L96" s="58" t="str">
        <f t="shared" si="2"/>
        <v>Q4 2020</v>
      </c>
      <c r="M96" s="60">
        <f t="shared" si="2"/>
        <v>8.9</v>
      </c>
      <c r="O96" s="60" t="str">
        <f t="shared" si="3"/>
        <v>Q4 2020</v>
      </c>
      <c r="P96" s="60">
        <f t="shared" si="4"/>
        <v>43.94</v>
      </c>
      <c r="R96" s="60" t="str">
        <f t="shared" si="17"/>
        <v>Q4 2020</v>
      </c>
      <c r="S96" s="60">
        <f t="shared" si="18"/>
        <v>1.44</v>
      </c>
      <c r="U96" s="60" t="str">
        <f t="shared" si="5"/>
        <v>Q4 2020</v>
      </c>
      <c r="V96" s="60">
        <f t="shared" si="6"/>
        <v>18.059999999999999</v>
      </c>
      <c r="X96" s="60" t="str">
        <f t="shared" si="7"/>
        <v>Q4 2020</v>
      </c>
      <c r="Y96" s="60">
        <f t="shared" si="8"/>
        <v>1.1299999999999999</v>
      </c>
      <c r="AA96" s="58" t="str">
        <f t="shared" si="9"/>
        <v>Q4 2020</v>
      </c>
      <c r="AB96" s="60">
        <f t="shared" si="10"/>
        <v>0</v>
      </c>
      <c r="AD96" s="58" t="str">
        <f t="shared" si="11"/>
        <v>Q4 2020</v>
      </c>
      <c r="AE96" s="60">
        <f t="shared" si="12"/>
        <v>-3.6</v>
      </c>
      <c r="AG96" s="58" t="str">
        <f t="shared" si="13"/>
        <v>Q4 2020</v>
      </c>
      <c r="AH96" s="60">
        <f t="shared" si="14"/>
        <v>-7967.1</v>
      </c>
      <c r="AJ96" s="58" t="str">
        <f t="shared" si="15"/>
        <v>Q4 2020</v>
      </c>
      <c r="AK96" s="60">
        <f t="shared" si="16"/>
        <v>-7512</v>
      </c>
    </row>
    <row r="97" spans="1:37" x14ac:dyDescent="0.25">
      <c r="A97" s="57" t="s">
        <v>239</v>
      </c>
      <c r="B97" s="59">
        <v>8.1</v>
      </c>
      <c r="C97" s="57">
        <v>50.84</v>
      </c>
      <c r="D97" s="59">
        <v>3.35</v>
      </c>
      <c r="E97" s="57">
        <v>11.85</v>
      </c>
      <c r="F97" s="57">
        <v>1.77</v>
      </c>
      <c r="G97" s="57">
        <v>0.11</v>
      </c>
      <c r="H97" s="59">
        <v>13</v>
      </c>
      <c r="I97" s="57">
        <v>-928</v>
      </c>
      <c r="J97" s="57">
        <v>-421</v>
      </c>
      <c r="L97" s="58" t="str">
        <f t="shared" si="2"/>
        <v>Q1 2021</v>
      </c>
      <c r="M97" s="60">
        <f t="shared" si="2"/>
        <v>8.5</v>
      </c>
      <c r="O97" s="60" t="str">
        <f t="shared" si="3"/>
        <v>Q1 2021</v>
      </c>
      <c r="P97" s="60">
        <f t="shared" si="4"/>
        <v>48.19</v>
      </c>
      <c r="R97" s="60" t="str">
        <f t="shared" si="17"/>
        <v>Q1 2021</v>
      </c>
      <c r="S97" s="60">
        <f t="shared" si="18"/>
        <v>3.35</v>
      </c>
      <c r="U97" s="60" t="str">
        <f t="shared" si="5"/>
        <v>Q1 2021</v>
      </c>
      <c r="V97" s="60">
        <f t="shared" si="6"/>
        <v>17.12</v>
      </c>
      <c r="X97" s="60" t="str">
        <f t="shared" si="7"/>
        <v>Q1 2021</v>
      </c>
      <c r="Y97" s="60">
        <f t="shared" si="8"/>
        <v>1.9</v>
      </c>
      <c r="AA97" s="58" t="str">
        <f t="shared" si="9"/>
        <v>Q1 2021</v>
      </c>
      <c r="AB97" s="60">
        <f t="shared" si="10"/>
        <v>0</v>
      </c>
      <c r="AD97" s="58" t="str">
        <f t="shared" si="11"/>
        <v>Q1 2021</v>
      </c>
      <c r="AE97" s="60">
        <f t="shared" si="12"/>
        <v>0.1</v>
      </c>
      <c r="AG97" s="58" t="str">
        <f t="shared" si="13"/>
        <v>Q1 2021</v>
      </c>
      <c r="AH97" s="60">
        <f t="shared" si="14"/>
        <v>2166</v>
      </c>
      <c r="AJ97" s="58" t="str">
        <f t="shared" si="15"/>
        <v>Q1 2021</v>
      </c>
      <c r="AK97" s="60">
        <f t="shared" si="16"/>
        <v>78</v>
      </c>
    </row>
    <row r="98" spans="1:37" x14ac:dyDescent="0.25">
      <c r="A98" s="57" t="s">
        <v>240</v>
      </c>
      <c r="B98" s="59">
        <v>7.2</v>
      </c>
      <c r="C98" s="57">
        <v>54.56</v>
      </c>
      <c r="D98" s="59">
        <v>4.0599999999999996</v>
      </c>
      <c r="E98" s="57">
        <v>9.81</v>
      </c>
      <c r="F98" s="57">
        <v>1.92</v>
      </c>
      <c r="G98" s="57">
        <v>0.14499999999999999</v>
      </c>
      <c r="H98" s="59">
        <v>4.0999999999999996</v>
      </c>
      <c r="I98" s="57">
        <v>-1304.3</v>
      </c>
      <c r="J98" s="57">
        <v>1280</v>
      </c>
      <c r="L98" s="58" t="str">
        <f t="shared" si="2"/>
        <v>Q2 2021</v>
      </c>
      <c r="M98" s="60">
        <f t="shared" si="2"/>
        <v>8.1</v>
      </c>
      <c r="O98" s="60" t="str">
        <f t="shared" si="3"/>
        <v>Q2 2021</v>
      </c>
      <c r="P98" s="60">
        <f t="shared" si="4"/>
        <v>50.84</v>
      </c>
      <c r="R98" s="60" t="str">
        <f t="shared" si="17"/>
        <v>Q2 2021</v>
      </c>
      <c r="S98" s="60">
        <f t="shared" si="18"/>
        <v>4.0599999999999996</v>
      </c>
      <c r="U98" s="60" t="str">
        <f t="shared" si="5"/>
        <v>Q2 2021</v>
      </c>
      <c r="V98" s="60">
        <f t="shared" si="6"/>
        <v>11.85</v>
      </c>
      <c r="X98" s="60" t="str">
        <f t="shared" si="7"/>
        <v>Q2 2021</v>
      </c>
      <c r="Y98" s="60">
        <f t="shared" si="8"/>
        <v>1.77</v>
      </c>
      <c r="AA98" s="58" t="str">
        <f t="shared" si="9"/>
        <v>Q2 2021</v>
      </c>
      <c r="AB98" s="60">
        <f t="shared" si="10"/>
        <v>0.11</v>
      </c>
      <c r="AD98" s="58" t="str">
        <f t="shared" si="11"/>
        <v>Q2 2021</v>
      </c>
      <c r="AE98" s="60">
        <f t="shared" si="12"/>
        <v>13</v>
      </c>
      <c r="AG98" s="58" t="str">
        <f t="shared" si="13"/>
        <v>Q2 2021</v>
      </c>
      <c r="AH98" s="60">
        <f t="shared" si="14"/>
        <v>-928</v>
      </c>
      <c r="AJ98" s="58" t="str">
        <f t="shared" si="15"/>
        <v>Q2 2021</v>
      </c>
      <c r="AK98" s="60">
        <f t="shared" si="16"/>
        <v>-421</v>
      </c>
    </row>
    <row r="99" spans="1:37" x14ac:dyDescent="0.25">
      <c r="A99" s="57" t="s">
        <v>241</v>
      </c>
      <c r="B99" s="59">
        <v>6.2</v>
      </c>
      <c r="C99" s="57">
        <v>53.91</v>
      </c>
      <c r="D99" s="59">
        <v>4.7300000000000004</v>
      </c>
      <c r="E99" s="57">
        <v>8.7899999999999991</v>
      </c>
      <c r="F99" s="57">
        <v>1.75</v>
      </c>
      <c r="G99" s="57">
        <v>0.25</v>
      </c>
      <c r="H99" s="59">
        <v>5.2</v>
      </c>
      <c r="I99" s="57">
        <v>2526.1</v>
      </c>
      <c r="J99" s="57">
        <v>-565</v>
      </c>
      <c r="L99" s="58" t="str">
        <f t="shared" si="2"/>
        <v>Q3 2021</v>
      </c>
      <c r="M99" s="60">
        <f t="shared" si="2"/>
        <v>7.2</v>
      </c>
      <c r="O99" s="60" t="str">
        <f t="shared" si="3"/>
        <v>Q3 2021</v>
      </c>
      <c r="P99" s="60">
        <f t="shared" si="4"/>
        <v>54.56</v>
      </c>
      <c r="R99" s="60" t="str">
        <f t="shared" si="17"/>
        <v>Q3 2021</v>
      </c>
      <c r="S99" s="60">
        <f t="shared" si="18"/>
        <v>4.7300000000000004</v>
      </c>
      <c r="U99" s="60" t="str">
        <f t="shared" si="5"/>
        <v>Q3 2021</v>
      </c>
      <c r="V99" s="60">
        <f t="shared" si="6"/>
        <v>9.81</v>
      </c>
      <c r="X99" s="60" t="str">
        <f t="shared" si="7"/>
        <v>Q3 2021</v>
      </c>
      <c r="Y99" s="60">
        <f t="shared" si="8"/>
        <v>1.92</v>
      </c>
      <c r="AA99" s="58" t="str">
        <f t="shared" si="9"/>
        <v>Q3 2021</v>
      </c>
      <c r="AB99" s="60">
        <f t="shared" si="10"/>
        <v>0.14499999999999999</v>
      </c>
      <c r="AD99" s="58" t="str">
        <f t="shared" si="11"/>
        <v>Q3 2021</v>
      </c>
      <c r="AE99" s="60">
        <f t="shared" si="12"/>
        <v>4.0999999999999996</v>
      </c>
      <c r="AG99" s="58" t="str">
        <f t="shared" si="13"/>
        <v>Q3 2021</v>
      </c>
      <c r="AH99" s="60">
        <f t="shared" si="14"/>
        <v>-1304.3</v>
      </c>
      <c r="AJ99" s="58" t="str">
        <f t="shared" si="15"/>
        <v>Q3 2021</v>
      </c>
      <c r="AK99" s="60">
        <f t="shared" si="16"/>
        <v>1280</v>
      </c>
    </row>
    <row r="100" spans="1:37" x14ac:dyDescent="0.25">
      <c r="A100" s="57" t="s">
        <v>242</v>
      </c>
      <c r="B100" s="59">
        <v>5.8</v>
      </c>
      <c r="C100" s="57">
        <v>50.67</v>
      </c>
      <c r="D100" s="59">
        <v>5.83</v>
      </c>
      <c r="E100" s="57">
        <v>7.81</v>
      </c>
      <c r="F100" s="57">
        <v>2.4500000000000002</v>
      </c>
      <c r="G100" s="57">
        <v>0.27</v>
      </c>
      <c r="H100" s="59">
        <v>4.9000000000000004</v>
      </c>
      <c r="I100" s="57">
        <v>11387.6</v>
      </c>
      <c r="J100" s="57">
        <v>3632</v>
      </c>
      <c r="L100" s="58" t="str">
        <f t="shared" si="2"/>
        <v>Q4 2021</v>
      </c>
      <c r="M100" s="60">
        <f t="shared" si="2"/>
        <v>6.2</v>
      </c>
      <c r="O100" s="60" t="str">
        <f t="shared" si="3"/>
        <v>Q4 2021</v>
      </c>
      <c r="P100" s="60">
        <f t="shared" si="4"/>
        <v>53.91</v>
      </c>
      <c r="R100" s="60" t="str">
        <f t="shared" si="17"/>
        <v>Q4 2021</v>
      </c>
      <c r="S100" s="60">
        <f t="shared" si="18"/>
        <v>5.83</v>
      </c>
      <c r="U100" s="60" t="str">
        <f t="shared" si="5"/>
        <v>Q4 2021</v>
      </c>
      <c r="V100" s="60">
        <f t="shared" si="6"/>
        <v>8.7899999999999991</v>
      </c>
      <c r="X100" s="60" t="str">
        <f t="shared" si="7"/>
        <v>Q4 2021</v>
      </c>
      <c r="Y100" s="60">
        <f t="shared" si="8"/>
        <v>1.75</v>
      </c>
      <c r="AA100" s="58" t="str">
        <f t="shared" si="9"/>
        <v>Q4 2021</v>
      </c>
      <c r="AB100" s="60">
        <f t="shared" si="10"/>
        <v>0.25</v>
      </c>
      <c r="AD100" s="58" t="str">
        <f t="shared" si="11"/>
        <v>Q4 2021</v>
      </c>
      <c r="AE100" s="60">
        <f t="shared" si="12"/>
        <v>5.2</v>
      </c>
      <c r="AG100" s="58" t="str">
        <f t="shared" si="13"/>
        <v>Q4 2021</v>
      </c>
      <c r="AH100" s="60">
        <f t="shared" si="14"/>
        <v>2526.1</v>
      </c>
      <c r="AJ100" s="58" t="str">
        <f t="shared" si="15"/>
        <v>Q4 2021</v>
      </c>
      <c r="AK100" s="60">
        <f t="shared" si="16"/>
        <v>-565</v>
      </c>
    </row>
    <row r="101" spans="1:37" x14ac:dyDescent="0.25">
      <c r="A101" s="57" t="s">
        <v>243</v>
      </c>
      <c r="B101" s="59">
        <v>5.2</v>
      </c>
      <c r="C101" s="57">
        <v>50.88</v>
      </c>
      <c r="D101" s="59">
        <v>7.54</v>
      </c>
      <c r="E101" s="57">
        <v>5.56</v>
      </c>
      <c r="F101" s="57">
        <v>3.24</v>
      </c>
      <c r="G101" s="57">
        <v>1.65</v>
      </c>
      <c r="H101" s="59">
        <v>4.8</v>
      </c>
      <c r="I101" s="57">
        <v>10207.799999999999</v>
      </c>
      <c r="J101" s="57">
        <v>4279</v>
      </c>
      <c r="L101" s="58" t="str">
        <f t="shared" si="2"/>
        <v>Q1 2022</v>
      </c>
      <c r="M101" s="60">
        <f t="shared" si="2"/>
        <v>5.8</v>
      </c>
      <c r="O101" s="60" t="str">
        <f t="shared" si="3"/>
        <v>Q1 2022</v>
      </c>
      <c r="P101" s="60">
        <f t="shared" si="4"/>
        <v>50.67</v>
      </c>
      <c r="R101" s="60" t="str">
        <f t="shared" si="17"/>
        <v>Q1 2022</v>
      </c>
      <c r="S101" s="60">
        <f t="shared" si="18"/>
        <v>7.54</v>
      </c>
      <c r="U101" s="60" t="str">
        <f t="shared" si="5"/>
        <v>Q1 2022</v>
      </c>
      <c r="V101" s="60">
        <f t="shared" si="6"/>
        <v>7.81</v>
      </c>
      <c r="X101" s="60" t="str">
        <f t="shared" si="7"/>
        <v>Q1 2022</v>
      </c>
      <c r="Y101" s="60">
        <f t="shared" si="8"/>
        <v>2.4500000000000002</v>
      </c>
      <c r="AA101" s="58" t="str">
        <f t="shared" si="9"/>
        <v>Q1 2022</v>
      </c>
      <c r="AB101" s="60">
        <f t="shared" si="10"/>
        <v>0.27</v>
      </c>
      <c r="AD101" s="58" t="str">
        <f t="shared" si="11"/>
        <v>Q1 2022</v>
      </c>
      <c r="AE101" s="60">
        <f t="shared" si="12"/>
        <v>4.9000000000000004</v>
      </c>
      <c r="AG101" s="58" t="str">
        <f t="shared" si="13"/>
        <v>Q1 2022</v>
      </c>
      <c r="AH101" s="60">
        <f t="shared" si="14"/>
        <v>11387.6</v>
      </c>
      <c r="AJ101" s="58" t="str">
        <f t="shared" si="15"/>
        <v>Q1 2022</v>
      </c>
      <c r="AK101" s="60">
        <f t="shared" si="16"/>
        <v>3632</v>
      </c>
    </row>
    <row r="102" spans="1:37" x14ac:dyDescent="0.25">
      <c r="A102" s="57" t="s">
        <v>244</v>
      </c>
      <c r="B102" s="59">
        <v>5</v>
      </c>
      <c r="C102" s="57">
        <v>50.27</v>
      </c>
      <c r="D102" s="59">
        <v>7.15</v>
      </c>
      <c r="E102" s="57">
        <v>4.1900000000000004</v>
      </c>
      <c r="F102" s="57">
        <v>3.03</v>
      </c>
      <c r="G102" s="57">
        <v>3.4</v>
      </c>
      <c r="H102" s="59">
        <v>4.7</v>
      </c>
      <c r="I102" s="57">
        <v>-3267.4</v>
      </c>
      <c r="J102" s="57">
        <v>-9695</v>
      </c>
      <c r="L102" s="58" t="str">
        <f t="shared" si="2"/>
        <v>Q2 2022</v>
      </c>
      <c r="M102" s="60">
        <f t="shared" si="2"/>
        <v>5.2</v>
      </c>
      <c r="O102" s="60" t="str">
        <f t="shared" si="3"/>
        <v>Q2 2022</v>
      </c>
      <c r="P102" s="60">
        <f t="shared" si="4"/>
        <v>50.88</v>
      </c>
      <c r="R102" s="60" t="str">
        <f t="shared" si="17"/>
        <v>Q2 2022</v>
      </c>
      <c r="S102" s="60">
        <f t="shared" si="18"/>
        <v>7.15</v>
      </c>
      <c r="U102" s="60" t="str">
        <f t="shared" si="5"/>
        <v>Q2 2022</v>
      </c>
      <c r="V102" s="60">
        <f t="shared" si="6"/>
        <v>5.56</v>
      </c>
      <c r="X102" s="60" t="str">
        <f t="shared" si="7"/>
        <v>Q2 2022</v>
      </c>
      <c r="Y102" s="60">
        <f t="shared" si="8"/>
        <v>3.24</v>
      </c>
      <c r="AA102" s="58" t="str">
        <f t="shared" si="9"/>
        <v>Q2 2022</v>
      </c>
      <c r="AB102" s="60">
        <f t="shared" si="10"/>
        <v>1.65</v>
      </c>
      <c r="AD102" s="58" t="str">
        <f t="shared" si="11"/>
        <v>Q2 2022</v>
      </c>
      <c r="AE102" s="60">
        <f t="shared" si="12"/>
        <v>4.8</v>
      </c>
      <c r="AG102" s="58" t="str">
        <f t="shared" si="13"/>
        <v>Q2 2022</v>
      </c>
      <c r="AH102" s="60">
        <f t="shared" si="14"/>
        <v>10207.799999999999</v>
      </c>
      <c r="AJ102" s="58" t="str">
        <f t="shared" si="15"/>
        <v>Q2 2022</v>
      </c>
      <c r="AK102" s="60">
        <f t="shared" si="16"/>
        <v>4279</v>
      </c>
    </row>
    <row r="103" spans="1:37" x14ac:dyDescent="0.25">
      <c r="A103" s="57" t="s">
        <v>245</v>
      </c>
      <c r="B103" s="59">
        <v>5.0999999999999996</v>
      </c>
      <c r="C103" s="57">
        <v>48.15</v>
      </c>
      <c r="D103" s="59">
        <v>6.67</v>
      </c>
      <c r="E103" s="57">
        <v>3.53</v>
      </c>
      <c r="F103" s="57">
        <v>3.31</v>
      </c>
      <c r="G103" s="57">
        <v>4.085</v>
      </c>
      <c r="H103" s="59">
        <v>2.2000000000000002</v>
      </c>
      <c r="I103" s="57">
        <v>1378.5</v>
      </c>
      <c r="J103" s="57">
        <v>-8528</v>
      </c>
      <c r="L103" s="58" t="str">
        <f t="shared" si="2"/>
        <v>Q3 2022</v>
      </c>
      <c r="M103" s="60">
        <f t="shared" si="2"/>
        <v>5</v>
      </c>
      <c r="O103" s="60" t="str">
        <f t="shared" si="3"/>
        <v>Q3 2022</v>
      </c>
      <c r="P103" s="60">
        <f t="shared" si="4"/>
        <v>50.27</v>
      </c>
      <c r="R103" s="60" t="str">
        <f t="shared" si="17"/>
        <v>Q3 2022</v>
      </c>
      <c r="S103" s="60">
        <f t="shared" si="18"/>
        <v>6.67</v>
      </c>
      <c r="U103" s="60" t="str">
        <f t="shared" si="5"/>
        <v>Q3 2022</v>
      </c>
      <c r="V103" s="60">
        <f t="shared" si="6"/>
        <v>4.1900000000000004</v>
      </c>
      <c r="X103" s="60" t="str">
        <f t="shared" si="7"/>
        <v>Q3 2022</v>
      </c>
      <c r="Y103" s="60">
        <f t="shared" si="8"/>
        <v>3.03</v>
      </c>
      <c r="AA103" s="58" t="str">
        <f t="shared" si="9"/>
        <v>Q3 2022</v>
      </c>
      <c r="AB103" s="60">
        <f t="shared" si="10"/>
        <v>3.4</v>
      </c>
      <c r="AD103" s="58" t="str">
        <f t="shared" si="11"/>
        <v>Q3 2022</v>
      </c>
      <c r="AE103" s="60">
        <f t="shared" si="12"/>
        <v>4.7</v>
      </c>
      <c r="AG103" s="58" t="str">
        <f t="shared" si="13"/>
        <v>Q3 2022</v>
      </c>
      <c r="AH103" s="60">
        <f t="shared" si="14"/>
        <v>-3267.4</v>
      </c>
      <c r="AJ103" s="58" t="str">
        <f t="shared" si="15"/>
        <v>Q3 2022</v>
      </c>
      <c r="AK103" s="60">
        <f t="shared" si="16"/>
        <v>-9695</v>
      </c>
    </row>
    <row r="104" spans="1:37" x14ac:dyDescent="0.25">
      <c r="A104" s="57" t="s">
        <v>246</v>
      </c>
      <c r="B104" s="59">
        <v>5.0999999999999996</v>
      </c>
      <c r="C104" s="57">
        <v>47.86</v>
      </c>
      <c r="D104" s="59">
        <v>5.15</v>
      </c>
      <c r="E104" s="57">
        <v>3.12</v>
      </c>
      <c r="F104" s="57">
        <v>3.06</v>
      </c>
      <c r="G104" s="57">
        <v>4.51</v>
      </c>
      <c r="H104" s="59">
        <v>2.4</v>
      </c>
      <c r="I104" s="57">
        <v>5527</v>
      </c>
      <c r="J104" s="57">
        <v>-3716</v>
      </c>
      <c r="L104" s="58" t="str">
        <f t="shared" si="2"/>
        <v>Q4 2022</v>
      </c>
      <c r="M104" s="60">
        <f t="shared" si="2"/>
        <v>5.0999999999999996</v>
      </c>
      <c r="O104" s="60" t="str">
        <f t="shared" si="3"/>
        <v>Q4 2022</v>
      </c>
      <c r="P104" s="60">
        <f t="shared" si="4"/>
        <v>48.15</v>
      </c>
      <c r="R104" s="60" t="str">
        <f t="shared" si="17"/>
        <v>Q4 2022</v>
      </c>
      <c r="S104" s="60">
        <f t="shared" si="18"/>
        <v>5.15</v>
      </c>
      <c r="U104" s="60" t="str">
        <f t="shared" si="5"/>
        <v>Q4 2022</v>
      </c>
      <c r="V104" s="60">
        <f t="shared" si="6"/>
        <v>3.53</v>
      </c>
      <c r="X104" s="60" t="str">
        <f t="shared" si="7"/>
        <v>Q4 2022</v>
      </c>
      <c r="Y104" s="60">
        <f t="shared" si="8"/>
        <v>3.31</v>
      </c>
      <c r="AA104" s="58" t="str">
        <f t="shared" si="9"/>
        <v>Q4 2022</v>
      </c>
      <c r="AB104" s="60">
        <f t="shared" si="10"/>
        <v>4.085</v>
      </c>
      <c r="AD104" s="58" t="str">
        <f t="shared" si="11"/>
        <v>Q4 2022</v>
      </c>
      <c r="AE104" s="60">
        <f t="shared" si="12"/>
        <v>2.2000000000000002</v>
      </c>
      <c r="AG104" s="58" t="str">
        <f t="shared" si="13"/>
        <v>Q4 2022</v>
      </c>
      <c r="AH104" s="60">
        <f t="shared" si="14"/>
        <v>1378.5</v>
      </c>
      <c r="AJ104" s="58" t="str">
        <f t="shared" si="15"/>
        <v>Q4 2022</v>
      </c>
      <c r="AK104" s="60">
        <f t="shared" si="16"/>
        <v>-8528</v>
      </c>
    </row>
    <row r="105" spans="1:37" x14ac:dyDescent="0.25">
      <c r="A105" s="57" t="s">
        <v>247</v>
      </c>
      <c r="B105" s="59">
        <v>5.3</v>
      </c>
      <c r="C105" s="57">
        <v>50.07</v>
      </c>
      <c r="D105" s="59">
        <v>3.53</v>
      </c>
      <c r="E105" s="57">
        <v>2.27</v>
      </c>
      <c r="F105" s="57">
        <v>3.15</v>
      </c>
      <c r="G105" s="57">
        <v>4.7</v>
      </c>
      <c r="H105" s="59">
        <v>2</v>
      </c>
      <c r="I105" s="57">
        <v>-7679.9</v>
      </c>
      <c r="J105" s="57">
        <v>-6762</v>
      </c>
      <c r="L105" s="58" t="str">
        <f t="shared" si="2"/>
        <v>Q1 2023</v>
      </c>
      <c r="M105" s="60">
        <f t="shared" si="2"/>
        <v>5.0999999999999996</v>
      </c>
      <c r="O105" s="60" t="str">
        <f t="shared" si="3"/>
        <v>Q1 2023</v>
      </c>
      <c r="P105" s="60">
        <f t="shared" si="4"/>
        <v>47.86</v>
      </c>
      <c r="R105" s="60" t="str">
        <f t="shared" si="17"/>
        <v>Q1 2023</v>
      </c>
      <c r="S105" s="60">
        <f t="shared" si="18"/>
        <v>3.53</v>
      </c>
      <c r="U105" s="60" t="str">
        <f t="shared" si="5"/>
        <v>Q1 2023</v>
      </c>
      <c r="V105" s="60">
        <f t="shared" si="6"/>
        <v>3.12</v>
      </c>
      <c r="X105" s="60" t="str">
        <f t="shared" si="7"/>
        <v>Q1 2023</v>
      </c>
      <c r="Y105" s="60">
        <f t="shared" si="8"/>
        <v>3.06</v>
      </c>
      <c r="AA105" s="58" t="str">
        <f t="shared" si="9"/>
        <v>Q1 2023</v>
      </c>
      <c r="AB105" s="60">
        <f t="shared" si="10"/>
        <v>4.51</v>
      </c>
      <c r="AD105" s="58" t="str">
        <f t="shared" si="11"/>
        <v>Q1 2023</v>
      </c>
      <c r="AE105" s="60">
        <f t="shared" si="12"/>
        <v>2.4</v>
      </c>
      <c r="AG105" s="58" t="str">
        <f t="shared" si="13"/>
        <v>Q1 2023</v>
      </c>
      <c r="AH105" s="60">
        <f t="shared" si="14"/>
        <v>5527</v>
      </c>
      <c r="AJ105" s="58" t="str">
        <f t="shared" si="15"/>
        <v>Q1 2023</v>
      </c>
      <c r="AK105" s="60">
        <f t="shared" si="16"/>
        <v>-3716</v>
      </c>
    </row>
    <row r="106" spans="1:37" x14ac:dyDescent="0.25">
      <c r="A106" s="57" t="s">
        <v>248</v>
      </c>
      <c r="B106" s="59">
        <v>5.5</v>
      </c>
      <c r="C106" s="57">
        <v>48.04</v>
      </c>
      <c r="D106" s="59">
        <v>3.69</v>
      </c>
      <c r="E106" s="57">
        <v>3.22</v>
      </c>
      <c r="F106" s="57">
        <v>3.93</v>
      </c>
      <c r="G106" s="57">
        <v>4.8499999999999996</v>
      </c>
      <c r="H106" s="59">
        <v>0.8</v>
      </c>
      <c r="I106" s="57">
        <v>-4247.1000000000004</v>
      </c>
      <c r="J106" s="57">
        <v>-5994</v>
      </c>
      <c r="L106" s="58" t="str">
        <f t="shared" si="2"/>
        <v>Q2 2023</v>
      </c>
      <c r="M106" s="60">
        <f t="shared" si="2"/>
        <v>5.3</v>
      </c>
      <c r="O106" s="60" t="str">
        <f t="shared" si="3"/>
        <v>Q2 2023</v>
      </c>
      <c r="P106" s="60">
        <f t="shared" si="4"/>
        <v>50.07</v>
      </c>
      <c r="R106" s="60" t="str">
        <f t="shared" si="17"/>
        <v>Q2 2023</v>
      </c>
      <c r="S106" s="60">
        <f t="shared" si="18"/>
        <v>3.69</v>
      </c>
      <c r="U106" s="60" t="str">
        <f t="shared" si="5"/>
        <v>Q2 2023</v>
      </c>
      <c r="V106" s="60">
        <f t="shared" si="6"/>
        <v>2.27</v>
      </c>
      <c r="X106" s="60" t="str">
        <f t="shared" si="7"/>
        <v>Q2 2023</v>
      </c>
      <c r="Y106" s="60">
        <f t="shared" si="8"/>
        <v>3.15</v>
      </c>
      <c r="AA106" s="58" t="str">
        <f t="shared" si="9"/>
        <v>Q2 2023</v>
      </c>
      <c r="AB106" s="60">
        <f t="shared" si="10"/>
        <v>4.7</v>
      </c>
      <c r="AD106" s="58" t="str">
        <f t="shared" si="11"/>
        <v>Q2 2023</v>
      </c>
      <c r="AE106" s="60">
        <f t="shared" si="12"/>
        <v>2</v>
      </c>
      <c r="AG106" s="58" t="str">
        <f t="shared" si="13"/>
        <v>Q2 2023</v>
      </c>
      <c r="AH106" s="60">
        <f t="shared" si="14"/>
        <v>-7679.9</v>
      </c>
      <c r="AJ106" s="58" t="str">
        <f t="shared" si="15"/>
        <v>Q2 2023</v>
      </c>
      <c r="AK106" s="60">
        <f t="shared" si="16"/>
        <v>-6762</v>
      </c>
    </row>
    <row r="107" spans="1:37" x14ac:dyDescent="0.25">
      <c r="A107" s="57" t="s">
        <v>249</v>
      </c>
      <c r="B107" s="59">
        <v>5.8</v>
      </c>
      <c r="C107" s="57">
        <v>46.46</v>
      </c>
      <c r="D107" s="59">
        <v>3.21</v>
      </c>
      <c r="E107" s="57">
        <v>3.9</v>
      </c>
      <c r="F107" s="57">
        <v>3</v>
      </c>
      <c r="G107" s="57">
        <v>4.9950000000000001</v>
      </c>
      <c r="H107" s="59">
        <v>1.3</v>
      </c>
      <c r="I107" s="57">
        <v>4547.6000000000004</v>
      </c>
      <c r="J107" s="57">
        <v>-4508</v>
      </c>
      <c r="L107" s="58" t="str">
        <f t="shared" si="2"/>
        <v>Q3 2023</v>
      </c>
      <c r="M107" s="60">
        <f t="shared" si="2"/>
        <v>5.5</v>
      </c>
      <c r="O107" s="60" t="str">
        <f t="shared" si="3"/>
        <v>Q3 2023</v>
      </c>
      <c r="P107" s="60">
        <f t="shared" si="4"/>
        <v>48.04</v>
      </c>
      <c r="R107" s="60" t="str">
        <f t="shared" si="17"/>
        <v>Q3 2023</v>
      </c>
      <c r="S107" s="60">
        <f t="shared" si="18"/>
        <v>3.21</v>
      </c>
      <c r="U107" s="60" t="str">
        <f t="shared" si="5"/>
        <v>Q3 2023</v>
      </c>
      <c r="V107" s="60">
        <f t="shared" si="6"/>
        <v>3.22</v>
      </c>
      <c r="X107" s="60" t="str">
        <f t="shared" si="7"/>
        <v>Q3 2023</v>
      </c>
      <c r="Y107" s="60">
        <f t="shared" si="8"/>
        <v>3.93</v>
      </c>
      <c r="AA107" s="58" t="str">
        <f t="shared" si="9"/>
        <v>Q3 2023</v>
      </c>
      <c r="AB107" s="60">
        <f t="shared" si="10"/>
        <v>4.8499999999999996</v>
      </c>
      <c r="AD107" s="58" t="str">
        <f t="shared" si="11"/>
        <v>Q3 2023</v>
      </c>
      <c r="AE107" s="60">
        <f t="shared" si="12"/>
        <v>0.8</v>
      </c>
      <c r="AG107" s="58" t="str">
        <f t="shared" si="13"/>
        <v>Q3 2023</v>
      </c>
      <c r="AH107" s="60">
        <f t="shared" si="14"/>
        <v>-4247.1000000000004</v>
      </c>
      <c r="AJ107" s="58" t="str">
        <f t="shared" si="15"/>
        <v>Q3 2023</v>
      </c>
      <c r="AK107" s="60">
        <f t="shared" si="16"/>
        <v>-5994</v>
      </c>
    </row>
    <row r="108" spans="1:37" x14ac:dyDescent="0.25">
      <c r="A108" s="57" t="s">
        <v>250</v>
      </c>
      <c r="B108" s="59">
        <v>5.9</v>
      </c>
      <c r="C108" s="57">
        <v>48.24</v>
      </c>
      <c r="D108" s="59">
        <v>2.85</v>
      </c>
      <c r="E108" s="57">
        <v>4.45</v>
      </c>
      <c r="F108" s="57">
        <v>3.38</v>
      </c>
      <c r="G108" s="57">
        <v>4.8600000000000003</v>
      </c>
      <c r="H108" s="59">
        <v>1</v>
      </c>
      <c r="I108" s="57">
        <v>2752.5</v>
      </c>
      <c r="J108" s="57">
        <v>-5365</v>
      </c>
      <c r="L108" s="58" t="str">
        <f t="shared" si="2"/>
        <v>Q4 2023</v>
      </c>
      <c r="M108" s="60">
        <f t="shared" si="2"/>
        <v>5.8</v>
      </c>
      <c r="O108" s="60" t="str">
        <f t="shared" si="3"/>
        <v>Q4 2023</v>
      </c>
      <c r="P108" s="60">
        <f t="shared" si="4"/>
        <v>46.46</v>
      </c>
      <c r="R108" s="60" t="str">
        <f t="shared" si="17"/>
        <v>Q4 2023</v>
      </c>
      <c r="S108" s="60">
        <f t="shared" si="18"/>
        <v>2.85</v>
      </c>
      <c r="U108" s="60" t="str">
        <f t="shared" si="5"/>
        <v>Q4 2023</v>
      </c>
      <c r="V108" s="60">
        <f t="shared" si="6"/>
        <v>3.9</v>
      </c>
      <c r="X108" s="60" t="str">
        <f t="shared" si="7"/>
        <v>Q4 2023</v>
      </c>
      <c r="Y108" s="60">
        <f t="shared" si="8"/>
        <v>3</v>
      </c>
      <c r="AA108" s="58" t="str">
        <f t="shared" si="9"/>
        <v>Q4 2023</v>
      </c>
      <c r="AB108" s="60">
        <f t="shared" si="10"/>
        <v>4.9950000000000001</v>
      </c>
      <c r="AD108" s="58" t="str">
        <f t="shared" si="11"/>
        <v>Q4 2023</v>
      </c>
      <c r="AE108" s="60">
        <f t="shared" si="12"/>
        <v>1.3</v>
      </c>
      <c r="AG108" s="58" t="str">
        <f t="shared" si="13"/>
        <v>Q4 2023</v>
      </c>
      <c r="AH108" s="60">
        <f t="shared" si="14"/>
        <v>4547.6000000000004</v>
      </c>
      <c r="AJ108" s="58" t="str">
        <f t="shared" si="15"/>
        <v>Q4 2023</v>
      </c>
      <c r="AK108" s="60">
        <f t="shared" si="16"/>
        <v>-4508</v>
      </c>
    </row>
    <row r="109" spans="1:37" x14ac:dyDescent="0.25">
      <c r="A109" s="57" t="s">
        <v>251</v>
      </c>
      <c r="B109" s="59" t="e">
        <v>#N/A</v>
      </c>
      <c r="C109" s="57">
        <v>47.47</v>
      </c>
      <c r="D109" s="59" t="e">
        <v>#N/A</v>
      </c>
      <c r="E109" s="57" t="e">
        <v>#N/A</v>
      </c>
      <c r="F109" s="57" t="e">
        <v>#N/A</v>
      </c>
      <c r="G109" s="57">
        <v>4.6399999999999997</v>
      </c>
      <c r="H109" s="59" t="e">
        <v>#N/A</v>
      </c>
      <c r="I109" s="57" t="e">
        <v>#N/A</v>
      </c>
      <c r="J109" s="57" t="e">
        <v>#N/A</v>
      </c>
      <c r="L109" s="58" t="str">
        <f t="shared" si="2"/>
        <v>Q1 2024</v>
      </c>
      <c r="M109" s="60">
        <f t="shared" si="2"/>
        <v>5.9</v>
      </c>
      <c r="O109" s="60" t="str">
        <f t="shared" si="3"/>
        <v>Q1 2024</v>
      </c>
      <c r="P109" s="60">
        <f t="shared" si="4"/>
        <v>48.24</v>
      </c>
      <c r="R109" s="60" t="str">
        <f t="shared" si="17"/>
        <v>Q1 2024</v>
      </c>
      <c r="S109" s="60" t="e">
        <f t="shared" si="18"/>
        <v>#N/A</v>
      </c>
      <c r="U109" s="60" t="str">
        <f t="shared" si="5"/>
        <v>Q1 2024</v>
      </c>
      <c r="V109" s="60">
        <f t="shared" si="6"/>
        <v>4.45</v>
      </c>
      <c r="X109" s="60" t="str">
        <f t="shared" si="7"/>
        <v>Q1 2024</v>
      </c>
      <c r="Y109" s="60">
        <f t="shared" si="8"/>
        <v>3.38</v>
      </c>
      <c r="AA109" s="58" t="str">
        <f t="shared" si="9"/>
        <v>Q1 2024</v>
      </c>
      <c r="AB109" s="60">
        <f t="shared" si="10"/>
        <v>4.8600000000000003</v>
      </c>
      <c r="AD109" s="58" t="str">
        <f t="shared" si="11"/>
        <v>Q1 2024</v>
      </c>
      <c r="AE109" s="60">
        <f t="shared" si="12"/>
        <v>1</v>
      </c>
      <c r="AG109" s="58" t="str">
        <f t="shared" si="13"/>
        <v>Q1 2024</v>
      </c>
      <c r="AH109" s="60">
        <f t="shared" si="14"/>
        <v>2752.5</v>
      </c>
      <c r="AJ109" s="58" t="str">
        <f t="shared" si="15"/>
        <v>Q1 2024</v>
      </c>
      <c r="AK109" s="60">
        <f t="shared" si="16"/>
        <v>-5365</v>
      </c>
    </row>
  </sheetData>
  <dataValidations count="2">
    <dataValidation allowBlank="1" showErrorMessage="1" promptTitle="TRAFO" prompt="$A$67:$J$109" sqref="A67" xr:uid="{DF738CB6-D633-4A00-B8C2-F7757B7FB6F3}"/>
    <dataValidation allowBlank="1" showErrorMessage="1" promptTitle="TRAFO" prompt="$B$3:$C$11" sqref="B3" xr:uid="{A4505C5B-6A3E-4F49-A07A-7A2277C3F7CB}"/>
  </dataValidations>
  <printOptions gridLines="1" gridLinesSet="0"/>
  <pageMargins left="0.75" right="0.75" top="1" bottom="1" header="0.5" footer="0.5"/>
  <pageSetup paperSize="9" scale="40" orientation="landscape" horizontalDpi="300" verticalDpi="300" r:id="rId1"/>
  <headerFooter alignWithMargins="0">
    <oddHeader>&amp;A</oddHeader>
    <oddFooter>Page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743"/>
  <sheetViews>
    <sheetView zoomScale="118" zoomScaleNormal="100" workbookViewId="0">
      <pane ySplit="6" topLeftCell="A7" activePane="bottomLeft" state="frozen"/>
      <selection activeCell="E8" sqref="E8"/>
      <selection pane="bottomLeft" activeCell="E8" sqref="E8"/>
    </sheetView>
  </sheetViews>
  <sheetFormatPr defaultColWidth="9.28515625" defaultRowHeight="12.75" x14ac:dyDescent="0.2"/>
  <cols>
    <col min="1" max="1" width="3.28515625" style="10" customWidth="1"/>
    <col min="2" max="2" width="12.28515625" style="21" customWidth="1"/>
    <col min="3" max="3" width="26.42578125" style="21" customWidth="1"/>
    <col min="4" max="4" width="17.5703125" style="21" customWidth="1"/>
    <col min="5" max="5" width="40" style="26" customWidth="1"/>
    <col min="6" max="6" width="37.42578125" style="22" customWidth="1"/>
    <col min="7" max="7" width="15.5703125" style="23" customWidth="1"/>
    <col min="8" max="8" width="13.28515625" style="23" customWidth="1"/>
    <col min="9" max="9" width="12.7109375" style="23" customWidth="1"/>
    <col min="10" max="10" width="13.7109375" style="24" hidden="1" customWidth="1"/>
    <col min="11" max="11" width="48.28515625" style="25" customWidth="1"/>
    <col min="12" max="12" width="14.42578125" style="20" bestFit="1" customWidth="1"/>
    <col min="13" max="13" width="60.28515625" style="23" customWidth="1"/>
    <col min="14" max="14" width="5.5703125" style="24" customWidth="1"/>
    <col min="15" max="15" width="4.7109375" style="24" customWidth="1"/>
    <col min="16" max="19" width="8.7109375" style="24" customWidth="1"/>
    <col min="20" max="20" width="12" style="24" customWidth="1"/>
    <col min="21" max="21" width="1.71093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28515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7109375" style="10" customWidth="1"/>
    <col min="33" max="16384" width="9.28515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3"/>
      <c r="K1" s="5"/>
      <c r="L1" s="6"/>
      <c r="M1" s="4"/>
    </row>
    <row r="2" spans="1:89" s="1" customFormat="1" ht="36" customHeight="1" x14ac:dyDescent="0.25">
      <c r="A2" s="7"/>
      <c r="B2" s="2"/>
      <c r="C2" s="2"/>
      <c r="D2" s="2"/>
      <c r="E2" s="3"/>
      <c r="F2" s="3"/>
      <c r="G2" s="4"/>
      <c r="H2" s="4"/>
      <c r="I2" s="43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3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44"/>
      <c r="J4" s="12"/>
      <c r="K4" s="13"/>
      <c r="L4" s="29" t="s">
        <v>1</v>
      </c>
      <c r="M4" s="45">
        <v>45460</v>
      </c>
      <c r="W4" s="10"/>
      <c r="X4" s="10"/>
      <c r="AC4" s="10"/>
      <c r="AD4" s="10"/>
      <c r="AE4" s="10"/>
    </row>
    <row r="5" spans="1:89" s="18" customFormat="1" ht="12.75" customHeight="1" x14ac:dyDescent="0.2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5" t="s">
        <v>9</v>
      </c>
      <c r="K5" s="36"/>
      <c r="L5" s="94" t="s">
        <v>10</v>
      </c>
      <c r="M5" s="94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25">
      <c r="A6" s="33"/>
      <c r="B6" s="37"/>
      <c r="C6" s="31" t="s">
        <v>21</v>
      </c>
      <c r="D6" s="31"/>
      <c r="E6" s="38"/>
      <c r="F6" s="39"/>
      <c r="G6" s="40"/>
      <c r="H6" s="40"/>
      <c r="I6" s="30"/>
      <c r="J6" s="41"/>
      <c r="K6" s="32"/>
      <c r="L6" s="95"/>
      <c r="M6" s="95"/>
      <c r="N6" s="42" t="s">
        <v>13</v>
      </c>
      <c r="O6" s="42" t="s">
        <v>14</v>
      </c>
      <c r="P6" s="42" t="s">
        <v>15</v>
      </c>
      <c r="Q6" s="42" t="s">
        <v>16</v>
      </c>
      <c r="R6" s="42" t="s">
        <v>17</v>
      </c>
      <c r="S6" s="42" t="s">
        <v>18</v>
      </c>
      <c r="T6" s="42"/>
      <c r="U6" s="34"/>
      <c r="W6" s="10"/>
      <c r="X6" s="10"/>
      <c r="AC6" s="10"/>
      <c r="AD6" s="10"/>
      <c r="AE6" s="10"/>
      <c r="CK6" s="4"/>
    </row>
    <row r="7" spans="1:89" ht="14.1" customHeight="1" x14ac:dyDescent="0.2">
      <c r="A7" s="61"/>
      <c r="B7" s="62" t="s">
        <v>226</v>
      </c>
      <c r="C7" s="46" t="s">
        <v>21</v>
      </c>
      <c r="D7" s="46" t="s">
        <v>0</v>
      </c>
      <c r="E7" s="63" t="str">
        <f>HLOOKUP(WELCOME!B3,Data!B17:Z29,13,0)</f>
        <v>CNUN%TOTQ,CNCNFCONR,CNCPANNL,PCH#(CNM2....B,1Y),CNGBOND.,ECCADST,PCH#(CNGDP...C,1Y),CNVISBOPA,CNCURBALB</v>
      </c>
      <c r="F7" s="47" t="s">
        <v>227</v>
      </c>
      <c r="G7" s="47" t="s">
        <v>228</v>
      </c>
      <c r="H7" s="47"/>
      <c r="I7" s="47"/>
      <c r="J7" s="47" t="s">
        <v>229</v>
      </c>
      <c r="K7" s="79" t="s">
        <v>229</v>
      </c>
      <c r="L7" s="64" t="s">
        <v>230</v>
      </c>
      <c r="M7" s="65"/>
      <c r="N7" s="66">
        <v>9</v>
      </c>
      <c r="O7" s="66">
        <v>2</v>
      </c>
      <c r="P7" s="67">
        <v>18</v>
      </c>
      <c r="Q7" s="68">
        <v>0.58934027777777775</v>
      </c>
      <c r="R7" s="68">
        <v>0.58934027777777775</v>
      </c>
      <c r="S7" s="68">
        <v>1.1574074074074073E-5</v>
      </c>
      <c r="T7" s="69"/>
    </row>
    <row r="8" spans="1:89" ht="14.1" customHeight="1" x14ac:dyDescent="0.2">
      <c r="A8" s="61"/>
      <c r="B8" s="46" t="s">
        <v>226</v>
      </c>
      <c r="C8" s="46" t="s">
        <v>231</v>
      </c>
      <c r="D8" s="46" t="s">
        <v>232</v>
      </c>
      <c r="E8" s="63" t="str">
        <f>HLOOKUP(WELCOME!B3,Data!B17:Z29,13,0)</f>
        <v>CNUN%TOTQ,CNCNFCONR,CNCPANNL,PCH#(CNM2....B,1Y),CNGBOND.,ECCADST,PCH#(CNGDP...C,1Y),CNVISBOPA,CNCURBALB</v>
      </c>
      <c r="F8" s="47"/>
      <c r="G8" s="47" t="s">
        <v>233</v>
      </c>
      <c r="H8" s="47"/>
      <c r="I8" s="47" t="s">
        <v>234</v>
      </c>
      <c r="J8" s="47" t="s">
        <v>235</v>
      </c>
      <c r="K8" s="79" t="s">
        <v>235</v>
      </c>
      <c r="L8" s="47" t="s">
        <v>230</v>
      </c>
      <c r="M8" s="65"/>
      <c r="N8" s="66">
        <v>43</v>
      </c>
      <c r="O8" s="66">
        <v>10</v>
      </c>
      <c r="P8" s="67">
        <v>430</v>
      </c>
      <c r="Q8" s="68">
        <v>0.58934027777777775</v>
      </c>
      <c r="R8" s="68">
        <v>0.58934027777777775</v>
      </c>
      <c r="S8" s="68">
        <v>1.1574074074074073E-5</v>
      </c>
      <c r="T8" s="69"/>
    </row>
    <row r="9" spans="1:89" ht="14.1" customHeight="1" x14ac:dyDescent="0.2">
      <c r="A9" s="61"/>
      <c r="B9" s="46"/>
      <c r="C9" s="46"/>
      <c r="D9" s="46"/>
      <c r="E9" s="47"/>
      <c r="F9" s="47"/>
      <c r="G9" s="47"/>
      <c r="H9" s="47"/>
      <c r="I9" s="47"/>
      <c r="J9" s="47"/>
      <c r="K9" s="47"/>
      <c r="L9" s="47"/>
      <c r="M9" s="70"/>
      <c r="N9" s="71"/>
      <c r="O9" s="71"/>
      <c r="P9" s="72"/>
      <c r="Q9" s="73"/>
      <c r="R9" s="73"/>
      <c r="S9" s="73"/>
      <c r="T9" s="69"/>
    </row>
    <row r="10" spans="1:89" ht="14.1" customHeight="1" x14ac:dyDescent="0.2">
      <c r="A10" s="61"/>
      <c r="B10" s="46"/>
      <c r="C10" s="46"/>
      <c r="D10" s="46"/>
      <c r="E10" s="47"/>
      <c r="F10" s="47"/>
      <c r="G10" s="47"/>
      <c r="H10" s="47"/>
      <c r="I10" s="47"/>
      <c r="J10" s="47"/>
      <c r="K10" s="47"/>
      <c r="L10" s="47"/>
      <c r="M10" s="70"/>
      <c r="N10" s="71"/>
      <c r="O10" s="71"/>
      <c r="P10" s="72"/>
      <c r="Q10" s="73"/>
      <c r="R10" s="73"/>
      <c r="S10" s="73"/>
      <c r="T10" s="69"/>
    </row>
    <row r="11" spans="1:89" ht="14.1" customHeight="1" x14ac:dyDescent="0.2">
      <c r="A11" s="61"/>
      <c r="B11" s="74"/>
      <c r="C11" s="74"/>
      <c r="D11" s="46"/>
      <c r="E11" s="70"/>
      <c r="F11" s="70"/>
      <c r="G11" s="70"/>
      <c r="H11" s="70"/>
      <c r="I11" s="70"/>
      <c r="J11" s="70"/>
      <c r="K11" s="75"/>
      <c r="L11" s="70"/>
      <c r="M11" s="70"/>
      <c r="N11" s="71"/>
      <c r="O11" s="71"/>
      <c r="P11" s="72"/>
      <c r="Q11" s="76"/>
      <c r="R11" s="76"/>
      <c r="S11" s="76"/>
      <c r="T11" s="69"/>
    </row>
    <row r="12" spans="1:89" ht="14.1" customHeight="1" x14ac:dyDescent="0.2">
      <c r="A12" s="61"/>
      <c r="B12" s="74"/>
      <c r="C12" s="74"/>
      <c r="D12" s="46"/>
      <c r="E12" s="70"/>
      <c r="F12" s="70"/>
      <c r="G12" s="70"/>
      <c r="H12" s="70"/>
      <c r="I12" s="70"/>
      <c r="J12" s="70"/>
      <c r="K12" s="75"/>
      <c r="L12" s="70"/>
      <c r="M12" s="70"/>
      <c r="N12" s="71"/>
      <c r="O12" s="71"/>
      <c r="P12" s="72"/>
      <c r="Q12" s="76"/>
      <c r="R12" s="76"/>
      <c r="S12" s="76"/>
      <c r="T12" s="69"/>
    </row>
    <row r="13" spans="1:89" ht="14.1" customHeight="1" x14ac:dyDescent="0.2">
      <c r="A13" s="61"/>
      <c r="B13" s="74"/>
      <c r="C13" s="74"/>
      <c r="D13" s="46"/>
      <c r="E13" s="70"/>
      <c r="F13" s="70"/>
      <c r="G13" s="70"/>
      <c r="H13" s="70"/>
      <c r="I13" s="70"/>
      <c r="J13" s="70"/>
      <c r="K13" s="75"/>
      <c r="L13" s="70"/>
      <c r="M13" s="70"/>
      <c r="N13" s="71"/>
      <c r="O13" s="71"/>
      <c r="P13" s="72"/>
      <c r="Q13" s="76"/>
      <c r="R13" s="76"/>
      <c r="S13" s="76"/>
      <c r="T13" s="69"/>
    </row>
    <row r="14" spans="1:89" ht="14.1" customHeight="1" x14ac:dyDescent="0.2">
      <c r="A14" s="61"/>
      <c r="B14" s="74"/>
      <c r="C14" s="74"/>
      <c r="D14" s="46"/>
      <c r="E14" s="70"/>
      <c r="F14" s="70"/>
      <c r="G14" s="70"/>
      <c r="H14" s="70"/>
      <c r="I14" s="70"/>
      <c r="J14" s="70"/>
      <c r="K14" s="75"/>
      <c r="L14" s="70"/>
      <c r="M14" s="70"/>
      <c r="N14" s="71"/>
      <c r="O14" s="71"/>
      <c r="P14" s="72"/>
      <c r="Q14" s="76"/>
      <c r="R14" s="76"/>
      <c r="S14" s="76"/>
      <c r="T14" s="69"/>
    </row>
    <row r="15" spans="1:89" ht="14.1" customHeight="1" x14ac:dyDescent="0.2">
      <c r="A15" s="61"/>
      <c r="B15" s="74"/>
      <c r="C15" s="74"/>
      <c r="D15" s="46"/>
      <c r="E15" s="70"/>
      <c r="F15" s="70"/>
      <c r="G15" s="70"/>
      <c r="H15" s="70"/>
      <c r="I15" s="70"/>
      <c r="J15" s="70"/>
      <c r="K15" s="75"/>
      <c r="L15" s="70"/>
      <c r="M15" s="70"/>
      <c r="N15" s="71"/>
      <c r="O15" s="71"/>
      <c r="P15" s="72"/>
      <c r="Q15" s="76"/>
      <c r="R15" s="76"/>
      <c r="S15" s="76"/>
      <c r="T15" s="69"/>
    </row>
    <row r="16" spans="1:89" ht="14.1" customHeight="1" x14ac:dyDescent="0.2">
      <c r="A16" s="61"/>
      <c r="B16" s="74"/>
      <c r="C16" s="74"/>
      <c r="D16" s="46"/>
      <c r="E16" s="70"/>
      <c r="F16" s="70"/>
      <c r="G16" s="70"/>
      <c r="H16" s="70"/>
      <c r="I16" s="70"/>
      <c r="J16" s="70"/>
      <c r="K16" s="70"/>
      <c r="L16" s="70"/>
      <c r="M16" s="70"/>
      <c r="N16" s="71"/>
      <c r="O16" s="71"/>
      <c r="P16" s="72"/>
      <c r="Q16" s="76"/>
      <c r="R16" s="76"/>
      <c r="S16" s="76"/>
      <c r="T16" s="69"/>
    </row>
    <row r="17" spans="1:20" ht="14.1" customHeight="1" x14ac:dyDescent="0.2">
      <c r="A17" s="61"/>
      <c r="B17" s="74"/>
      <c r="C17" s="74"/>
      <c r="D17" s="46"/>
      <c r="E17" s="70"/>
      <c r="F17" s="70"/>
      <c r="G17" s="70"/>
      <c r="H17" s="70"/>
      <c r="I17" s="70"/>
      <c r="J17" s="70"/>
      <c r="K17" s="70"/>
      <c r="L17" s="70"/>
      <c r="M17" s="70"/>
      <c r="N17" s="71"/>
      <c r="O17" s="71"/>
      <c r="P17" s="72"/>
      <c r="Q17" s="76"/>
      <c r="R17" s="76"/>
      <c r="S17" s="76"/>
      <c r="T17" s="69"/>
    </row>
    <row r="18" spans="1:20" ht="14.1" customHeight="1" x14ac:dyDescent="0.2">
      <c r="A18" s="61"/>
      <c r="B18" s="74"/>
      <c r="C18" s="74"/>
      <c r="D18" s="46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71"/>
      <c r="P18" s="72"/>
      <c r="Q18" s="76"/>
      <c r="R18" s="76"/>
      <c r="S18" s="76"/>
      <c r="T18" s="69"/>
    </row>
    <row r="19" spans="1:20" ht="14.1" customHeight="1" x14ac:dyDescent="0.2">
      <c r="A19" s="61"/>
      <c r="B19" s="74"/>
      <c r="C19" s="74"/>
      <c r="D19" s="46"/>
      <c r="E19" s="70"/>
      <c r="F19" s="70"/>
      <c r="G19" s="70"/>
      <c r="H19" s="70"/>
      <c r="I19" s="70"/>
      <c r="J19" s="70"/>
      <c r="K19" s="70"/>
      <c r="L19" s="70"/>
      <c r="M19" s="70"/>
      <c r="N19" s="71"/>
      <c r="O19" s="71"/>
      <c r="P19" s="72"/>
      <c r="Q19" s="76"/>
      <c r="R19" s="76"/>
      <c r="S19" s="76"/>
      <c r="T19" s="69"/>
    </row>
    <row r="20" spans="1:20" ht="14.1" customHeight="1" x14ac:dyDescent="0.2">
      <c r="A20" s="61"/>
      <c r="B20" s="74"/>
      <c r="C20" s="74"/>
      <c r="D20" s="46"/>
      <c r="E20" s="70"/>
      <c r="F20" s="70"/>
      <c r="G20" s="70"/>
      <c r="H20" s="70"/>
      <c r="I20" s="70"/>
      <c r="J20" s="70"/>
      <c r="K20" s="70"/>
      <c r="L20" s="70"/>
      <c r="M20" s="70"/>
      <c r="N20" s="71"/>
      <c r="O20" s="71"/>
      <c r="P20" s="72"/>
      <c r="Q20" s="76"/>
      <c r="R20" s="76"/>
      <c r="S20" s="76"/>
      <c r="T20" s="69"/>
    </row>
    <row r="21" spans="1:20" ht="14.1" customHeight="1" x14ac:dyDescent="0.2">
      <c r="A21" s="61"/>
      <c r="B21" s="74"/>
      <c r="C21" s="74"/>
      <c r="D21" s="46"/>
      <c r="E21" s="70"/>
      <c r="F21" s="70"/>
      <c r="G21" s="70"/>
      <c r="H21" s="70"/>
      <c r="I21" s="70"/>
      <c r="J21" s="70"/>
      <c r="K21" s="70"/>
      <c r="L21" s="70"/>
      <c r="M21" s="70"/>
      <c r="N21" s="71"/>
      <c r="O21" s="71"/>
      <c r="P21" s="72"/>
      <c r="Q21" s="76"/>
      <c r="R21" s="76"/>
      <c r="S21" s="76"/>
      <c r="T21" s="69"/>
    </row>
    <row r="22" spans="1:20" ht="14.1" customHeight="1" x14ac:dyDescent="0.2">
      <c r="A22" s="61"/>
      <c r="B22" s="74"/>
      <c r="C22" s="74"/>
      <c r="D22" s="46"/>
      <c r="E22" s="70"/>
      <c r="F22" s="70"/>
      <c r="G22" s="70"/>
      <c r="H22" s="70"/>
      <c r="I22" s="70"/>
      <c r="J22" s="70"/>
      <c r="K22" s="70"/>
      <c r="L22" s="70"/>
      <c r="M22" s="70"/>
      <c r="N22" s="71"/>
      <c r="O22" s="71"/>
      <c r="P22" s="72"/>
      <c r="Q22" s="76"/>
      <c r="R22" s="76"/>
      <c r="S22" s="76"/>
      <c r="T22" s="69"/>
    </row>
    <row r="23" spans="1:20" ht="14.1" customHeight="1" x14ac:dyDescent="0.2">
      <c r="A23" s="61"/>
      <c r="B23" s="74"/>
      <c r="C23" s="74"/>
      <c r="D23" s="46"/>
      <c r="E23" s="70"/>
      <c r="F23" s="70"/>
      <c r="G23" s="70"/>
      <c r="H23" s="70"/>
      <c r="I23" s="70"/>
      <c r="J23" s="70"/>
      <c r="K23" s="70"/>
      <c r="L23" s="70"/>
      <c r="M23" s="70"/>
      <c r="N23" s="71"/>
      <c r="O23" s="71"/>
      <c r="P23" s="72"/>
      <c r="Q23" s="76"/>
      <c r="R23" s="76"/>
      <c r="S23" s="76"/>
      <c r="T23" s="69"/>
    </row>
    <row r="24" spans="1:20" ht="14.1" customHeight="1" x14ac:dyDescent="0.2">
      <c r="A24" s="61"/>
      <c r="B24" s="74"/>
      <c r="C24" s="74"/>
      <c r="D24" s="74"/>
      <c r="E24" s="70"/>
      <c r="F24" s="70"/>
      <c r="G24" s="70"/>
      <c r="H24" s="70"/>
      <c r="I24" s="70"/>
      <c r="J24" s="70"/>
      <c r="K24" s="70"/>
      <c r="L24" s="70"/>
      <c r="M24" s="70"/>
      <c r="N24" s="71"/>
      <c r="O24" s="71"/>
      <c r="P24" s="72"/>
      <c r="Q24" s="76"/>
      <c r="R24" s="76"/>
      <c r="S24" s="76"/>
      <c r="T24" s="69"/>
    </row>
    <row r="25" spans="1:20" ht="14.1" customHeight="1" x14ac:dyDescent="0.2">
      <c r="A25" s="61"/>
      <c r="B25" s="74"/>
      <c r="C25" s="74"/>
      <c r="D25" s="74"/>
      <c r="E25" s="70"/>
      <c r="F25" s="70"/>
      <c r="G25" s="70"/>
      <c r="H25" s="70"/>
      <c r="I25" s="70"/>
      <c r="J25" s="70"/>
      <c r="K25" s="70"/>
      <c r="L25" s="70"/>
      <c r="M25" s="70"/>
      <c r="N25" s="71"/>
      <c r="O25" s="71"/>
      <c r="P25" s="72"/>
      <c r="Q25" s="76"/>
      <c r="R25" s="76"/>
      <c r="S25" s="76"/>
      <c r="T25" s="69"/>
    </row>
    <row r="26" spans="1:20" ht="14.1" customHeight="1" x14ac:dyDescent="0.2">
      <c r="A26" s="61"/>
      <c r="B26" s="74"/>
      <c r="C26" s="74"/>
      <c r="D26" s="74"/>
      <c r="E26" s="70"/>
      <c r="F26" s="70"/>
      <c r="G26" s="70"/>
      <c r="H26" s="70"/>
      <c r="I26" s="70"/>
      <c r="J26" s="70"/>
      <c r="K26" s="70"/>
      <c r="L26" s="70"/>
      <c r="M26" s="70"/>
      <c r="N26" s="71"/>
      <c r="O26" s="71"/>
      <c r="P26" s="72"/>
      <c r="Q26" s="76"/>
      <c r="R26" s="76"/>
      <c r="S26" s="76"/>
      <c r="T26" s="69"/>
    </row>
    <row r="27" spans="1:20" ht="14.1" customHeight="1" x14ac:dyDescent="0.2">
      <c r="A27" s="61"/>
      <c r="B27" s="74"/>
      <c r="C27" s="74"/>
      <c r="D27" s="74"/>
      <c r="E27" s="70"/>
      <c r="F27" s="70"/>
      <c r="G27" s="70"/>
      <c r="H27" s="70"/>
      <c r="I27" s="70"/>
      <c r="J27" s="70"/>
      <c r="K27" s="70"/>
      <c r="L27" s="70"/>
      <c r="M27" s="70"/>
      <c r="N27" s="71"/>
      <c r="O27" s="71"/>
      <c r="P27" s="72"/>
      <c r="Q27" s="76"/>
      <c r="R27" s="76"/>
      <c r="S27" s="76"/>
      <c r="T27" s="69"/>
    </row>
    <row r="28" spans="1:20" ht="14.1" customHeight="1" x14ac:dyDescent="0.2">
      <c r="A28" s="61"/>
      <c r="B28" s="74"/>
      <c r="C28" s="74"/>
      <c r="D28" s="74"/>
      <c r="E28" s="70"/>
      <c r="F28" s="70"/>
      <c r="G28" s="70"/>
      <c r="H28" s="70"/>
      <c r="I28" s="70"/>
      <c r="J28" s="70"/>
      <c r="K28" s="70"/>
      <c r="L28" s="70"/>
      <c r="M28" s="70"/>
      <c r="N28" s="71"/>
      <c r="O28" s="71"/>
      <c r="P28" s="72"/>
      <c r="Q28" s="76"/>
      <c r="R28" s="76"/>
      <c r="S28" s="76"/>
      <c r="T28" s="69"/>
    </row>
    <row r="29" spans="1:20" ht="14.1" customHeight="1" x14ac:dyDescent="0.2">
      <c r="A29" s="61"/>
      <c r="B29" s="74"/>
      <c r="C29" s="74"/>
      <c r="D29" s="74"/>
      <c r="E29" s="70"/>
      <c r="F29" s="70"/>
      <c r="G29" s="70"/>
      <c r="H29" s="70"/>
      <c r="I29" s="70"/>
      <c r="J29" s="70"/>
      <c r="K29" s="70"/>
      <c r="L29" s="70"/>
      <c r="M29" s="70"/>
      <c r="N29" s="71"/>
      <c r="O29" s="71"/>
      <c r="P29" s="72"/>
      <c r="Q29" s="76"/>
      <c r="R29" s="76"/>
      <c r="S29" s="76"/>
      <c r="T29" s="69"/>
    </row>
    <row r="30" spans="1:20" ht="14.1" customHeight="1" x14ac:dyDescent="0.2">
      <c r="A30" s="61"/>
      <c r="B30" s="74"/>
      <c r="C30" s="74"/>
      <c r="D30" s="74"/>
      <c r="E30" s="70"/>
      <c r="F30" s="70"/>
      <c r="G30" s="70"/>
      <c r="H30" s="70"/>
      <c r="I30" s="70"/>
      <c r="J30" s="70"/>
      <c r="K30" s="70"/>
      <c r="L30" s="70"/>
      <c r="M30" s="70"/>
      <c r="N30" s="71"/>
      <c r="O30" s="71"/>
      <c r="P30" s="72"/>
      <c r="Q30" s="76"/>
      <c r="R30" s="76"/>
      <c r="S30" s="76"/>
      <c r="T30" s="69"/>
    </row>
    <row r="31" spans="1:20" ht="14.1" customHeight="1" x14ac:dyDescent="0.2">
      <c r="A31" s="61"/>
      <c r="B31" s="74"/>
      <c r="C31" s="74"/>
      <c r="D31" s="74"/>
      <c r="E31" s="70"/>
      <c r="F31" s="70"/>
      <c r="G31" s="70"/>
      <c r="H31" s="70"/>
      <c r="I31" s="70"/>
      <c r="J31" s="70"/>
      <c r="K31" s="70"/>
      <c r="L31" s="70"/>
      <c r="M31" s="70"/>
      <c r="N31" s="71"/>
      <c r="O31" s="71"/>
      <c r="P31" s="72"/>
      <c r="Q31" s="76"/>
      <c r="R31" s="76"/>
      <c r="S31" s="76"/>
      <c r="T31" s="69"/>
    </row>
    <row r="32" spans="1:20" ht="14.1" customHeight="1" x14ac:dyDescent="0.2">
      <c r="A32" s="61"/>
      <c r="B32" s="74"/>
      <c r="C32" s="74"/>
      <c r="D32" s="74"/>
      <c r="E32" s="70"/>
      <c r="F32" s="70"/>
      <c r="G32" s="70"/>
      <c r="H32" s="70"/>
      <c r="I32" s="70"/>
      <c r="J32" s="70"/>
      <c r="K32" s="70"/>
      <c r="L32" s="70"/>
      <c r="M32" s="70"/>
      <c r="N32" s="71"/>
      <c r="O32" s="71"/>
      <c r="P32" s="72"/>
      <c r="Q32" s="76"/>
      <c r="R32" s="76"/>
      <c r="S32" s="76"/>
      <c r="T32" s="69"/>
    </row>
    <row r="33" spans="1:20" ht="14.1" customHeight="1" x14ac:dyDescent="0.2">
      <c r="A33" s="61"/>
      <c r="B33" s="74"/>
      <c r="C33" s="74"/>
      <c r="D33" s="74"/>
      <c r="E33" s="70"/>
      <c r="F33" s="70"/>
      <c r="G33" s="70"/>
      <c r="H33" s="70"/>
      <c r="I33" s="70"/>
      <c r="J33" s="70"/>
      <c r="K33" s="70"/>
      <c r="L33" s="70"/>
      <c r="M33" s="70"/>
      <c r="N33" s="71"/>
      <c r="O33" s="71"/>
      <c r="P33" s="72"/>
      <c r="Q33" s="76"/>
      <c r="R33" s="76"/>
      <c r="S33" s="76"/>
      <c r="T33" s="69"/>
    </row>
    <row r="34" spans="1:20" ht="14.1" customHeight="1" x14ac:dyDescent="0.2">
      <c r="A34" s="61"/>
      <c r="B34" s="74"/>
      <c r="C34" s="74"/>
      <c r="D34" s="74"/>
      <c r="E34" s="70"/>
      <c r="F34" s="70"/>
      <c r="G34" s="70"/>
      <c r="H34" s="70"/>
      <c r="I34" s="70"/>
      <c r="J34" s="70"/>
      <c r="K34" s="70"/>
      <c r="L34" s="70"/>
      <c r="M34" s="70"/>
      <c r="N34" s="71"/>
      <c r="O34" s="71"/>
      <c r="P34" s="72"/>
      <c r="Q34" s="76"/>
      <c r="R34" s="76"/>
      <c r="S34" s="76"/>
      <c r="T34" s="69"/>
    </row>
    <row r="35" spans="1:20" ht="14.1" customHeight="1" x14ac:dyDescent="0.2">
      <c r="A35" s="61"/>
      <c r="B35" s="74"/>
      <c r="C35" s="74"/>
      <c r="D35" s="74"/>
      <c r="E35" s="70"/>
      <c r="F35" s="70"/>
      <c r="G35" s="70"/>
      <c r="H35" s="70"/>
      <c r="I35" s="70"/>
      <c r="J35" s="70"/>
      <c r="K35" s="70"/>
      <c r="L35" s="70"/>
      <c r="M35" s="70"/>
      <c r="N35" s="71"/>
      <c r="O35" s="71"/>
      <c r="P35" s="72"/>
      <c r="Q35" s="76"/>
      <c r="R35" s="76"/>
      <c r="S35" s="76"/>
      <c r="T35" s="69"/>
    </row>
    <row r="36" spans="1:20" ht="14.1" customHeight="1" x14ac:dyDescent="0.2">
      <c r="A36" s="61"/>
      <c r="B36" s="74"/>
      <c r="C36" s="74"/>
      <c r="D36" s="74"/>
      <c r="E36" s="70"/>
      <c r="F36" s="70"/>
      <c r="G36" s="70"/>
      <c r="H36" s="70"/>
      <c r="I36" s="70"/>
      <c r="J36" s="70"/>
      <c r="K36" s="70"/>
      <c r="L36" s="70"/>
      <c r="M36" s="70"/>
      <c r="N36" s="71"/>
      <c r="O36" s="71"/>
      <c r="P36" s="72"/>
      <c r="Q36" s="76"/>
      <c r="R36" s="76"/>
      <c r="S36" s="76"/>
      <c r="T36" s="69"/>
    </row>
    <row r="37" spans="1:20" ht="14.1" customHeight="1" x14ac:dyDescent="0.2">
      <c r="A37" s="61"/>
      <c r="B37" s="74"/>
      <c r="C37" s="74"/>
      <c r="D37" s="74"/>
      <c r="E37" s="70"/>
      <c r="F37" s="70"/>
      <c r="G37" s="70"/>
      <c r="H37" s="70"/>
      <c r="I37" s="70"/>
      <c r="J37" s="70"/>
      <c r="K37" s="70"/>
      <c r="L37" s="70"/>
      <c r="M37" s="70"/>
      <c r="N37" s="71"/>
      <c r="O37" s="71"/>
      <c r="P37" s="72"/>
      <c r="Q37" s="76"/>
      <c r="R37" s="76"/>
      <c r="S37" s="76"/>
      <c r="T37" s="69"/>
    </row>
    <row r="38" spans="1:20" ht="14.1" customHeight="1" x14ac:dyDescent="0.2">
      <c r="A38" s="61"/>
      <c r="B38" s="74"/>
      <c r="C38" s="74"/>
      <c r="D38" s="74"/>
      <c r="E38" s="70"/>
      <c r="F38" s="70"/>
      <c r="G38" s="70"/>
      <c r="H38" s="70"/>
      <c r="I38" s="70"/>
      <c r="J38" s="70"/>
      <c r="K38" s="70"/>
      <c r="L38" s="70"/>
      <c r="M38" s="70"/>
      <c r="N38" s="71"/>
      <c r="O38" s="71"/>
      <c r="P38" s="72"/>
      <c r="Q38" s="76"/>
      <c r="R38" s="76"/>
      <c r="S38" s="76"/>
      <c r="T38" s="69"/>
    </row>
    <row r="39" spans="1:20" ht="14.1" customHeight="1" x14ac:dyDescent="0.2">
      <c r="A39" s="61"/>
      <c r="B39" s="74"/>
      <c r="C39" s="74"/>
      <c r="D39" s="74"/>
      <c r="E39" s="70"/>
      <c r="F39" s="70"/>
      <c r="G39" s="70"/>
      <c r="H39" s="70"/>
      <c r="I39" s="70"/>
      <c r="J39" s="70"/>
      <c r="K39" s="70"/>
      <c r="L39" s="70"/>
      <c r="M39" s="70"/>
      <c r="N39" s="71"/>
      <c r="O39" s="71"/>
      <c r="P39" s="72"/>
      <c r="Q39" s="76"/>
      <c r="R39" s="76"/>
      <c r="S39" s="76"/>
      <c r="T39" s="69"/>
    </row>
    <row r="40" spans="1:20" ht="14.1" customHeight="1" x14ac:dyDescent="0.2">
      <c r="A40" s="61"/>
      <c r="B40" s="74"/>
      <c r="C40" s="74"/>
      <c r="D40" s="74"/>
      <c r="E40" s="70"/>
      <c r="F40" s="70"/>
      <c r="G40" s="70"/>
      <c r="H40" s="70"/>
      <c r="I40" s="70"/>
      <c r="J40" s="70"/>
      <c r="K40" s="70"/>
      <c r="L40" s="70"/>
      <c r="M40" s="70"/>
      <c r="N40" s="71"/>
      <c r="O40" s="71"/>
      <c r="P40" s="72"/>
      <c r="Q40" s="76"/>
      <c r="R40" s="76"/>
      <c r="S40" s="76"/>
      <c r="T40" s="69"/>
    </row>
    <row r="41" spans="1:20" ht="14.1" customHeight="1" x14ac:dyDescent="0.2">
      <c r="A41" s="61"/>
      <c r="B41" s="74"/>
      <c r="C41" s="74"/>
      <c r="D41" s="74"/>
      <c r="E41" s="70"/>
      <c r="F41" s="70"/>
      <c r="G41" s="70"/>
      <c r="H41" s="70"/>
      <c r="I41" s="70"/>
      <c r="J41" s="70"/>
      <c r="K41" s="70"/>
      <c r="L41" s="70"/>
      <c r="M41" s="70"/>
      <c r="N41" s="71"/>
      <c r="O41" s="71"/>
      <c r="P41" s="72"/>
      <c r="Q41" s="76"/>
      <c r="R41" s="76"/>
      <c r="S41" s="76"/>
      <c r="T41" s="69"/>
    </row>
    <row r="42" spans="1:20" ht="14.1" customHeight="1" x14ac:dyDescent="0.2">
      <c r="A42" s="61"/>
      <c r="B42" s="74"/>
      <c r="C42" s="74"/>
      <c r="D42" s="74"/>
      <c r="E42" s="70"/>
      <c r="F42" s="70"/>
      <c r="G42" s="70"/>
      <c r="H42" s="70"/>
      <c r="I42" s="70"/>
      <c r="J42" s="70"/>
      <c r="K42" s="70"/>
      <c r="L42" s="70"/>
      <c r="M42" s="70"/>
      <c r="N42" s="71"/>
      <c r="O42" s="71"/>
      <c r="P42" s="72"/>
      <c r="Q42" s="76"/>
      <c r="R42" s="76"/>
      <c r="S42" s="76"/>
      <c r="T42" s="69"/>
    </row>
    <row r="43" spans="1:20" ht="14.1" customHeight="1" x14ac:dyDescent="0.2">
      <c r="A43" s="61"/>
      <c r="B43" s="74"/>
      <c r="C43" s="74"/>
      <c r="D43" s="74"/>
      <c r="E43" s="70"/>
      <c r="F43" s="70"/>
      <c r="G43" s="70"/>
      <c r="H43" s="70"/>
      <c r="I43" s="70"/>
      <c r="J43" s="70"/>
      <c r="K43" s="70"/>
      <c r="L43" s="70"/>
      <c r="M43" s="70"/>
      <c r="N43" s="71"/>
      <c r="O43" s="71"/>
      <c r="P43" s="72"/>
      <c r="Q43" s="76"/>
      <c r="R43" s="76"/>
      <c r="S43" s="76"/>
      <c r="T43" s="69"/>
    </row>
    <row r="44" spans="1:20" ht="14.1" customHeight="1" x14ac:dyDescent="0.2">
      <c r="A44" s="61"/>
      <c r="B44" s="74"/>
      <c r="C44" s="74"/>
      <c r="D44" s="74"/>
      <c r="E44" s="70"/>
      <c r="F44" s="70"/>
      <c r="G44" s="70"/>
      <c r="H44" s="70"/>
      <c r="I44" s="70"/>
      <c r="J44" s="70"/>
      <c r="K44" s="70"/>
      <c r="L44" s="70"/>
      <c r="M44" s="70"/>
      <c r="N44" s="71"/>
      <c r="O44" s="71"/>
      <c r="P44" s="72"/>
      <c r="Q44" s="76"/>
      <c r="R44" s="76"/>
      <c r="S44" s="76"/>
      <c r="T44" s="69"/>
    </row>
    <row r="45" spans="1:20" ht="14.1" customHeight="1" x14ac:dyDescent="0.2">
      <c r="A45" s="61"/>
      <c r="B45" s="74"/>
      <c r="C45" s="74"/>
      <c r="D45" s="74"/>
      <c r="E45" s="70"/>
      <c r="F45" s="70"/>
      <c r="G45" s="70"/>
      <c r="H45" s="70"/>
      <c r="I45" s="70"/>
      <c r="J45" s="70"/>
      <c r="K45" s="70"/>
      <c r="L45" s="70"/>
      <c r="M45" s="70"/>
      <c r="N45" s="71"/>
      <c r="O45" s="71"/>
      <c r="P45" s="72"/>
      <c r="Q45" s="76"/>
      <c r="R45" s="76"/>
      <c r="S45" s="76"/>
      <c r="T45" s="69"/>
    </row>
    <row r="46" spans="1:20" ht="14.1" customHeight="1" x14ac:dyDescent="0.2">
      <c r="A46" s="61"/>
      <c r="B46" s="74"/>
      <c r="C46" s="74"/>
      <c r="D46" s="74"/>
      <c r="E46" s="70"/>
      <c r="F46" s="70"/>
      <c r="G46" s="70"/>
      <c r="H46" s="70"/>
      <c r="I46" s="70"/>
      <c r="J46" s="70"/>
      <c r="K46" s="70"/>
      <c r="L46" s="70"/>
      <c r="M46" s="70"/>
      <c r="N46" s="71"/>
      <c r="O46" s="71"/>
      <c r="P46" s="72"/>
      <c r="Q46" s="76"/>
      <c r="R46" s="76"/>
      <c r="S46" s="76"/>
      <c r="T46" s="69"/>
    </row>
    <row r="47" spans="1:20" ht="14.1" customHeight="1" x14ac:dyDescent="0.2">
      <c r="A47" s="61"/>
      <c r="B47" s="74"/>
      <c r="C47" s="74"/>
      <c r="D47" s="74"/>
      <c r="E47" s="70"/>
      <c r="F47" s="70"/>
      <c r="G47" s="70"/>
      <c r="H47" s="70"/>
      <c r="I47" s="70"/>
      <c r="J47" s="70"/>
      <c r="K47" s="70"/>
      <c r="L47" s="70"/>
      <c r="M47" s="70"/>
      <c r="N47" s="71"/>
      <c r="O47" s="71"/>
      <c r="P47" s="72"/>
      <c r="Q47" s="76"/>
      <c r="R47" s="76"/>
      <c r="S47" s="76"/>
      <c r="T47" s="69"/>
    </row>
    <row r="48" spans="1:20" ht="14.1" customHeight="1" x14ac:dyDescent="0.2">
      <c r="A48" s="61"/>
      <c r="B48" s="74"/>
      <c r="C48" s="74"/>
      <c r="D48" s="74"/>
      <c r="E48" s="70"/>
      <c r="F48" s="70"/>
      <c r="G48" s="70"/>
      <c r="H48" s="70"/>
      <c r="I48" s="70"/>
      <c r="J48" s="70"/>
      <c r="K48" s="70"/>
      <c r="L48" s="70"/>
      <c r="M48" s="70"/>
      <c r="N48" s="71"/>
      <c r="O48" s="71"/>
      <c r="P48" s="72"/>
      <c r="Q48" s="76"/>
      <c r="R48" s="76"/>
      <c r="S48" s="76"/>
      <c r="T48" s="69"/>
    </row>
    <row r="49" spans="1:20" ht="14.1" customHeight="1" x14ac:dyDescent="0.2">
      <c r="A49" s="61"/>
      <c r="B49" s="74"/>
      <c r="C49" s="74"/>
      <c r="D49" s="74"/>
      <c r="E49" s="70"/>
      <c r="F49" s="70"/>
      <c r="G49" s="70"/>
      <c r="H49" s="70"/>
      <c r="I49" s="70"/>
      <c r="J49" s="70"/>
      <c r="K49" s="70"/>
      <c r="L49" s="70"/>
      <c r="M49" s="70"/>
      <c r="N49" s="71"/>
      <c r="O49" s="71"/>
      <c r="P49" s="72"/>
      <c r="Q49" s="76"/>
      <c r="R49" s="76"/>
      <c r="S49" s="76"/>
      <c r="T49" s="69"/>
    </row>
    <row r="50" spans="1:20" ht="14.1" customHeight="1" x14ac:dyDescent="0.2">
      <c r="A50" s="61"/>
      <c r="B50" s="74"/>
      <c r="C50" s="74"/>
      <c r="D50" s="74"/>
      <c r="E50" s="70"/>
      <c r="F50" s="70"/>
      <c r="G50" s="70"/>
      <c r="H50" s="70"/>
      <c r="I50" s="70"/>
      <c r="J50" s="70"/>
      <c r="K50" s="70"/>
      <c r="L50" s="70"/>
      <c r="M50" s="70"/>
      <c r="N50" s="71"/>
      <c r="O50" s="71"/>
      <c r="P50" s="72"/>
      <c r="Q50" s="76"/>
      <c r="R50" s="76"/>
      <c r="S50" s="76"/>
      <c r="T50" s="69"/>
    </row>
    <row r="51" spans="1:20" ht="14.1" customHeight="1" x14ac:dyDescent="0.2">
      <c r="A51" s="61"/>
      <c r="B51" s="74"/>
      <c r="C51" s="74"/>
      <c r="D51" s="74"/>
      <c r="E51" s="70"/>
      <c r="F51" s="70"/>
      <c r="G51" s="70"/>
      <c r="H51" s="70"/>
      <c r="I51" s="70"/>
      <c r="J51" s="70"/>
      <c r="K51" s="70"/>
      <c r="L51" s="70"/>
      <c r="M51" s="70"/>
      <c r="N51" s="71"/>
      <c r="O51" s="71"/>
      <c r="P51" s="72"/>
      <c r="Q51" s="76"/>
      <c r="R51" s="76"/>
      <c r="S51" s="76"/>
      <c r="T51" s="69"/>
    </row>
    <row r="52" spans="1:20" ht="14.1" customHeight="1" x14ac:dyDescent="0.2">
      <c r="A52" s="61"/>
      <c r="B52" s="74"/>
      <c r="C52" s="74"/>
      <c r="D52" s="74"/>
      <c r="E52" s="70"/>
      <c r="F52" s="70"/>
      <c r="G52" s="70"/>
      <c r="H52" s="70"/>
      <c r="I52" s="70"/>
      <c r="J52" s="70"/>
      <c r="K52" s="70"/>
      <c r="L52" s="70"/>
      <c r="M52" s="70"/>
      <c r="N52" s="71"/>
      <c r="O52" s="71"/>
      <c r="P52" s="72"/>
      <c r="Q52" s="76"/>
      <c r="R52" s="76"/>
      <c r="S52" s="76"/>
      <c r="T52" s="69"/>
    </row>
    <row r="53" spans="1:20" ht="14.1" customHeight="1" x14ac:dyDescent="0.2">
      <c r="A53" s="61"/>
      <c r="B53" s="74"/>
      <c r="C53" s="74"/>
      <c r="D53" s="74"/>
      <c r="E53" s="70"/>
      <c r="F53" s="70"/>
      <c r="G53" s="70"/>
      <c r="H53" s="70"/>
      <c r="I53" s="70"/>
      <c r="J53" s="70"/>
      <c r="K53" s="70"/>
      <c r="L53" s="70"/>
      <c r="M53" s="70"/>
      <c r="N53" s="71"/>
      <c r="O53" s="71"/>
      <c r="P53" s="72"/>
      <c r="Q53" s="76"/>
      <c r="R53" s="76"/>
      <c r="S53" s="76"/>
      <c r="T53" s="69"/>
    </row>
    <row r="54" spans="1:20" ht="14.1" customHeight="1" x14ac:dyDescent="0.2">
      <c r="A54" s="61"/>
      <c r="B54" s="74"/>
      <c r="C54" s="74"/>
      <c r="D54" s="74"/>
      <c r="E54" s="70"/>
      <c r="F54" s="70"/>
      <c r="G54" s="70"/>
      <c r="H54" s="70"/>
      <c r="I54" s="70"/>
      <c r="J54" s="70"/>
      <c r="K54" s="70"/>
      <c r="L54" s="70"/>
      <c r="M54" s="70"/>
      <c r="N54" s="71"/>
      <c r="O54" s="71"/>
      <c r="P54" s="72"/>
      <c r="Q54" s="76"/>
      <c r="R54" s="76"/>
      <c r="S54" s="76"/>
      <c r="T54" s="69"/>
    </row>
    <row r="55" spans="1:20" ht="14.1" customHeight="1" x14ac:dyDescent="0.2">
      <c r="A55" s="61"/>
      <c r="B55" s="74"/>
      <c r="C55" s="74"/>
      <c r="D55" s="74"/>
      <c r="E55" s="70"/>
      <c r="F55" s="70"/>
      <c r="G55" s="70"/>
      <c r="H55" s="70"/>
      <c r="I55" s="70"/>
      <c r="J55" s="70"/>
      <c r="K55" s="70"/>
      <c r="L55" s="70"/>
      <c r="M55" s="70"/>
      <c r="N55" s="71"/>
      <c r="O55" s="71"/>
      <c r="P55" s="72"/>
      <c r="Q55" s="76"/>
      <c r="R55" s="76"/>
      <c r="S55" s="76"/>
      <c r="T55" s="69"/>
    </row>
    <row r="56" spans="1:20" ht="14.1" customHeight="1" x14ac:dyDescent="0.2">
      <c r="A56" s="61"/>
      <c r="B56" s="74"/>
      <c r="C56" s="74"/>
      <c r="D56" s="74"/>
      <c r="E56" s="70"/>
      <c r="F56" s="70"/>
      <c r="G56" s="70"/>
      <c r="H56" s="70"/>
      <c r="I56" s="70"/>
      <c r="J56" s="70"/>
      <c r="K56" s="70"/>
      <c r="L56" s="70"/>
      <c r="M56" s="70"/>
      <c r="N56" s="71"/>
      <c r="O56" s="71"/>
      <c r="P56" s="72"/>
      <c r="Q56" s="76"/>
      <c r="R56" s="76"/>
      <c r="S56" s="76"/>
      <c r="T56" s="69"/>
    </row>
    <row r="57" spans="1:20" ht="14.1" customHeight="1" x14ac:dyDescent="0.2">
      <c r="A57" s="61"/>
      <c r="B57" s="74"/>
      <c r="C57" s="74"/>
      <c r="D57" s="74"/>
      <c r="E57" s="70"/>
      <c r="F57" s="70"/>
      <c r="G57" s="70"/>
      <c r="H57" s="70"/>
      <c r="I57" s="70"/>
      <c r="J57" s="70"/>
      <c r="K57" s="70"/>
      <c r="L57" s="70"/>
      <c r="M57" s="70"/>
      <c r="N57" s="71"/>
      <c r="O57" s="71"/>
      <c r="P57" s="72"/>
      <c r="Q57" s="76"/>
      <c r="R57" s="76"/>
      <c r="S57" s="76"/>
      <c r="T57" s="69"/>
    </row>
    <row r="58" spans="1:20" ht="14.1" customHeight="1" x14ac:dyDescent="0.2">
      <c r="A58" s="61"/>
      <c r="B58" s="74"/>
      <c r="C58" s="74"/>
      <c r="D58" s="74"/>
      <c r="E58" s="70"/>
      <c r="F58" s="70"/>
      <c r="G58" s="70"/>
      <c r="H58" s="70"/>
      <c r="I58" s="70"/>
      <c r="J58" s="70"/>
      <c r="K58" s="70"/>
      <c r="L58" s="70"/>
      <c r="M58" s="70"/>
      <c r="N58" s="71"/>
      <c r="O58" s="71"/>
      <c r="P58" s="72"/>
      <c r="Q58" s="76"/>
      <c r="R58" s="76"/>
      <c r="S58" s="76"/>
      <c r="T58" s="69"/>
    </row>
    <row r="59" spans="1:20" ht="14.1" customHeight="1" x14ac:dyDescent="0.2">
      <c r="A59" s="61"/>
      <c r="B59" s="74"/>
      <c r="C59" s="74"/>
      <c r="D59" s="74"/>
      <c r="E59" s="70"/>
      <c r="F59" s="70"/>
      <c r="G59" s="70"/>
      <c r="H59" s="70"/>
      <c r="I59" s="70"/>
      <c r="J59" s="70"/>
      <c r="K59" s="70"/>
      <c r="L59" s="70"/>
      <c r="M59" s="70"/>
      <c r="N59" s="71"/>
      <c r="O59" s="71"/>
      <c r="P59" s="72"/>
      <c r="Q59" s="76"/>
      <c r="R59" s="76"/>
      <c r="S59" s="76"/>
      <c r="T59" s="69"/>
    </row>
    <row r="60" spans="1:20" ht="14.1" customHeight="1" x14ac:dyDescent="0.2">
      <c r="A60" s="61"/>
      <c r="B60" s="74"/>
      <c r="C60" s="74"/>
      <c r="D60" s="74"/>
      <c r="E60" s="70"/>
      <c r="F60" s="70"/>
      <c r="G60" s="70"/>
      <c r="H60" s="70"/>
      <c r="I60" s="70"/>
      <c r="J60" s="70"/>
      <c r="K60" s="70"/>
      <c r="L60" s="70"/>
      <c r="M60" s="70"/>
      <c r="N60" s="71"/>
      <c r="O60" s="71"/>
      <c r="P60" s="72"/>
      <c r="Q60" s="76"/>
      <c r="R60" s="76"/>
      <c r="S60" s="76"/>
      <c r="T60" s="69"/>
    </row>
    <row r="61" spans="1:20" ht="14.1" customHeight="1" x14ac:dyDescent="0.2">
      <c r="A61" s="61"/>
      <c r="B61" s="74"/>
      <c r="C61" s="74"/>
      <c r="D61" s="74"/>
      <c r="E61" s="70"/>
      <c r="F61" s="70"/>
      <c r="G61" s="70"/>
      <c r="H61" s="70"/>
      <c r="I61" s="70"/>
      <c r="J61" s="70"/>
      <c r="K61" s="70"/>
      <c r="L61" s="70"/>
      <c r="M61" s="70"/>
      <c r="N61" s="71"/>
      <c r="O61" s="71"/>
      <c r="P61" s="72"/>
      <c r="Q61" s="76"/>
      <c r="R61" s="76"/>
      <c r="S61" s="76"/>
      <c r="T61" s="69"/>
    </row>
    <row r="62" spans="1:20" ht="14.1" customHeight="1" x14ac:dyDescent="0.2">
      <c r="A62" s="61"/>
      <c r="B62" s="74"/>
      <c r="C62" s="74"/>
      <c r="D62" s="74"/>
      <c r="E62" s="70"/>
      <c r="F62" s="70"/>
      <c r="G62" s="70"/>
      <c r="H62" s="70"/>
      <c r="I62" s="70"/>
      <c r="J62" s="70"/>
      <c r="K62" s="70"/>
      <c r="L62" s="70"/>
      <c r="M62" s="70"/>
      <c r="N62" s="71"/>
      <c r="O62" s="71"/>
      <c r="P62" s="72"/>
      <c r="Q62" s="76"/>
      <c r="R62" s="76"/>
      <c r="S62" s="76"/>
      <c r="T62" s="69"/>
    </row>
    <row r="63" spans="1:20" ht="14.1" customHeight="1" x14ac:dyDescent="0.2">
      <c r="A63" s="61"/>
      <c r="B63" s="74"/>
      <c r="C63" s="74"/>
      <c r="D63" s="74"/>
      <c r="E63" s="70"/>
      <c r="F63" s="70"/>
      <c r="G63" s="70"/>
      <c r="H63" s="70"/>
      <c r="I63" s="70"/>
      <c r="J63" s="70"/>
      <c r="K63" s="70"/>
      <c r="L63" s="70"/>
      <c r="M63" s="70"/>
      <c r="N63" s="71"/>
      <c r="O63" s="71"/>
      <c r="P63" s="72"/>
      <c r="Q63" s="76"/>
      <c r="R63" s="76"/>
      <c r="S63" s="76"/>
      <c r="T63" s="69"/>
    </row>
    <row r="64" spans="1:20" ht="14.1" customHeight="1" x14ac:dyDescent="0.2">
      <c r="A64" s="61"/>
      <c r="B64" s="74"/>
      <c r="C64" s="74"/>
      <c r="D64" s="74"/>
      <c r="E64" s="70"/>
      <c r="F64" s="70"/>
      <c r="G64" s="70"/>
      <c r="H64" s="70"/>
      <c r="I64" s="70"/>
      <c r="J64" s="70"/>
      <c r="K64" s="70"/>
      <c r="L64" s="70"/>
      <c r="M64" s="70"/>
      <c r="N64" s="71"/>
      <c r="O64" s="71"/>
      <c r="P64" s="72"/>
      <c r="Q64" s="76"/>
      <c r="R64" s="76"/>
      <c r="S64" s="76"/>
      <c r="T64" s="69"/>
    </row>
    <row r="65" spans="1:20" ht="14.1" customHeight="1" x14ac:dyDescent="0.2">
      <c r="A65" s="61"/>
      <c r="B65" s="74"/>
      <c r="C65" s="74"/>
      <c r="D65" s="74"/>
      <c r="E65" s="70"/>
      <c r="F65" s="70"/>
      <c r="G65" s="70"/>
      <c r="H65" s="70"/>
      <c r="I65" s="70"/>
      <c r="J65" s="70"/>
      <c r="K65" s="70"/>
      <c r="L65" s="70"/>
      <c r="M65" s="70"/>
      <c r="N65" s="71"/>
      <c r="O65" s="71"/>
      <c r="P65" s="72"/>
      <c r="Q65" s="76"/>
      <c r="R65" s="76"/>
      <c r="S65" s="76"/>
      <c r="T65" s="69"/>
    </row>
    <row r="66" spans="1:20" ht="14.1" customHeight="1" x14ac:dyDescent="0.2">
      <c r="A66" s="61"/>
      <c r="B66" s="74"/>
      <c r="C66" s="74"/>
      <c r="D66" s="74"/>
      <c r="E66" s="70"/>
      <c r="F66" s="70"/>
      <c r="G66" s="70"/>
      <c r="H66" s="70"/>
      <c r="I66" s="70"/>
      <c r="J66" s="70"/>
      <c r="K66" s="70"/>
      <c r="L66" s="70"/>
      <c r="M66" s="70"/>
      <c r="N66" s="71"/>
      <c r="O66" s="71"/>
      <c r="P66" s="72"/>
      <c r="Q66" s="76"/>
      <c r="R66" s="76"/>
      <c r="S66" s="76"/>
      <c r="T66" s="69"/>
    </row>
    <row r="67" spans="1:20" ht="14.1" customHeight="1" x14ac:dyDescent="0.2">
      <c r="A67" s="61"/>
      <c r="B67" s="74"/>
      <c r="C67" s="74"/>
      <c r="D67" s="74"/>
      <c r="E67" s="70"/>
      <c r="F67" s="70"/>
      <c r="G67" s="70"/>
      <c r="H67" s="70"/>
      <c r="I67" s="70"/>
      <c r="J67" s="70"/>
      <c r="K67" s="70"/>
      <c r="L67" s="70"/>
      <c r="M67" s="70"/>
      <c r="N67" s="71"/>
      <c r="O67" s="71"/>
      <c r="P67" s="72"/>
      <c r="Q67" s="76"/>
      <c r="R67" s="76"/>
      <c r="S67" s="76"/>
      <c r="T67" s="69"/>
    </row>
    <row r="68" spans="1:20" ht="14.1" customHeight="1" x14ac:dyDescent="0.2">
      <c r="A68" s="61"/>
      <c r="B68" s="74"/>
      <c r="C68" s="74"/>
      <c r="D68" s="74"/>
      <c r="E68" s="70"/>
      <c r="F68" s="70"/>
      <c r="G68" s="70"/>
      <c r="H68" s="70"/>
      <c r="I68" s="70"/>
      <c r="J68" s="70"/>
      <c r="K68" s="70"/>
      <c r="L68" s="70"/>
      <c r="M68" s="70"/>
      <c r="N68" s="71"/>
      <c r="O68" s="71"/>
      <c r="P68" s="72"/>
      <c r="Q68" s="76"/>
      <c r="R68" s="76"/>
      <c r="S68" s="76"/>
      <c r="T68" s="69"/>
    </row>
    <row r="69" spans="1:20" ht="14.1" customHeight="1" x14ac:dyDescent="0.2">
      <c r="A69" s="61"/>
      <c r="B69" s="74"/>
      <c r="C69" s="74"/>
      <c r="D69" s="74"/>
      <c r="E69" s="70"/>
      <c r="F69" s="70"/>
      <c r="G69" s="70"/>
      <c r="H69" s="70"/>
      <c r="I69" s="70"/>
      <c r="J69" s="70"/>
      <c r="K69" s="70"/>
      <c r="L69" s="70"/>
      <c r="M69" s="70"/>
      <c r="N69" s="71"/>
      <c r="O69" s="71"/>
      <c r="P69" s="72"/>
      <c r="Q69" s="76"/>
      <c r="R69" s="76"/>
      <c r="S69" s="76"/>
      <c r="T69" s="69"/>
    </row>
    <row r="70" spans="1:20" ht="14.1" customHeight="1" x14ac:dyDescent="0.2">
      <c r="A70" s="61"/>
      <c r="B70" s="74"/>
      <c r="C70" s="74"/>
      <c r="D70" s="74"/>
      <c r="E70" s="70"/>
      <c r="F70" s="70"/>
      <c r="G70" s="70"/>
      <c r="H70" s="70"/>
      <c r="I70" s="70"/>
      <c r="J70" s="70"/>
      <c r="K70" s="70"/>
      <c r="L70" s="70"/>
      <c r="M70" s="70"/>
      <c r="N70" s="71"/>
      <c r="O70" s="71"/>
      <c r="P70" s="72"/>
      <c r="Q70" s="76"/>
      <c r="R70" s="76"/>
      <c r="S70" s="76"/>
      <c r="T70" s="69"/>
    </row>
    <row r="71" spans="1:20" ht="14.1" customHeight="1" x14ac:dyDescent="0.2">
      <c r="A71" s="61"/>
      <c r="B71" s="74"/>
      <c r="C71" s="74"/>
      <c r="D71" s="74"/>
      <c r="E71" s="70"/>
      <c r="F71" s="70"/>
      <c r="G71" s="70"/>
      <c r="H71" s="70"/>
      <c r="I71" s="70"/>
      <c r="J71" s="70"/>
      <c r="K71" s="70"/>
      <c r="L71" s="70"/>
      <c r="M71" s="70"/>
      <c r="N71" s="71"/>
      <c r="O71" s="71"/>
      <c r="P71" s="72"/>
      <c r="Q71" s="76"/>
      <c r="R71" s="76"/>
      <c r="S71" s="76"/>
      <c r="T71" s="69"/>
    </row>
    <row r="72" spans="1:20" ht="14.1" customHeight="1" x14ac:dyDescent="0.2">
      <c r="A72" s="61"/>
      <c r="B72" s="74"/>
      <c r="C72" s="74"/>
      <c r="D72" s="74"/>
      <c r="E72" s="70"/>
      <c r="F72" s="70"/>
      <c r="G72" s="70"/>
      <c r="H72" s="70"/>
      <c r="I72" s="70"/>
      <c r="J72" s="70"/>
      <c r="K72" s="70"/>
      <c r="L72" s="70"/>
      <c r="M72" s="70"/>
      <c r="N72" s="71"/>
      <c r="O72" s="71"/>
      <c r="P72" s="72"/>
      <c r="Q72" s="76"/>
      <c r="R72" s="76"/>
      <c r="S72" s="76"/>
      <c r="T72" s="69"/>
    </row>
    <row r="73" spans="1:20" ht="14.1" customHeight="1" x14ac:dyDescent="0.2">
      <c r="A73" s="61"/>
      <c r="B73" s="74"/>
      <c r="C73" s="74"/>
      <c r="D73" s="74"/>
      <c r="E73" s="70"/>
      <c r="F73" s="70"/>
      <c r="G73" s="70"/>
      <c r="H73" s="70"/>
      <c r="I73" s="70"/>
      <c r="J73" s="70"/>
      <c r="K73" s="70"/>
      <c r="L73" s="70"/>
      <c r="M73" s="70"/>
      <c r="N73" s="71"/>
      <c r="O73" s="71"/>
      <c r="P73" s="72"/>
      <c r="Q73" s="76"/>
      <c r="R73" s="76"/>
      <c r="S73" s="76"/>
      <c r="T73" s="69"/>
    </row>
    <row r="74" spans="1:20" ht="14.1" customHeight="1" x14ac:dyDescent="0.2">
      <c r="A74" s="61"/>
      <c r="B74" s="74"/>
      <c r="C74" s="74"/>
      <c r="D74" s="74"/>
      <c r="E74" s="70"/>
      <c r="F74" s="70"/>
      <c r="G74" s="70"/>
      <c r="H74" s="70"/>
      <c r="I74" s="70"/>
      <c r="J74" s="70"/>
      <c r="K74" s="70"/>
      <c r="L74" s="70"/>
      <c r="M74" s="70"/>
      <c r="N74" s="71"/>
      <c r="O74" s="71"/>
      <c r="P74" s="72"/>
      <c r="Q74" s="76"/>
      <c r="R74" s="76"/>
      <c r="S74" s="76"/>
      <c r="T74" s="69"/>
    </row>
    <row r="75" spans="1:20" ht="14.1" customHeight="1" x14ac:dyDescent="0.2">
      <c r="A75" s="61"/>
      <c r="B75" s="74"/>
      <c r="C75" s="74"/>
      <c r="D75" s="74"/>
      <c r="E75" s="70"/>
      <c r="F75" s="70"/>
      <c r="G75" s="70"/>
      <c r="H75" s="70"/>
      <c r="I75" s="70"/>
      <c r="J75" s="70"/>
      <c r="K75" s="70"/>
      <c r="L75" s="70"/>
      <c r="M75" s="70"/>
      <c r="N75" s="71"/>
      <c r="O75" s="71"/>
      <c r="P75" s="72"/>
      <c r="Q75" s="76"/>
      <c r="R75" s="76"/>
      <c r="S75" s="76"/>
      <c r="T75" s="69"/>
    </row>
    <row r="76" spans="1:20" ht="14.1" customHeight="1" x14ac:dyDescent="0.2">
      <c r="A76" s="61"/>
      <c r="B76" s="74"/>
      <c r="C76" s="74"/>
      <c r="D76" s="74"/>
      <c r="E76" s="70"/>
      <c r="F76" s="70"/>
      <c r="G76" s="70"/>
      <c r="H76" s="70"/>
      <c r="I76" s="70"/>
      <c r="J76" s="70"/>
      <c r="K76" s="70"/>
      <c r="L76" s="70"/>
      <c r="M76" s="70"/>
      <c r="N76" s="71"/>
      <c r="O76" s="71"/>
      <c r="P76" s="72"/>
      <c r="Q76" s="76"/>
      <c r="R76" s="76"/>
      <c r="S76" s="76"/>
      <c r="T76" s="69"/>
    </row>
    <row r="77" spans="1:20" ht="14.1" customHeight="1" x14ac:dyDescent="0.2">
      <c r="A77" s="61"/>
      <c r="B77" s="74"/>
      <c r="C77" s="74"/>
      <c r="D77" s="74"/>
      <c r="E77" s="70"/>
      <c r="F77" s="70"/>
      <c r="G77" s="70"/>
      <c r="H77" s="70"/>
      <c r="I77" s="70"/>
      <c r="J77" s="70"/>
      <c r="K77" s="70"/>
      <c r="L77" s="70"/>
      <c r="M77" s="70"/>
      <c r="N77" s="71"/>
      <c r="O77" s="71"/>
      <c r="P77" s="72"/>
      <c r="Q77" s="76"/>
      <c r="R77" s="76"/>
      <c r="S77" s="76"/>
      <c r="T77" s="69"/>
    </row>
    <row r="78" spans="1:20" ht="14.1" customHeight="1" x14ac:dyDescent="0.2">
      <c r="A78" s="61"/>
      <c r="B78" s="74"/>
      <c r="C78" s="74"/>
      <c r="D78" s="74"/>
      <c r="E78" s="70"/>
      <c r="F78" s="70"/>
      <c r="G78" s="70"/>
      <c r="H78" s="70"/>
      <c r="I78" s="70"/>
      <c r="J78" s="70"/>
      <c r="K78" s="70"/>
      <c r="L78" s="70"/>
      <c r="M78" s="70"/>
      <c r="N78" s="71"/>
      <c r="O78" s="71"/>
      <c r="P78" s="72"/>
      <c r="Q78" s="76"/>
      <c r="R78" s="76"/>
      <c r="S78" s="76"/>
      <c r="T78" s="69"/>
    </row>
    <row r="79" spans="1:20" ht="14.1" customHeight="1" x14ac:dyDescent="0.2">
      <c r="A79" s="61"/>
      <c r="B79" s="74"/>
      <c r="C79" s="74"/>
      <c r="D79" s="74"/>
      <c r="E79" s="70"/>
      <c r="F79" s="70"/>
      <c r="G79" s="70"/>
      <c r="H79" s="70"/>
      <c r="I79" s="70"/>
      <c r="J79" s="70"/>
      <c r="K79" s="70"/>
      <c r="L79" s="70"/>
      <c r="M79" s="70"/>
      <c r="N79" s="71"/>
      <c r="O79" s="71"/>
      <c r="P79" s="72"/>
      <c r="Q79" s="76"/>
      <c r="R79" s="76"/>
      <c r="S79" s="76"/>
      <c r="T79" s="69"/>
    </row>
    <row r="80" spans="1:20" ht="14.1" customHeight="1" x14ac:dyDescent="0.2">
      <c r="A80" s="61"/>
      <c r="B80" s="74"/>
      <c r="C80" s="74"/>
      <c r="D80" s="74"/>
      <c r="E80" s="70"/>
      <c r="F80" s="70"/>
      <c r="G80" s="70"/>
      <c r="H80" s="70"/>
      <c r="I80" s="70"/>
      <c r="J80" s="70"/>
      <c r="K80" s="70"/>
      <c r="L80" s="70"/>
      <c r="M80" s="70"/>
      <c r="N80" s="71"/>
      <c r="O80" s="71"/>
      <c r="P80" s="72"/>
      <c r="Q80" s="76"/>
      <c r="R80" s="76"/>
      <c r="S80" s="76"/>
      <c r="T80" s="69"/>
    </row>
    <row r="81" spans="1:20" ht="14.1" customHeight="1" x14ac:dyDescent="0.2">
      <c r="A81" s="61"/>
      <c r="B81" s="74"/>
      <c r="C81" s="74"/>
      <c r="D81" s="74"/>
      <c r="E81" s="70"/>
      <c r="F81" s="70"/>
      <c r="G81" s="70"/>
      <c r="H81" s="70"/>
      <c r="I81" s="70"/>
      <c r="J81" s="70"/>
      <c r="K81" s="70"/>
      <c r="L81" s="70"/>
      <c r="M81" s="70"/>
      <c r="N81" s="71"/>
      <c r="O81" s="71"/>
      <c r="P81" s="72"/>
      <c r="Q81" s="76"/>
      <c r="R81" s="76"/>
      <c r="S81" s="76"/>
      <c r="T81" s="69"/>
    </row>
    <row r="82" spans="1:20" ht="14.1" customHeight="1" x14ac:dyDescent="0.2">
      <c r="A82" s="61"/>
      <c r="B82" s="74"/>
      <c r="C82" s="74"/>
      <c r="D82" s="74"/>
      <c r="E82" s="70"/>
      <c r="F82" s="70"/>
      <c r="G82" s="70"/>
      <c r="H82" s="70"/>
      <c r="I82" s="70"/>
      <c r="J82" s="70"/>
      <c r="K82" s="70"/>
      <c r="L82" s="70"/>
      <c r="M82" s="70"/>
      <c r="N82" s="71"/>
      <c r="O82" s="71"/>
      <c r="P82" s="72"/>
      <c r="Q82" s="76"/>
      <c r="R82" s="76"/>
      <c r="S82" s="76"/>
      <c r="T82" s="69"/>
    </row>
    <row r="83" spans="1:20" ht="14.1" customHeight="1" x14ac:dyDescent="0.2">
      <c r="A83" s="61"/>
      <c r="B83" s="74"/>
      <c r="C83" s="74"/>
      <c r="D83" s="74"/>
      <c r="E83" s="70"/>
      <c r="F83" s="70"/>
      <c r="G83" s="70"/>
      <c r="H83" s="70"/>
      <c r="I83" s="70"/>
      <c r="J83" s="70"/>
      <c r="K83" s="70"/>
      <c r="L83" s="70"/>
      <c r="M83" s="70"/>
      <c r="N83" s="71"/>
      <c r="O83" s="71"/>
      <c r="P83" s="72"/>
      <c r="Q83" s="76"/>
      <c r="R83" s="76"/>
      <c r="S83" s="76"/>
      <c r="T83" s="69"/>
    </row>
    <row r="84" spans="1:20" ht="14.1" customHeight="1" x14ac:dyDescent="0.2">
      <c r="A84" s="61"/>
      <c r="B84" s="74"/>
      <c r="C84" s="74"/>
      <c r="D84" s="74"/>
      <c r="E84" s="70"/>
      <c r="F84" s="70"/>
      <c r="G84" s="70"/>
      <c r="H84" s="70"/>
      <c r="I84" s="70"/>
      <c r="J84" s="70"/>
      <c r="K84" s="70"/>
      <c r="L84" s="70"/>
      <c r="M84" s="70"/>
      <c r="N84" s="71"/>
      <c r="O84" s="71"/>
      <c r="P84" s="72"/>
      <c r="Q84" s="76"/>
      <c r="R84" s="76"/>
      <c r="S84" s="76"/>
      <c r="T84" s="69"/>
    </row>
    <row r="85" spans="1:20" ht="14.1" customHeight="1" x14ac:dyDescent="0.2">
      <c r="A85" s="61"/>
      <c r="B85" s="74"/>
      <c r="C85" s="74"/>
      <c r="D85" s="74"/>
      <c r="E85" s="70"/>
      <c r="F85" s="70"/>
      <c r="G85" s="70"/>
      <c r="H85" s="70"/>
      <c r="I85" s="70"/>
      <c r="J85" s="70"/>
      <c r="K85" s="70"/>
      <c r="L85" s="70"/>
      <c r="M85" s="70"/>
      <c r="N85" s="71"/>
      <c r="O85" s="71"/>
      <c r="P85" s="72"/>
      <c r="Q85" s="76"/>
      <c r="R85" s="76"/>
      <c r="S85" s="76"/>
      <c r="T85" s="69"/>
    </row>
    <row r="86" spans="1:20" ht="14.1" customHeight="1" x14ac:dyDescent="0.2">
      <c r="A86" s="61"/>
      <c r="B86" s="74"/>
      <c r="C86" s="74"/>
      <c r="D86" s="74"/>
      <c r="E86" s="70"/>
      <c r="F86" s="70"/>
      <c r="G86" s="70"/>
      <c r="H86" s="70"/>
      <c r="I86" s="70"/>
      <c r="J86" s="70"/>
      <c r="K86" s="70"/>
      <c r="L86" s="70"/>
      <c r="M86" s="70"/>
      <c r="N86" s="71"/>
      <c r="O86" s="71"/>
      <c r="P86" s="72"/>
      <c r="Q86" s="76"/>
      <c r="R86" s="76"/>
      <c r="S86" s="76"/>
      <c r="T86" s="69"/>
    </row>
    <row r="87" spans="1:20" ht="14.1" customHeight="1" x14ac:dyDescent="0.2">
      <c r="A87" s="61"/>
      <c r="B87" s="74"/>
      <c r="C87" s="74"/>
      <c r="D87" s="74"/>
      <c r="E87" s="70"/>
      <c r="F87" s="70"/>
      <c r="G87" s="70"/>
      <c r="H87" s="70"/>
      <c r="I87" s="70"/>
      <c r="J87" s="70"/>
      <c r="K87" s="70"/>
      <c r="L87" s="70"/>
      <c r="M87" s="70"/>
      <c r="N87" s="71"/>
      <c r="O87" s="71"/>
      <c r="P87" s="72"/>
      <c r="Q87" s="76"/>
      <c r="R87" s="76"/>
      <c r="S87" s="76"/>
      <c r="T87" s="69"/>
    </row>
    <row r="88" spans="1:20" ht="14.1" customHeight="1" x14ac:dyDescent="0.2">
      <c r="A88" s="61"/>
      <c r="B88" s="74"/>
      <c r="C88" s="74"/>
      <c r="D88" s="74"/>
      <c r="E88" s="70"/>
      <c r="F88" s="70"/>
      <c r="G88" s="70"/>
      <c r="H88" s="70"/>
      <c r="I88" s="70"/>
      <c r="J88" s="70"/>
      <c r="K88" s="70"/>
      <c r="L88" s="70"/>
      <c r="M88" s="70"/>
      <c r="N88" s="71"/>
      <c r="O88" s="71"/>
      <c r="P88" s="72"/>
      <c r="Q88" s="76"/>
      <c r="R88" s="76"/>
      <c r="S88" s="76"/>
      <c r="T88" s="69"/>
    </row>
    <row r="89" spans="1:20" ht="14.1" customHeight="1" x14ac:dyDescent="0.2">
      <c r="A89" s="61"/>
      <c r="B89" s="74"/>
      <c r="C89" s="74"/>
      <c r="D89" s="74"/>
      <c r="E89" s="70"/>
      <c r="F89" s="70"/>
      <c r="G89" s="70"/>
      <c r="H89" s="70"/>
      <c r="I89" s="70"/>
      <c r="J89" s="70"/>
      <c r="K89" s="70"/>
      <c r="L89" s="70"/>
      <c r="M89" s="70"/>
      <c r="N89" s="71"/>
      <c r="O89" s="71"/>
      <c r="P89" s="72"/>
      <c r="Q89" s="76"/>
      <c r="R89" s="76"/>
      <c r="S89" s="76"/>
      <c r="T89" s="69"/>
    </row>
    <row r="90" spans="1:20" ht="14.1" customHeight="1" x14ac:dyDescent="0.2">
      <c r="A90" s="61"/>
      <c r="B90" s="74"/>
      <c r="C90" s="74"/>
      <c r="D90" s="74"/>
      <c r="E90" s="70"/>
      <c r="F90" s="70"/>
      <c r="G90" s="70"/>
      <c r="H90" s="70"/>
      <c r="I90" s="70"/>
      <c r="J90" s="70"/>
      <c r="K90" s="70"/>
      <c r="L90" s="70"/>
      <c r="M90" s="70"/>
      <c r="N90" s="71"/>
      <c r="O90" s="71"/>
      <c r="P90" s="72"/>
      <c r="Q90" s="76"/>
      <c r="R90" s="76"/>
      <c r="S90" s="76"/>
      <c r="T90" s="69"/>
    </row>
    <row r="91" spans="1:20" ht="14.1" customHeight="1" x14ac:dyDescent="0.2">
      <c r="A91" s="61"/>
      <c r="B91" s="74"/>
      <c r="C91" s="74"/>
      <c r="D91" s="74"/>
      <c r="E91" s="70"/>
      <c r="F91" s="70"/>
      <c r="G91" s="70"/>
      <c r="H91" s="70"/>
      <c r="I91" s="70"/>
      <c r="J91" s="70"/>
      <c r="K91" s="70"/>
      <c r="L91" s="70"/>
      <c r="M91" s="70"/>
      <c r="N91" s="71"/>
      <c r="O91" s="71"/>
      <c r="P91" s="72"/>
      <c r="Q91" s="76"/>
      <c r="R91" s="76"/>
      <c r="S91" s="76"/>
      <c r="T91" s="69"/>
    </row>
    <row r="92" spans="1:20" ht="14.1" customHeight="1" x14ac:dyDescent="0.2">
      <c r="A92" s="61"/>
      <c r="B92" s="74"/>
      <c r="C92" s="74"/>
      <c r="D92" s="74"/>
      <c r="E92" s="70"/>
      <c r="F92" s="70"/>
      <c r="G92" s="70"/>
      <c r="H92" s="70"/>
      <c r="I92" s="70"/>
      <c r="J92" s="70"/>
      <c r="K92" s="70"/>
      <c r="L92" s="70"/>
      <c r="M92" s="70"/>
      <c r="N92" s="71"/>
      <c r="O92" s="71"/>
      <c r="P92" s="72"/>
      <c r="Q92" s="76"/>
      <c r="R92" s="76"/>
      <c r="S92" s="76"/>
      <c r="T92" s="69"/>
    </row>
    <row r="93" spans="1:20" ht="14.1" customHeight="1" x14ac:dyDescent="0.2">
      <c r="A93" s="61"/>
      <c r="B93" s="74"/>
      <c r="C93" s="74"/>
      <c r="D93" s="74"/>
      <c r="E93" s="70"/>
      <c r="F93" s="70"/>
      <c r="G93" s="70"/>
      <c r="H93" s="70"/>
      <c r="I93" s="70"/>
      <c r="J93" s="70"/>
      <c r="K93" s="70"/>
      <c r="L93" s="70"/>
      <c r="M93" s="70"/>
      <c r="N93" s="71"/>
      <c r="O93" s="71"/>
      <c r="P93" s="72"/>
      <c r="Q93" s="76"/>
      <c r="R93" s="76"/>
      <c r="S93" s="76"/>
      <c r="T93" s="69"/>
    </row>
    <row r="94" spans="1:20" ht="14.1" customHeight="1" x14ac:dyDescent="0.2">
      <c r="A94" s="61"/>
      <c r="B94" s="74"/>
      <c r="C94" s="74"/>
      <c r="D94" s="74"/>
      <c r="E94" s="70"/>
      <c r="F94" s="70"/>
      <c r="G94" s="70"/>
      <c r="H94" s="70"/>
      <c r="I94" s="70"/>
      <c r="J94" s="70"/>
      <c r="K94" s="70"/>
      <c r="L94" s="70"/>
      <c r="M94" s="70"/>
      <c r="N94" s="71"/>
      <c r="O94" s="71"/>
      <c r="P94" s="72"/>
      <c r="Q94" s="76"/>
      <c r="R94" s="76"/>
      <c r="S94" s="76"/>
      <c r="T94" s="69"/>
    </row>
    <row r="95" spans="1:20" ht="14.1" customHeight="1" x14ac:dyDescent="0.2">
      <c r="A95" s="61"/>
      <c r="B95" s="74"/>
      <c r="C95" s="74"/>
      <c r="D95" s="74"/>
      <c r="E95" s="70"/>
      <c r="F95" s="70"/>
      <c r="G95" s="70"/>
      <c r="H95" s="70"/>
      <c r="I95" s="70"/>
      <c r="J95" s="70"/>
      <c r="K95" s="70"/>
      <c r="L95" s="70"/>
      <c r="M95" s="70"/>
      <c r="N95" s="71"/>
      <c r="O95" s="71"/>
      <c r="P95" s="72"/>
      <c r="Q95" s="76"/>
      <c r="R95" s="76"/>
      <c r="S95" s="76"/>
      <c r="T95" s="69"/>
    </row>
    <row r="96" spans="1:20" ht="14.1" customHeight="1" x14ac:dyDescent="0.2">
      <c r="A96" s="61"/>
      <c r="B96" s="74"/>
      <c r="C96" s="74"/>
      <c r="D96" s="74"/>
      <c r="E96" s="70"/>
      <c r="F96" s="70"/>
      <c r="G96" s="70"/>
      <c r="H96" s="70"/>
      <c r="I96" s="70"/>
      <c r="J96" s="70"/>
      <c r="K96" s="70"/>
      <c r="L96" s="70"/>
      <c r="M96" s="70"/>
      <c r="N96" s="71"/>
      <c r="O96" s="71"/>
      <c r="P96" s="72"/>
      <c r="Q96" s="76"/>
      <c r="R96" s="76"/>
      <c r="S96" s="76"/>
      <c r="T96" s="69"/>
    </row>
    <row r="97" spans="1:20" ht="14.1" customHeight="1" x14ac:dyDescent="0.2">
      <c r="A97" s="61"/>
      <c r="B97" s="74"/>
      <c r="C97" s="74"/>
      <c r="D97" s="74"/>
      <c r="E97" s="70"/>
      <c r="F97" s="70"/>
      <c r="G97" s="70"/>
      <c r="H97" s="70"/>
      <c r="I97" s="70"/>
      <c r="J97" s="70"/>
      <c r="K97" s="70"/>
      <c r="L97" s="70"/>
      <c r="M97" s="70"/>
      <c r="N97" s="71"/>
      <c r="O97" s="71"/>
      <c r="P97" s="72"/>
      <c r="Q97" s="76"/>
      <c r="R97" s="76"/>
      <c r="S97" s="76"/>
      <c r="T97" s="69"/>
    </row>
    <row r="98" spans="1:20" ht="14.1" customHeight="1" x14ac:dyDescent="0.2">
      <c r="A98" s="61"/>
      <c r="B98" s="74"/>
      <c r="C98" s="74"/>
      <c r="D98" s="74"/>
      <c r="E98" s="70"/>
      <c r="F98" s="70"/>
      <c r="G98" s="70"/>
      <c r="H98" s="70"/>
      <c r="I98" s="70"/>
      <c r="J98" s="70"/>
      <c r="K98" s="70"/>
      <c r="L98" s="70"/>
      <c r="M98" s="70"/>
      <c r="N98" s="71"/>
      <c r="O98" s="71"/>
      <c r="P98" s="72"/>
      <c r="Q98" s="76"/>
      <c r="R98" s="76"/>
      <c r="S98" s="76"/>
      <c r="T98" s="69"/>
    </row>
    <row r="99" spans="1:20" ht="14.1" customHeight="1" x14ac:dyDescent="0.2">
      <c r="A99" s="61"/>
      <c r="B99" s="74"/>
      <c r="C99" s="74"/>
      <c r="D99" s="74"/>
      <c r="E99" s="70"/>
      <c r="F99" s="70"/>
      <c r="G99" s="70"/>
      <c r="H99" s="70"/>
      <c r="I99" s="70"/>
      <c r="J99" s="70"/>
      <c r="K99" s="70"/>
      <c r="L99" s="70"/>
      <c r="M99" s="70"/>
      <c r="N99" s="71"/>
      <c r="O99" s="71"/>
      <c r="P99" s="72"/>
      <c r="Q99" s="76"/>
      <c r="R99" s="76"/>
      <c r="S99" s="76"/>
      <c r="T99" s="69"/>
    </row>
    <row r="100" spans="1:20" ht="14.1" customHeight="1" x14ac:dyDescent="0.2">
      <c r="A100" s="61"/>
      <c r="B100" s="74"/>
      <c r="C100" s="74"/>
      <c r="D100" s="74"/>
      <c r="E100" s="70"/>
      <c r="F100" s="70"/>
      <c r="G100" s="70"/>
      <c r="H100" s="70"/>
      <c r="I100" s="70"/>
      <c r="J100" s="70"/>
      <c r="K100" s="70"/>
      <c r="L100" s="70"/>
      <c r="M100" s="70"/>
      <c r="N100" s="71"/>
      <c r="O100" s="71"/>
      <c r="P100" s="72"/>
      <c r="Q100" s="76"/>
      <c r="R100" s="76"/>
      <c r="S100" s="76"/>
      <c r="T100" s="69"/>
    </row>
    <row r="101" spans="1:20" ht="14.1" customHeight="1" x14ac:dyDescent="0.2">
      <c r="A101" s="61"/>
      <c r="B101" s="74"/>
      <c r="C101" s="74"/>
      <c r="D101" s="74"/>
      <c r="E101" s="70"/>
      <c r="F101" s="70"/>
      <c r="G101" s="70"/>
      <c r="H101" s="70"/>
      <c r="I101" s="70"/>
      <c r="J101" s="70"/>
      <c r="K101" s="70"/>
      <c r="L101" s="70"/>
      <c r="M101" s="70"/>
      <c r="N101" s="71"/>
      <c r="O101" s="71"/>
      <c r="P101" s="72"/>
      <c r="Q101" s="76"/>
      <c r="R101" s="76"/>
      <c r="S101" s="76"/>
      <c r="T101" s="69"/>
    </row>
    <row r="102" spans="1:20" ht="14.1" customHeight="1" x14ac:dyDescent="0.2">
      <c r="A102" s="61"/>
      <c r="B102" s="74"/>
      <c r="C102" s="74"/>
      <c r="D102" s="74"/>
      <c r="E102" s="70"/>
      <c r="F102" s="70"/>
      <c r="G102" s="70"/>
      <c r="H102" s="70"/>
      <c r="I102" s="70"/>
      <c r="J102" s="70"/>
      <c r="K102" s="70"/>
      <c r="L102" s="70"/>
      <c r="M102" s="70"/>
      <c r="N102" s="71"/>
      <c r="O102" s="71"/>
      <c r="P102" s="72"/>
      <c r="Q102" s="76"/>
      <c r="R102" s="76"/>
      <c r="S102" s="76"/>
      <c r="T102" s="69"/>
    </row>
    <row r="103" spans="1:20" ht="14.1" customHeight="1" x14ac:dyDescent="0.2">
      <c r="A103" s="61"/>
      <c r="B103" s="74"/>
      <c r="C103" s="74"/>
      <c r="D103" s="74"/>
      <c r="E103" s="70"/>
      <c r="F103" s="70"/>
      <c r="G103" s="70"/>
      <c r="H103" s="70"/>
      <c r="I103" s="70"/>
      <c r="J103" s="70"/>
      <c r="K103" s="70"/>
      <c r="L103" s="70"/>
      <c r="M103" s="70"/>
      <c r="N103" s="71"/>
      <c r="O103" s="71"/>
      <c r="P103" s="72"/>
      <c r="Q103" s="76"/>
      <c r="R103" s="76"/>
      <c r="S103" s="76"/>
      <c r="T103" s="69"/>
    </row>
    <row r="104" spans="1:20" ht="14.1" customHeight="1" x14ac:dyDescent="0.2">
      <c r="A104" s="61"/>
      <c r="B104" s="74"/>
      <c r="C104" s="74"/>
      <c r="D104" s="74"/>
      <c r="E104" s="70"/>
      <c r="F104" s="70"/>
      <c r="G104" s="70"/>
      <c r="H104" s="70"/>
      <c r="I104" s="70"/>
      <c r="J104" s="70"/>
      <c r="K104" s="70"/>
      <c r="L104" s="70"/>
      <c r="M104" s="70"/>
      <c r="N104" s="71"/>
      <c r="O104" s="71"/>
      <c r="P104" s="72"/>
      <c r="Q104" s="76"/>
      <c r="R104" s="76"/>
      <c r="S104" s="76"/>
      <c r="T104" s="69"/>
    </row>
    <row r="105" spans="1:20" ht="14.1" customHeight="1" x14ac:dyDescent="0.2">
      <c r="A105" s="61"/>
      <c r="B105" s="74"/>
      <c r="C105" s="74"/>
      <c r="D105" s="74"/>
      <c r="E105" s="70"/>
      <c r="F105" s="70"/>
      <c r="G105" s="70"/>
      <c r="H105" s="70"/>
      <c r="I105" s="70"/>
      <c r="J105" s="70"/>
      <c r="K105" s="70"/>
      <c r="L105" s="70"/>
      <c r="M105" s="70"/>
      <c r="N105" s="71"/>
      <c r="O105" s="71"/>
      <c r="P105" s="72"/>
      <c r="Q105" s="76"/>
      <c r="R105" s="76"/>
      <c r="S105" s="76"/>
      <c r="T105" s="69"/>
    </row>
    <row r="106" spans="1:20" ht="14.1" customHeight="1" x14ac:dyDescent="0.2">
      <c r="A106" s="61"/>
      <c r="B106" s="74"/>
      <c r="C106" s="74"/>
      <c r="D106" s="74"/>
      <c r="E106" s="70"/>
      <c r="F106" s="70"/>
      <c r="G106" s="70"/>
      <c r="H106" s="70"/>
      <c r="I106" s="70"/>
      <c r="J106" s="70"/>
      <c r="K106" s="70"/>
      <c r="L106" s="70"/>
      <c r="M106" s="70"/>
      <c r="N106" s="71"/>
      <c r="O106" s="71"/>
      <c r="P106" s="72"/>
      <c r="Q106" s="76"/>
      <c r="R106" s="76"/>
      <c r="S106" s="76"/>
      <c r="T106" s="69"/>
    </row>
    <row r="107" spans="1:20" ht="14.1" customHeight="1" x14ac:dyDescent="0.2">
      <c r="A107" s="61"/>
      <c r="B107" s="74"/>
      <c r="C107" s="74"/>
      <c r="D107" s="74"/>
      <c r="E107" s="70"/>
      <c r="F107" s="70"/>
      <c r="G107" s="70"/>
      <c r="H107" s="70"/>
      <c r="I107" s="70"/>
      <c r="J107" s="70"/>
      <c r="K107" s="70"/>
      <c r="L107" s="70"/>
      <c r="M107" s="70"/>
      <c r="N107" s="71"/>
      <c r="O107" s="71"/>
      <c r="P107" s="72"/>
      <c r="Q107" s="76"/>
      <c r="R107" s="76"/>
      <c r="S107" s="76"/>
      <c r="T107" s="69"/>
    </row>
    <row r="108" spans="1:20" ht="14.1" customHeight="1" x14ac:dyDescent="0.2">
      <c r="A108" s="61"/>
      <c r="B108" s="74"/>
      <c r="C108" s="74"/>
      <c r="D108" s="74"/>
      <c r="E108" s="70"/>
      <c r="F108" s="70"/>
      <c r="G108" s="70"/>
      <c r="H108" s="70"/>
      <c r="I108" s="70"/>
      <c r="J108" s="70"/>
      <c r="K108" s="70"/>
      <c r="L108" s="70"/>
      <c r="M108" s="70"/>
      <c r="N108" s="71"/>
      <c r="O108" s="71"/>
      <c r="P108" s="72"/>
      <c r="Q108" s="76"/>
      <c r="R108" s="76"/>
      <c r="S108" s="76"/>
      <c r="T108" s="69"/>
    </row>
    <row r="109" spans="1:20" ht="14.1" customHeight="1" x14ac:dyDescent="0.2">
      <c r="A109" s="61"/>
      <c r="B109" s="74"/>
      <c r="C109" s="74"/>
      <c r="D109" s="74"/>
      <c r="E109" s="70"/>
      <c r="F109" s="70"/>
      <c r="G109" s="70"/>
      <c r="H109" s="70"/>
      <c r="I109" s="70"/>
      <c r="J109" s="70"/>
      <c r="K109" s="70"/>
      <c r="L109" s="70"/>
      <c r="M109" s="70"/>
      <c r="N109" s="71"/>
      <c r="O109" s="71"/>
      <c r="P109" s="72"/>
      <c r="Q109" s="76"/>
      <c r="R109" s="76"/>
      <c r="S109" s="76"/>
      <c r="T109" s="69"/>
    </row>
    <row r="110" spans="1:20" ht="14.1" customHeight="1" x14ac:dyDescent="0.2">
      <c r="A110" s="61"/>
      <c r="B110" s="74"/>
      <c r="C110" s="74"/>
      <c r="D110" s="74"/>
      <c r="E110" s="70"/>
      <c r="F110" s="70"/>
      <c r="G110" s="70"/>
      <c r="H110" s="70"/>
      <c r="I110" s="70"/>
      <c r="J110" s="70"/>
      <c r="K110" s="70"/>
      <c r="L110" s="70"/>
      <c r="M110" s="70"/>
      <c r="N110" s="71"/>
      <c r="O110" s="71"/>
      <c r="P110" s="72"/>
      <c r="Q110" s="76"/>
      <c r="R110" s="76"/>
      <c r="S110" s="76"/>
      <c r="T110" s="69"/>
    </row>
    <row r="111" spans="1:20" ht="14.1" customHeight="1" x14ac:dyDescent="0.2">
      <c r="A111" s="61"/>
      <c r="B111" s="74"/>
      <c r="C111" s="74"/>
      <c r="D111" s="74"/>
      <c r="E111" s="70"/>
      <c r="F111" s="70"/>
      <c r="G111" s="70"/>
      <c r="H111" s="70"/>
      <c r="I111" s="70"/>
      <c r="J111" s="70"/>
      <c r="K111" s="70"/>
      <c r="L111" s="70"/>
      <c r="M111" s="70"/>
      <c r="N111" s="71"/>
      <c r="O111" s="71"/>
      <c r="P111" s="72"/>
      <c r="Q111" s="76"/>
      <c r="R111" s="76"/>
      <c r="S111" s="76"/>
      <c r="T111" s="69"/>
    </row>
    <row r="112" spans="1:20" ht="14.1" customHeight="1" x14ac:dyDescent="0.2">
      <c r="A112" s="61"/>
      <c r="B112" s="74"/>
      <c r="C112" s="74"/>
      <c r="D112" s="74"/>
      <c r="E112" s="70"/>
      <c r="F112" s="70"/>
      <c r="G112" s="70"/>
      <c r="H112" s="70"/>
      <c r="I112" s="70"/>
      <c r="J112" s="70"/>
      <c r="K112" s="70"/>
      <c r="L112" s="70"/>
      <c r="M112" s="70"/>
      <c r="N112" s="71"/>
      <c r="O112" s="71"/>
      <c r="P112" s="72"/>
      <c r="Q112" s="76"/>
      <c r="R112" s="76"/>
      <c r="S112" s="76"/>
      <c r="T112" s="69"/>
    </row>
    <row r="113" spans="1:20" ht="14.1" customHeight="1" x14ac:dyDescent="0.2">
      <c r="A113" s="61"/>
      <c r="B113" s="74"/>
      <c r="C113" s="74"/>
      <c r="D113" s="74"/>
      <c r="E113" s="70"/>
      <c r="F113" s="70"/>
      <c r="G113" s="70"/>
      <c r="H113" s="70"/>
      <c r="I113" s="70"/>
      <c r="J113" s="70"/>
      <c r="K113" s="70"/>
      <c r="L113" s="70"/>
      <c r="M113" s="70"/>
      <c r="N113" s="71"/>
      <c r="O113" s="71"/>
      <c r="P113" s="72"/>
      <c r="Q113" s="76"/>
      <c r="R113" s="76"/>
      <c r="S113" s="76"/>
      <c r="T113" s="69"/>
    </row>
    <row r="114" spans="1:20" ht="14.1" customHeight="1" x14ac:dyDescent="0.2">
      <c r="A114" s="61"/>
      <c r="B114" s="74"/>
      <c r="C114" s="74"/>
      <c r="D114" s="74"/>
      <c r="E114" s="70"/>
      <c r="F114" s="70"/>
      <c r="G114" s="70"/>
      <c r="H114" s="70"/>
      <c r="I114" s="70"/>
      <c r="J114" s="70"/>
      <c r="K114" s="70"/>
      <c r="L114" s="70"/>
      <c r="M114" s="70"/>
      <c r="N114" s="71"/>
      <c r="O114" s="71"/>
      <c r="P114" s="72"/>
      <c r="Q114" s="76"/>
      <c r="R114" s="76"/>
      <c r="S114" s="76"/>
      <c r="T114" s="69"/>
    </row>
    <row r="115" spans="1:20" ht="14.1" customHeight="1" x14ac:dyDescent="0.2">
      <c r="A115" s="61"/>
      <c r="B115" s="74"/>
      <c r="C115" s="74"/>
      <c r="D115" s="74"/>
      <c r="E115" s="70"/>
      <c r="F115" s="70"/>
      <c r="G115" s="70"/>
      <c r="H115" s="70"/>
      <c r="I115" s="70"/>
      <c r="J115" s="70"/>
      <c r="K115" s="70"/>
      <c r="L115" s="70"/>
      <c r="M115" s="70"/>
      <c r="N115" s="71"/>
      <c r="O115" s="71"/>
      <c r="P115" s="72"/>
      <c r="Q115" s="76"/>
      <c r="R115" s="76"/>
      <c r="S115" s="76"/>
      <c r="T115" s="69"/>
    </row>
    <row r="116" spans="1:20" ht="14.1" customHeight="1" x14ac:dyDescent="0.2">
      <c r="A116" s="61"/>
      <c r="B116" s="74"/>
      <c r="C116" s="74"/>
      <c r="D116" s="74"/>
      <c r="E116" s="70"/>
      <c r="F116" s="70"/>
      <c r="G116" s="70"/>
      <c r="H116" s="70"/>
      <c r="I116" s="70"/>
      <c r="J116" s="70"/>
      <c r="K116" s="70"/>
      <c r="L116" s="70"/>
      <c r="M116" s="70"/>
      <c r="N116" s="71"/>
      <c r="O116" s="71"/>
      <c r="P116" s="72"/>
      <c r="Q116" s="76"/>
      <c r="R116" s="76"/>
      <c r="S116" s="76"/>
      <c r="T116" s="69"/>
    </row>
    <row r="117" spans="1:20" ht="14.1" customHeight="1" x14ac:dyDescent="0.2">
      <c r="A117" s="61"/>
      <c r="B117" s="74"/>
      <c r="C117" s="74"/>
      <c r="D117" s="74"/>
      <c r="E117" s="70"/>
      <c r="F117" s="70"/>
      <c r="G117" s="70"/>
      <c r="H117" s="70"/>
      <c r="I117" s="70"/>
      <c r="J117" s="70"/>
      <c r="K117" s="70"/>
      <c r="L117" s="70"/>
      <c r="M117" s="70"/>
      <c r="N117" s="71"/>
      <c r="O117" s="71"/>
      <c r="P117" s="72"/>
      <c r="Q117" s="76"/>
      <c r="R117" s="76"/>
      <c r="S117" s="76"/>
      <c r="T117" s="69"/>
    </row>
    <row r="118" spans="1:20" ht="14.1" customHeight="1" x14ac:dyDescent="0.2">
      <c r="A118" s="61"/>
      <c r="B118" s="74"/>
      <c r="C118" s="74"/>
      <c r="D118" s="74"/>
      <c r="E118" s="70"/>
      <c r="F118" s="70"/>
      <c r="G118" s="70"/>
      <c r="H118" s="70"/>
      <c r="I118" s="70"/>
      <c r="J118" s="70"/>
      <c r="K118" s="70"/>
      <c r="L118" s="70"/>
      <c r="M118" s="70"/>
      <c r="N118" s="71"/>
      <c r="O118" s="71"/>
      <c r="P118" s="72"/>
      <c r="Q118" s="76"/>
      <c r="R118" s="76"/>
      <c r="S118" s="76"/>
      <c r="T118" s="69"/>
    </row>
    <row r="119" spans="1:20" ht="14.1" customHeight="1" x14ac:dyDescent="0.2">
      <c r="A119" s="61"/>
      <c r="B119" s="74"/>
      <c r="C119" s="74"/>
      <c r="D119" s="74"/>
      <c r="E119" s="70"/>
      <c r="F119" s="70"/>
      <c r="G119" s="70"/>
      <c r="H119" s="70"/>
      <c r="I119" s="70"/>
      <c r="J119" s="70"/>
      <c r="K119" s="70"/>
      <c r="L119" s="70"/>
      <c r="M119" s="70"/>
      <c r="N119" s="71"/>
      <c r="O119" s="71"/>
      <c r="P119" s="72"/>
      <c r="Q119" s="76"/>
      <c r="R119" s="76"/>
      <c r="S119" s="76"/>
      <c r="T119" s="69"/>
    </row>
    <row r="120" spans="1:20" ht="14.1" customHeight="1" x14ac:dyDescent="0.2">
      <c r="A120" s="61"/>
      <c r="B120" s="74"/>
      <c r="C120" s="74"/>
      <c r="D120" s="74"/>
      <c r="E120" s="70"/>
      <c r="F120" s="70"/>
      <c r="G120" s="70"/>
      <c r="H120" s="70"/>
      <c r="I120" s="70"/>
      <c r="J120" s="70"/>
      <c r="K120" s="70"/>
      <c r="L120" s="70"/>
      <c r="M120" s="70"/>
      <c r="N120" s="71"/>
      <c r="O120" s="71"/>
      <c r="P120" s="72"/>
      <c r="Q120" s="76"/>
      <c r="R120" s="76"/>
      <c r="S120" s="76"/>
      <c r="T120" s="69"/>
    </row>
    <row r="121" spans="1:20" ht="14.1" customHeight="1" x14ac:dyDescent="0.2">
      <c r="A121" s="61"/>
      <c r="B121" s="74"/>
      <c r="C121" s="74"/>
      <c r="D121" s="74"/>
      <c r="E121" s="70"/>
      <c r="F121" s="70"/>
      <c r="G121" s="70"/>
      <c r="H121" s="70"/>
      <c r="I121" s="70"/>
      <c r="J121" s="70"/>
      <c r="K121" s="70"/>
      <c r="L121" s="70"/>
      <c r="M121" s="70"/>
      <c r="N121" s="71"/>
      <c r="O121" s="71"/>
      <c r="P121" s="72"/>
      <c r="Q121" s="76"/>
      <c r="R121" s="76"/>
      <c r="S121" s="76"/>
      <c r="T121" s="69"/>
    </row>
    <row r="122" spans="1:20" ht="14.1" customHeight="1" x14ac:dyDescent="0.2">
      <c r="A122" s="61"/>
      <c r="B122" s="74"/>
      <c r="C122" s="74"/>
      <c r="D122" s="74"/>
      <c r="E122" s="70"/>
      <c r="F122" s="70"/>
      <c r="G122" s="70"/>
      <c r="H122" s="70"/>
      <c r="I122" s="70"/>
      <c r="J122" s="70"/>
      <c r="K122" s="70"/>
      <c r="L122" s="70"/>
      <c r="M122" s="70"/>
      <c r="N122" s="71"/>
      <c r="O122" s="71"/>
      <c r="P122" s="72"/>
      <c r="Q122" s="76"/>
      <c r="R122" s="76"/>
      <c r="S122" s="76"/>
      <c r="T122" s="69"/>
    </row>
    <row r="123" spans="1:20" ht="14.1" customHeight="1" x14ac:dyDescent="0.2">
      <c r="A123" s="61"/>
      <c r="B123" s="74"/>
      <c r="C123" s="74"/>
      <c r="D123" s="74"/>
      <c r="E123" s="70"/>
      <c r="F123" s="70"/>
      <c r="G123" s="70"/>
      <c r="H123" s="70"/>
      <c r="I123" s="70"/>
      <c r="J123" s="70"/>
      <c r="K123" s="70"/>
      <c r="L123" s="70"/>
      <c r="M123" s="70"/>
      <c r="N123" s="71"/>
      <c r="O123" s="71"/>
      <c r="P123" s="72"/>
      <c r="Q123" s="76"/>
      <c r="R123" s="76"/>
      <c r="S123" s="76"/>
      <c r="T123" s="69"/>
    </row>
    <row r="124" spans="1:20" ht="14.1" customHeight="1" x14ac:dyDescent="0.2">
      <c r="A124" s="61"/>
      <c r="B124" s="74"/>
      <c r="C124" s="74"/>
      <c r="D124" s="74"/>
      <c r="E124" s="70"/>
      <c r="F124" s="70"/>
      <c r="G124" s="70"/>
      <c r="H124" s="70"/>
      <c r="I124" s="70"/>
      <c r="J124" s="70"/>
      <c r="K124" s="70"/>
      <c r="L124" s="70"/>
      <c r="M124" s="70"/>
      <c r="N124" s="71"/>
      <c r="O124" s="71"/>
      <c r="P124" s="72"/>
      <c r="Q124" s="76"/>
      <c r="R124" s="76"/>
      <c r="S124" s="76"/>
      <c r="T124" s="69"/>
    </row>
    <row r="125" spans="1:20" ht="14.1" customHeight="1" x14ac:dyDescent="0.2">
      <c r="A125" s="61"/>
      <c r="B125" s="74"/>
      <c r="C125" s="74"/>
      <c r="D125" s="74"/>
      <c r="E125" s="70"/>
      <c r="F125" s="70"/>
      <c r="G125" s="70"/>
      <c r="H125" s="70"/>
      <c r="I125" s="70"/>
      <c r="J125" s="70"/>
      <c r="K125" s="70"/>
      <c r="L125" s="70"/>
      <c r="M125" s="70"/>
      <c r="N125" s="71"/>
      <c r="O125" s="71"/>
      <c r="P125" s="72"/>
      <c r="Q125" s="76"/>
      <c r="R125" s="76"/>
      <c r="S125" s="76"/>
      <c r="T125" s="69"/>
    </row>
    <row r="126" spans="1:20" ht="14.1" customHeight="1" x14ac:dyDescent="0.2">
      <c r="A126" s="61"/>
      <c r="B126" s="74"/>
      <c r="C126" s="74"/>
      <c r="D126" s="74"/>
      <c r="E126" s="70"/>
      <c r="F126" s="70"/>
      <c r="G126" s="70"/>
      <c r="H126" s="70"/>
      <c r="I126" s="70"/>
      <c r="J126" s="70"/>
      <c r="K126" s="70"/>
      <c r="L126" s="70"/>
      <c r="M126" s="70"/>
      <c r="N126" s="71"/>
      <c r="O126" s="71"/>
      <c r="P126" s="72"/>
      <c r="Q126" s="76"/>
      <c r="R126" s="76"/>
      <c r="S126" s="76"/>
      <c r="T126" s="69"/>
    </row>
    <row r="127" spans="1:20" ht="14.1" customHeight="1" x14ac:dyDescent="0.2">
      <c r="A127" s="61"/>
      <c r="B127" s="74"/>
      <c r="C127" s="74"/>
      <c r="D127" s="74"/>
      <c r="E127" s="70"/>
      <c r="F127" s="70"/>
      <c r="G127" s="70"/>
      <c r="H127" s="70"/>
      <c r="I127" s="70"/>
      <c r="J127" s="70"/>
      <c r="K127" s="70"/>
      <c r="L127" s="70"/>
      <c r="M127" s="70"/>
      <c r="N127" s="71"/>
      <c r="O127" s="71"/>
      <c r="P127" s="72"/>
      <c r="Q127" s="76"/>
      <c r="R127" s="76"/>
      <c r="S127" s="76"/>
      <c r="T127" s="69"/>
    </row>
    <row r="128" spans="1:20" ht="14.1" customHeight="1" x14ac:dyDescent="0.2">
      <c r="A128" s="61"/>
      <c r="B128" s="74"/>
      <c r="C128" s="74"/>
      <c r="D128" s="74"/>
      <c r="E128" s="70"/>
      <c r="F128" s="70"/>
      <c r="G128" s="70"/>
      <c r="H128" s="70"/>
      <c r="I128" s="70"/>
      <c r="J128" s="70"/>
      <c r="K128" s="70"/>
      <c r="L128" s="70"/>
      <c r="M128" s="70"/>
      <c r="N128" s="71"/>
      <c r="O128" s="71"/>
      <c r="P128" s="72"/>
      <c r="Q128" s="76"/>
      <c r="R128" s="76"/>
      <c r="S128" s="76"/>
      <c r="T128" s="69"/>
    </row>
    <row r="129" spans="1:20" ht="14.1" customHeight="1" x14ac:dyDescent="0.2">
      <c r="A129" s="61"/>
      <c r="B129" s="74"/>
      <c r="C129" s="74"/>
      <c r="D129" s="74"/>
      <c r="E129" s="70"/>
      <c r="F129" s="70"/>
      <c r="G129" s="70"/>
      <c r="H129" s="70"/>
      <c r="I129" s="70"/>
      <c r="J129" s="70"/>
      <c r="K129" s="70"/>
      <c r="L129" s="70"/>
      <c r="M129" s="70"/>
      <c r="N129" s="71"/>
      <c r="O129" s="71"/>
      <c r="P129" s="72"/>
      <c r="Q129" s="76"/>
      <c r="R129" s="76"/>
      <c r="S129" s="76"/>
      <c r="T129" s="69"/>
    </row>
    <row r="130" spans="1:20" ht="14.1" customHeight="1" x14ac:dyDescent="0.2">
      <c r="A130" s="61"/>
      <c r="B130" s="74"/>
      <c r="C130" s="74"/>
      <c r="D130" s="74"/>
      <c r="E130" s="70"/>
      <c r="F130" s="70"/>
      <c r="G130" s="70"/>
      <c r="H130" s="70"/>
      <c r="I130" s="70"/>
      <c r="J130" s="70"/>
      <c r="K130" s="70"/>
      <c r="L130" s="70"/>
      <c r="M130" s="70"/>
      <c r="N130" s="71"/>
      <c r="O130" s="71"/>
      <c r="P130" s="72"/>
      <c r="Q130" s="76"/>
      <c r="R130" s="76"/>
      <c r="S130" s="76"/>
      <c r="T130" s="69"/>
    </row>
    <row r="131" spans="1:20" ht="14.1" customHeight="1" x14ac:dyDescent="0.2">
      <c r="A131" s="61"/>
      <c r="B131" s="74"/>
      <c r="C131" s="74"/>
      <c r="D131" s="74"/>
      <c r="E131" s="70"/>
      <c r="F131" s="70"/>
      <c r="G131" s="70"/>
      <c r="H131" s="70"/>
      <c r="I131" s="70"/>
      <c r="J131" s="70"/>
      <c r="K131" s="70"/>
      <c r="L131" s="70"/>
      <c r="M131" s="70"/>
      <c r="N131" s="71"/>
      <c r="O131" s="71"/>
      <c r="P131" s="72"/>
      <c r="Q131" s="76"/>
      <c r="R131" s="76"/>
      <c r="S131" s="76"/>
      <c r="T131" s="69"/>
    </row>
    <row r="132" spans="1:20" ht="14.1" customHeight="1" x14ac:dyDescent="0.2">
      <c r="A132" s="61"/>
      <c r="B132" s="74"/>
      <c r="C132" s="74"/>
      <c r="D132" s="74"/>
      <c r="E132" s="70"/>
      <c r="F132" s="70"/>
      <c r="G132" s="70"/>
      <c r="H132" s="70"/>
      <c r="I132" s="70"/>
      <c r="J132" s="70"/>
      <c r="K132" s="70"/>
      <c r="L132" s="70"/>
      <c r="M132" s="70"/>
      <c r="N132" s="71"/>
      <c r="O132" s="71"/>
      <c r="P132" s="72"/>
      <c r="Q132" s="76"/>
      <c r="R132" s="76"/>
      <c r="S132" s="76"/>
      <c r="T132" s="69"/>
    </row>
    <row r="133" spans="1:20" ht="14.1" customHeight="1" x14ac:dyDescent="0.2">
      <c r="A133" s="61"/>
      <c r="B133" s="74"/>
      <c r="C133" s="74"/>
      <c r="D133" s="74"/>
      <c r="E133" s="70"/>
      <c r="F133" s="70"/>
      <c r="G133" s="70"/>
      <c r="H133" s="70"/>
      <c r="I133" s="70"/>
      <c r="J133" s="70"/>
      <c r="K133" s="70"/>
      <c r="L133" s="70"/>
      <c r="M133" s="70"/>
      <c r="N133" s="71"/>
      <c r="O133" s="71"/>
      <c r="P133" s="72"/>
      <c r="Q133" s="76"/>
      <c r="R133" s="76"/>
      <c r="S133" s="76"/>
      <c r="T133" s="69"/>
    </row>
    <row r="134" spans="1:20" ht="14.1" customHeight="1" x14ac:dyDescent="0.2">
      <c r="A134" s="61"/>
      <c r="B134" s="74"/>
      <c r="C134" s="74"/>
      <c r="D134" s="74"/>
      <c r="E134" s="70"/>
      <c r="F134" s="70"/>
      <c r="G134" s="70"/>
      <c r="H134" s="70"/>
      <c r="I134" s="70"/>
      <c r="J134" s="70"/>
      <c r="K134" s="70"/>
      <c r="L134" s="70"/>
      <c r="M134" s="70"/>
      <c r="N134" s="71"/>
      <c r="O134" s="71"/>
      <c r="P134" s="72"/>
      <c r="Q134" s="76"/>
      <c r="R134" s="76"/>
      <c r="S134" s="76"/>
      <c r="T134" s="69"/>
    </row>
    <row r="135" spans="1:20" ht="14.1" customHeight="1" x14ac:dyDescent="0.2">
      <c r="A135" s="61"/>
      <c r="B135" s="74"/>
      <c r="C135" s="74"/>
      <c r="D135" s="74"/>
      <c r="E135" s="70"/>
      <c r="F135" s="70"/>
      <c r="G135" s="70"/>
      <c r="H135" s="70"/>
      <c r="I135" s="70"/>
      <c r="J135" s="70"/>
      <c r="K135" s="70"/>
      <c r="L135" s="70"/>
      <c r="M135" s="70"/>
      <c r="N135" s="71"/>
      <c r="O135" s="71"/>
      <c r="P135" s="72"/>
      <c r="Q135" s="76"/>
      <c r="R135" s="76"/>
      <c r="S135" s="76"/>
      <c r="T135" s="69"/>
    </row>
    <row r="136" spans="1:20" ht="14.1" customHeight="1" x14ac:dyDescent="0.2">
      <c r="A136" s="61"/>
      <c r="B136" s="74"/>
      <c r="C136" s="74"/>
      <c r="D136" s="74"/>
      <c r="E136" s="70"/>
      <c r="F136" s="70"/>
      <c r="G136" s="70"/>
      <c r="H136" s="70"/>
      <c r="I136" s="70"/>
      <c r="J136" s="70"/>
      <c r="K136" s="70"/>
      <c r="L136" s="70"/>
      <c r="M136" s="70"/>
      <c r="N136" s="71"/>
      <c r="O136" s="71"/>
      <c r="P136" s="72"/>
      <c r="Q136" s="76"/>
      <c r="R136" s="76"/>
      <c r="S136" s="76"/>
      <c r="T136" s="69"/>
    </row>
    <row r="137" spans="1:20" ht="14.1" customHeight="1" x14ac:dyDescent="0.2">
      <c r="A137" s="61"/>
      <c r="B137" s="74"/>
      <c r="C137" s="74"/>
      <c r="D137" s="74"/>
      <c r="E137" s="70"/>
      <c r="F137" s="70"/>
      <c r="G137" s="70"/>
      <c r="H137" s="70"/>
      <c r="I137" s="70"/>
      <c r="J137" s="70"/>
      <c r="K137" s="70"/>
      <c r="L137" s="70"/>
      <c r="M137" s="70"/>
      <c r="N137" s="71"/>
      <c r="O137" s="71"/>
      <c r="P137" s="72"/>
      <c r="Q137" s="76"/>
      <c r="R137" s="76"/>
      <c r="S137" s="76"/>
      <c r="T137" s="69"/>
    </row>
    <row r="138" spans="1:20" ht="14.1" customHeight="1" x14ac:dyDescent="0.2">
      <c r="A138" s="61"/>
      <c r="B138" s="74"/>
      <c r="C138" s="74"/>
      <c r="D138" s="74"/>
      <c r="E138" s="70"/>
      <c r="F138" s="70"/>
      <c r="G138" s="70"/>
      <c r="H138" s="70"/>
      <c r="I138" s="70"/>
      <c r="J138" s="70"/>
      <c r="K138" s="70"/>
      <c r="L138" s="70"/>
      <c r="M138" s="70"/>
      <c r="N138" s="71"/>
      <c r="O138" s="71"/>
      <c r="P138" s="72"/>
      <c r="Q138" s="76"/>
      <c r="R138" s="76"/>
      <c r="S138" s="76"/>
      <c r="T138" s="69"/>
    </row>
    <row r="139" spans="1:20" ht="14.1" customHeight="1" x14ac:dyDescent="0.2">
      <c r="A139" s="61"/>
      <c r="B139" s="74"/>
      <c r="C139" s="74"/>
      <c r="D139" s="74"/>
      <c r="E139" s="70"/>
      <c r="F139" s="70"/>
      <c r="G139" s="70"/>
      <c r="H139" s="70"/>
      <c r="I139" s="70"/>
      <c r="J139" s="70"/>
      <c r="K139" s="70"/>
      <c r="L139" s="70"/>
      <c r="M139" s="70"/>
      <c r="N139" s="71"/>
      <c r="O139" s="71"/>
      <c r="P139" s="72"/>
      <c r="Q139" s="76"/>
      <c r="R139" s="76"/>
      <c r="S139" s="76"/>
      <c r="T139" s="69"/>
    </row>
    <row r="140" spans="1:20" ht="14.1" customHeight="1" x14ac:dyDescent="0.2">
      <c r="A140" s="61"/>
      <c r="B140" s="74"/>
      <c r="C140" s="74"/>
      <c r="D140" s="74"/>
      <c r="E140" s="70"/>
      <c r="F140" s="70"/>
      <c r="G140" s="70"/>
      <c r="H140" s="70"/>
      <c r="I140" s="70"/>
      <c r="J140" s="70"/>
      <c r="K140" s="70"/>
      <c r="L140" s="70"/>
      <c r="M140" s="70"/>
      <c r="N140" s="71"/>
      <c r="O140" s="71"/>
      <c r="P140" s="72"/>
      <c r="Q140" s="76"/>
      <c r="R140" s="76"/>
      <c r="S140" s="76"/>
      <c r="T140" s="69"/>
    </row>
    <row r="141" spans="1:20" ht="14.1" customHeight="1" x14ac:dyDescent="0.2">
      <c r="A141" s="61"/>
      <c r="B141" s="74"/>
      <c r="C141" s="74"/>
      <c r="D141" s="74"/>
      <c r="E141" s="70"/>
      <c r="F141" s="70"/>
      <c r="G141" s="70"/>
      <c r="H141" s="70"/>
      <c r="I141" s="70"/>
      <c r="J141" s="70"/>
      <c r="K141" s="70"/>
      <c r="L141" s="70"/>
      <c r="M141" s="70"/>
      <c r="N141" s="71"/>
      <c r="O141" s="71"/>
      <c r="P141" s="72"/>
      <c r="Q141" s="76"/>
      <c r="R141" s="76"/>
      <c r="S141" s="76"/>
      <c r="T141" s="69"/>
    </row>
    <row r="142" spans="1:20" ht="14.1" customHeight="1" x14ac:dyDescent="0.2">
      <c r="A142" s="61"/>
      <c r="B142" s="74"/>
      <c r="C142" s="74"/>
      <c r="D142" s="74"/>
      <c r="E142" s="70"/>
      <c r="F142" s="70"/>
      <c r="G142" s="70"/>
      <c r="H142" s="70"/>
      <c r="I142" s="70"/>
      <c r="J142" s="70"/>
      <c r="K142" s="70"/>
      <c r="L142" s="70"/>
      <c r="M142" s="70"/>
      <c r="N142" s="71"/>
      <c r="O142" s="71"/>
      <c r="P142" s="72"/>
      <c r="Q142" s="76"/>
      <c r="R142" s="76"/>
      <c r="S142" s="76"/>
      <c r="T142" s="69"/>
    </row>
    <row r="143" spans="1:20" ht="14.1" customHeight="1" x14ac:dyDescent="0.2">
      <c r="A143" s="61"/>
      <c r="B143" s="74"/>
      <c r="C143" s="74"/>
      <c r="D143" s="74"/>
      <c r="E143" s="70"/>
      <c r="F143" s="70"/>
      <c r="G143" s="70"/>
      <c r="H143" s="70"/>
      <c r="I143" s="70"/>
      <c r="J143" s="70"/>
      <c r="K143" s="70"/>
      <c r="L143" s="70"/>
      <c r="M143" s="70"/>
      <c r="N143" s="71"/>
      <c r="O143" s="71"/>
      <c r="P143" s="72"/>
      <c r="Q143" s="76"/>
      <c r="R143" s="76"/>
      <c r="S143" s="76"/>
      <c r="T143" s="69"/>
    </row>
    <row r="144" spans="1:20" ht="14.1" customHeight="1" x14ac:dyDescent="0.2">
      <c r="A144" s="61"/>
      <c r="B144" s="74"/>
      <c r="C144" s="74"/>
      <c r="D144" s="74"/>
      <c r="E144" s="70"/>
      <c r="F144" s="70"/>
      <c r="G144" s="70"/>
      <c r="H144" s="70"/>
      <c r="I144" s="70"/>
      <c r="J144" s="70"/>
      <c r="K144" s="70"/>
      <c r="L144" s="70"/>
      <c r="M144" s="70"/>
      <c r="N144" s="71"/>
      <c r="O144" s="71"/>
      <c r="P144" s="72"/>
      <c r="Q144" s="76"/>
      <c r="R144" s="76"/>
      <c r="S144" s="76"/>
      <c r="T144" s="69"/>
    </row>
    <row r="145" spans="1:20" ht="14.1" customHeight="1" x14ac:dyDescent="0.2">
      <c r="A145" s="61"/>
      <c r="B145" s="74"/>
      <c r="C145" s="74"/>
      <c r="D145" s="74"/>
      <c r="E145" s="70"/>
      <c r="F145" s="70"/>
      <c r="G145" s="70"/>
      <c r="H145" s="70"/>
      <c r="I145" s="70"/>
      <c r="J145" s="70"/>
      <c r="K145" s="70"/>
      <c r="L145" s="70"/>
      <c r="M145" s="70"/>
      <c r="N145" s="71"/>
      <c r="O145" s="71"/>
      <c r="P145" s="72"/>
      <c r="Q145" s="76"/>
      <c r="R145" s="76"/>
      <c r="S145" s="76"/>
      <c r="T145" s="69"/>
    </row>
    <row r="146" spans="1:20" ht="14.1" customHeight="1" x14ac:dyDescent="0.2">
      <c r="A146" s="61"/>
      <c r="B146" s="74"/>
      <c r="C146" s="74"/>
      <c r="D146" s="74"/>
      <c r="E146" s="70"/>
      <c r="F146" s="70"/>
      <c r="G146" s="70"/>
      <c r="H146" s="70"/>
      <c r="I146" s="70"/>
      <c r="J146" s="70"/>
      <c r="K146" s="70"/>
      <c r="L146" s="70"/>
      <c r="M146" s="70"/>
      <c r="N146" s="71"/>
      <c r="O146" s="71"/>
      <c r="P146" s="72"/>
      <c r="Q146" s="76"/>
      <c r="R146" s="76"/>
      <c r="S146" s="76"/>
      <c r="T146" s="69"/>
    </row>
    <row r="147" spans="1:20" ht="14.1" customHeight="1" x14ac:dyDescent="0.2">
      <c r="A147" s="61"/>
      <c r="B147" s="74"/>
      <c r="C147" s="74"/>
      <c r="D147" s="74"/>
      <c r="E147" s="70"/>
      <c r="F147" s="70"/>
      <c r="G147" s="70"/>
      <c r="H147" s="70"/>
      <c r="I147" s="70"/>
      <c r="J147" s="70"/>
      <c r="K147" s="70"/>
      <c r="L147" s="70"/>
      <c r="M147" s="70"/>
      <c r="N147" s="71"/>
      <c r="O147" s="71"/>
      <c r="P147" s="72"/>
      <c r="Q147" s="76"/>
      <c r="R147" s="76"/>
      <c r="S147" s="76"/>
      <c r="T147" s="69"/>
    </row>
    <row r="148" spans="1:20" ht="14.1" customHeight="1" x14ac:dyDescent="0.2">
      <c r="A148" s="61"/>
      <c r="B148" s="74"/>
      <c r="C148" s="74"/>
      <c r="D148" s="74"/>
      <c r="E148" s="70"/>
      <c r="F148" s="70"/>
      <c r="G148" s="70"/>
      <c r="H148" s="70"/>
      <c r="I148" s="70"/>
      <c r="J148" s="70"/>
      <c r="K148" s="70"/>
      <c r="L148" s="70"/>
      <c r="M148" s="70"/>
      <c r="N148" s="71"/>
      <c r="O148" s="71"/>
      <c r="P148" s="72"/>
      <c r="Q148" s="76"/>
      <c r="R148" s="76"/>
      <c r="S148" s="76"/>
      <c r="T148" s="69"/>
    </row>
    <row r="149" spans="1:20" ht="14.1" customHeight="1" x14ac:dyDescent="0.2">
      <c r="A149" s="61"/>
      <c r="B149" s="74"/>
      <c r="C149" s="74"/>
      <c r="D149" s="74"/>
      <c r="E149" s="70"/>
      <c r="F149" s="70"/>
      <c r="G149" s="70"/>
      <c r="H149" s="70"/>
      <c r="I149" s="70"/>
      <c r="J149" s="70"/>
      <c r="K149" s="70"/>
      <c r="L149" s="70"/>
      <c r="M149" s="70"/>
      <c r="N149" s="71"/>
      <c r="O149" s="71"/>
      <c r="P149" s="72"/>
      <c r="Q149" s="76"/>
      <c r="R149" s="76"/>
      <c r="S149" s="76"/>
      <c r="T149" s="69"/>
    </row>
    <row r="150" spans="1:20" ht="14.1" customHeight="1" x14ac:dyDescent="0.2">
      <c r="A150" s="61"/>
      <c r="B150" s="74"/>
      <c r="C150" s="74"/>
      <c r="D150" s="74"/>
      <c r="E150" s="70"/>
      <c r="F150" s="70"/>
      <c r="G150" s="70"/>
      <c r="H150" s="70"/>
      <c r="I150" s="70"/>
      <c r="J150" s="70"/>
      <c r="K150" s="70"/>
      <c r="L150" s="70"/>
      <c r="M150" s="70"/>
      <c r="N150" s="71"/>
      <c r="O150" s="71"/>
      <c r="P150" s="72"/>
      <c r="Q150" s="76"/>
      <c r="R150" s="76"/>
      <c r="S150" s="76"/>
      <c r="T150" s="69"/>
    </row>
    <row r="151" spans="1:20" ht="14.1" customHeight="1" x14ac:dyDescent="0.2">
      <c r="A151" s="61"/>
      <c r="B151" s="74"/>
      <c r="C151" s="74"/>
      <c r="D151" s="74"/>
      <c r="E151" s="70"/>
      <c r="F151" s="70"/>
      <c r="G151" s="70"/>
      <c r="H151" s="70"/>
      <c r="I151" s="70"/>
      <c r="J151" s="70"/>
      <c r="K151" s="70"/>
      <c r="L151" s="70"/>
      <c r="M151" s="70"/>
      <c r="N151" s="71"/>
      <c r="O151" s="71"/>
      <c r="P151" s="72"/>
      <c r="Q151" s="76"/>
      <c r="R151" s="76"/>
      <c r="S151" s="76"/>
      <c r="T151" s="69"/>
    </row>
    <row r="152" spans="1:20" ht="14.1" customHeight="1" x14ac:dyDescent="0.2">
      <c r="A152" s="61"/>
      <c r="B152" s="74"/>
      <c r="C152" s="74"/>
      <c r="D152" s="74"/>
      <c r="E152" s="70"/>
      <c r="F152" s="70"/>
      <c r="G152" s="70"/>
      <c r="H152" s="70"/>
      <c r="I152" s="70"/>
      <c r="J152" s="70"/>
      <c r="K152" s="70"/>
      <c r="L152" s="70"/>
      <c r="M152" s="70"/>
      <c r="N152" s="71"/>
      <c r="O152" s="71"/>
      <c r="P152" s="72"/>
      <c r="Q152" s="76"/>
      <c r="R152" s="76"/>
      <c r="S152" s="76"/>
      <c r="T152" s="69"/>
    </row>
    <row r="153" spans="1:20" ht="14.1" customHeight="1" x14ac:dyDescent="0.2">
      <c r="A153" s="61"/>
      <c r="B153" s="74"/>
      <c r="C153" s="74"/>
      <c r="D153" s="74"/>
      <c r="E153" s="70"/>
      <c r="F153" s="70"/>
      <c r="G153" s="70"/>
      <c r="H153" s="70"/>
      <c r="I153" s="70"/>
      <c r="J153" s="70"/>
      <c r="K153" s="70"/>
      <c r="L153" s="70"/>
      <c r="M153" s="70"/>
      <c r="N153" s="71"/>
      <c r="O153" s="71"/>
      <c r="P153" s="72"/>
      <c r="Q153" s="76"/>
      <c r="R153" s="76"/>
      <c r="S153" s="76"/>
      <c r="T153" s="69"/>
    </row>
    <row r="154" spans="1:20" ht="14.1" customHeight="1" x14ac:dyDescent="0.2">
      <c r="A154" s="61"/>
      <c r="B154" s="74"/>
      <c r="C154" s="74"/>
      <c r="D154" s="74"/>
      <c r="E154" s="70"/>
      <c r="F154" s="70"/>
      <c r="G154" s="70"/>
      <c r="H154" s="70"/>
      <c r="I154" s="70"/>
      <c r="J154" s="70"/>
      <c r="K154" s="70"/>
      <c r="L154" s="70"/>
      <c r="M154" s="70"/>
      <c r="N154" s="71"/>
      <c r="O154" s="71"/>
      <c r="P154" s="72"/>
      <c r="Q154" s="76"/>
      <c r="R154" s="76"/>
      <c r="S154" s="76"/>
      <c r="T154" s="69"/>
    </row>
    <row r="155" spans="1:20" ht="14.1" customHeight="1" x14ac:dyDescent="0.2">
      <c r="A155" s="61"/>
      <c r="B155" s="74"/>
      <c r="C155" s="74"/>
      <c r="D155" s="74"/>
      <c r="E155" s="70"/>
      <c r="F155" s="70"/>
      <c r="G155" s="70"/>
      <c r="H155" s="70"/>
      <c r="I155" s="70"/>
      <c r="J155" s="70"/>
      <c r="K155" s="70"/>
      <c r="L155" s="70"/>
      <c r="M155" s="70"/>
      <c r="N155" s="71"/>
      <c r="O155" s="71"/>
      <c r="P155" s="72"/>
      <c r="Q155" s="76"/>
      <c r="R155" s="76"/>
      <c r="S155" s="76"/>
      <c r="T155" s="69"/>
    </row>
    <row r="156" spans="1:20" ht="14.1" customHeight="1" x14ac:dyDescent="0.2">
      <c r="A156" s="61"/>
      <c r="B156" s="74"/>
      <c r="C156" s="74"/>
      <c r="D156" s="74"/>
      <c r="E156" s="70"/>
      <c r="F156" s="70"/>
      <c r="G156" s="70"/>
      <c r="H156" s="70"/>
      <c r="I156" s="70"/>
      <c r="J156" s="70"/>
      <c r="K156" s="70"/>
      <c r="L156" s="70"/>
      <c r="M156" s="70"/>
      <c r="N156" s="71"/>
      <c r="O156" s="71"/>
      <c r="P156" s="72"/>
      <c r="Q156" s="76"/>
      <c r="R156" s="76"/>
      <c r="S156" s="76"/>
      <c r="T156" s="69"/>
    </row>
    <row r="157" spans="1:20" ht="14.1" customHeight="1" x14ac:dyDescent="0.2">
      <c r="A157" s="61"/>
      <c r="B157" s="74"/>
      <c r="C157" s="74"/>
      <c r="D157" s="74"/>
      <c r="E157" s="70"/>
      <c r="F157" s="70"/>
      <c r="G157" s="70"/>
      <c r="H157" s="70"/>
      <c r="I157" s="70"/>
      <c r="J157" s="70"/>
      <c r="K157" s="70"/>
      <c r="L157" s="70"/>
      <c r="M157" s="70"/>
      <c r="N157" s="71"/>
      <c r="O157" s="71"/>
      <c r="P157" s="72"/>
      <c r="Q157" s="76"/>
      <c r="R157" s="76"/>
      <c r="S157" s="76"/>
      <c r="T157" s="69"/>
    </row>
    <row r="158" spans="1:20" ht="14.1" customHeight="1" x14ac:dyDescent="0.2">
      <c r="A158" s="61"/>
      <c r="B158" s="74"/>
      <c r="C158" s="74"/>
      <c r="D158" s="74"/>
      <c r="E158" s="70"/>
      <c r="F158" s="70"/>
      <c r="G158" s="70"/>
      <c r="H158" s="70"/>
      <c r="I158" s="70"/>
      <c r="J158" s="70"/>
      <c r="K158" s="70"/>
      <c r="L158" s="70"/>
      <c r="M158" s="70"/>
      <c r="N158" s="71"/>
      <c r="O158" s="71"/>
      <c r="P158" s="72"/>
      <c r="Q158" s="76"/>
      <c r="R158" s="76"/>
      <c r="S158" s="76"/>
      <c r="T158" s="69"/>
    </row>
    <row r="159" spans="1:20" ht="14.1" customHeight="1" x14ac:dyDescent="0.2">
      <c r="A159" s="61"/>
      <c r="B159" s="74"/>
      <c r="C159" s="74"/>
      <c r="D159" s="74"/>
      <c r="E159" s="70"/>
      <c r="F159" s="70"/>
      <c r="G159" s="70"/>
      <c r="H159" s="70"/>
      <c r="I159" s="70"/>
      <c r="J159" s="70"/>
      <c r="K159" s="70"/>
      <c r="L159" s="70"/>
      <c r="M159" s="70"/>
      <c r="N159" s="71"/>
      <c r="O159" s="71"/>
      <c r="P159" s="72"/>
      <c r="Q159" s="76"/>
      <c r="R159" s="76"/>
      <c r="S159" s="76"/>
      <c r="T159" s="69"/>
    </row>
    <row r="160" spans="1:20" ht="14.1" customHeight="1" x14ac:dyDescent="0.2">
      <c r="A160" s="61"/>
      <c r="B160" s="74"/>
      <c r="C160" s="74"/>
      <c r="D160" s="74"/>
      <c r="E160" s="70"/>
      <c r="F160" s="70"/>
      <c r="G160" s="70"/>
      <c r="H160" s="70"/>
      <c r="I160" s="70"/>
      <c r="J160" s="70"/>
      <c r="K160" s="70"/>
      <c r="L160" s="70"/>
      <c r="M160" s="70"/>
      <c r="N160" s="71"/>
      <c r="O160" s="71"/>
      <c r="P160" s="72"/>
      <c r="Q160" s="76"/>
      <c r="R160" s="76"/>
      <c r="S160" s="76"/>
      <c r="T160" s="69"/>
    </row>
    <row r="161" spans="1:20" ht="14.1" customHeight="1" x14ac:dyDescent="0.2">
      <c r="A161" s="61"/>
      <c r="B161" s="74"/>
      <c r="C161" s="74"/>
      <c r="D161" s="74"/>
      <c r="E161" s="70"/>
      <c r="F161" s="70"/>
      <c r="G161" s="70"/>
      <c r="H161" s="70"/>
      <c r="I161" s="70"/>
      <c r="J161" s="70"/>
      <c r="K161" s="70"/>
      <c r="L161" s="70"/>
      <c r="M161" s="70"/>
      <c r="N161" s="71"/>
      <c r="O161" s="71"/>
      <c r="P161" s="72"/>
      <c r="Q161" s="76"/>
      <c r="R161" s="76"/>
      <c r="S161" s="76"/>
      <c r="T161" s="69"/>
    </row>
    <row r="162" spans="1:20" ht="14.1" customHeight="1" x14ac:dyDescent="0.2">
      <c r="A162" s="61"/>
      <c r="B162" s="74"/>
      <c r="C162" s="74"/>
      <c r="D162" s="74"/>
      <c r="E162" s="70"/>
      <c r="F162" s="70"/>
      <c r="G162" s="70"/>
      <c r="H162" s="70"/>
      <c r="I162" s="70"/>
      <c r="J162" s="70"/>
      <c r="K162" s="70"/>
      <c r="L162" s="70"/>
      <c r="M162" s="70"/>
      <c r="N162" s="71"/>
      <c r="O162" s="71"/>
      <c r="P162" s="72"/>
      <c r="Q162" s="76"/>
      <c r="R162" s="76"/>
      <c r="S162" s="76"/>
      <c r="T162" s="69"/>
    </row>
    <row r="163" spans="1:20" ht="14.1" customHeight="1" x14ac:dyDescent="0.2">
      <c r="A163" s="61"/>
      <c r="B163" s="74"/>
      <c r="C163" s="74"/>
      <c r="D163" s="74"/>
      <c r="E163" s="70"/>
      <c r="F163" s="70"/>
      <c r="G163" s="70"/>
      <c r="H163" s="70"/>
      <c r="I163" s="70"/>
      <c r="J163" s="70"/>
      <c r="K163" s="70"/>
      <c r="L163" s="70"/>
      <c r="M163" s="70"/>
      <c r="N163" s="71"/>
      <c r="O163" s="71"/>
      <c r="P163" s="72"/>
      <c r="Q163" s="76"/>
      <c r="R163" s="76"/>
      <c r="S163" s="76"/>
      <c r="T163" s="69"/>
    </row>
    <row r="164" spans="1:20" ht="14.1" customHeight="1" x14ac:dyDescent="0.2">
      <c r="A164" s="61"/>
      <c r="B164" s="74"/>
      <c r="C164" s="74"/>
      <c r="D164" s="74"/>
      <c r="E164" s="70"/>
      <c r="F164" s="70"/>
      <c r="G164" s="70"/>
      <c r="H164" s="70"/>
      <c r="I164" s="70"/>
      <c r="J164" s="70"/>
      <c r="K164" s="70"/>
      <c r="L164" s="70"/>
      <c r="M164" s="70"/>
      <c r="N164" s="71"/>
      <c r="O164" s="71"/>
      <c r="P164" s="72"/>
      <c r="Q164" s="76"/>
      <c r="R164" s="76"/>
      <c r="S164" s="76"/>
      <c r="T164" s="69"/>
    </row>
    <row r="165" spans="1:20" ht="14.1" customHeight="1" x14ac:dyDescent="0.2">
      <c r="A165" s="61"/>
      <c r="B165" s="74"/>
      <c r="C165" s="74"/>
      <c r="D165" s="74"/>
      <c r="E165" s="70"/>
      <c r="F165" s="70"/>
      <c r="G165" s="70"/>
      <c r="H165" s="70"/>
      <c r="I165" s="70"/>
      <c r="J165" s="70"/>
      <c r="K165" s="70"/>
      <c r="L165" s="70"/>
      <c r="M165" s="70"/>
      <c r="N165" s="71"/>
      <c r="O165" s="71"/>
      <c r="P165" s="72"/>
      <c r="Q165" s="76"/>
      <c r="R165" s="76"/>
      <c r="S165" s="76"/>
      <c r="T165" s="69"/>
    </row>
    <row r="166" spans="1:20" ht="14.1" customHeight="1" x14ac:dyDescent="0.2">
      <c r="A166" s="61"/>
      <c r="B166" s="74"/>
      <c r="C166" s="74"/>
      <c r="D166" s="74"/>
      <c r="E166" s="70"/>
      <c r="F166" s="70"/>
      <c r="G166" s="70"/>
      <c r="H166" s="70"/>
      <c r="I166" s="70"/>
      <c r="J166" s="70"/>
      <c r="K166" s="70"/>
      <c r="L166" s="70"/>
      <c r="M166" s="70"/>
      <c r="N166" s="71"/>
      <c r="O166" s="71"/>
      <c r="P166" s="72"/>
      <c r="Q166" s="76"/>
      <c r="R166" s="76"/>
      <c r="S166" s="76"/>
      <c r="T166" s="69"/>
    </row>
    <row r="167" spans="1:20" ht="14.1" customHeight="1" x14ac:dyDescent="0.2">
      <c r="A167" s="61"/>
      <c r="B167" s="74"/>
      <c r="C167" s="74"/>
      <c r="D167" s="74"/>
      <c r="E167" s="70"/>
      <c r="F167" s="70"/>
      <c r="G167" s="70"/>
      <c r="H167" s="70"/>
      <c r="I167" s="70"/>
      <c r="J167" s="70"/>
      <c r="K167" s="70"/>
      <c r="L167" s="70"/>
      <c r="M167" s="70"/>
      <c r="N167" s="71"/>
      <c r="O167" s="71"/>
      <c r="P167" s="72"/>
      <c r="Q167" s="76"/>
      <c r="R167" s="76"/>
      <c r="S167" s="76"/>
      <c r="T167" s="69"/>
    </row>
    <row r="168" spans="1:20" ht="14.1" customHeight="1" x14ac:dyDescent="0.2">
      <c r="A168" s="61"/>
      <c r="B168" s="74"/>
      <c r="C168" s="74"/>
      <c r="D168" s="74"/>
      <c r="E168" s="70"/>
      <c r="F168" s="70"/>
      <c r="G168" s="70"/>
      <c r="H168" s="70"/>
      <c r="I168" s="70"/>
      <c r="J168" s="70"/>
      <c r="K168" s="70"/>
      <c r="L168" s="70"/>
      <c r="M168" s="70"/>
      <c r="N168" s="71"/>
      <c r="O168" s="71"/>
      <c r="P168" s="72"/>
      <c r="Q168" s="76"/>
      <c r="R168" s="76"/>
      <c r="S168" s="76"/>
      <c r="T168" s="69"/>
    </row>
    <row r="169" spans="1:20" ht="14.1" customHeight="1" x14ac:dyDescent="0.2">
      <c r="A169" s="61"/>
      <c r="B169" s="74"/>
      <c r="C169" s="74"/>
      <c r="D169" s="74"/>
      <c r="E169" s="70"/>
      <c r="F169" s="70"/>
      <c r="G169" s="70"/>
      <c r="H169" s="70"/>
      <c r="I169" s="70"/>
      <c r="J169" s="70"/>
      <c r="K169" s="70"/>
      <c r="L169" s="70"/>
      <c r="M169" s="70"/>
      <c r="N169" s="71"/>
      <c r="O169" s="71"/>
      <c r="P169" s="72"/>
      <c r="Q169" s="76"/>
      <c r="R169" s="76"/>
      <c r="S169" s="76"/>
      <c r="T169" s="69"/>
    </row>
    <row r="170" spans="1:20" ht="14.1" customHeight="1" x14ac:dyDescent="0.2">
      <c r="A170" s="61"/>
      <c r="B170" s="74"/>
      <c r="C170" s="74"/>
      <c r="D170" s="74"/>
      <c r="E170" s="70"/>
      <c r="F170" s="70"/>
      <c r="G170" s="70"/>
      <c r="H170" s="70"/>
      <c r="I170" s="70"/>
      <c r="J170" s="70"/>
      <c r="K170" s="70"/>
      <c r="L170" s="70"/>
      <c r="M170" s="70"/>
      <c r="N170" s="71"/>
      <c r="O170" s="71"/>
      <c r="P170" s="72"/>
      <c r="Q170" s="76"/>
      <c r="R170" s="76"/>
      <c r="S170" s="76"/>
      <c r="T170" s="69"/>
    </row>
    <row r="171" spans="1:20" ht="14.1" customHeight="1" x14ac:dyDescent="0.2">
      <c r="A171" s="61"/>
      <c r="B171" s="74"/>
      <c r="C171" s="74"/>
      <c r="D171" s="74"/>
      <c r="E171" s="70"/>
      <c r="F171" s="70"/>
      <c r="G171" s="70"/>
      <c r="H171" s="70"/>
      <c r="I171" s="70"/>
      <c r="J171" s="70"/>
      <c r="K171" s="70"/>
      <c r="L171" s="70"/>
      <c r="M171" s="70"/>
      <c r="N171" s="71"/>
      <c r="O171" s="71"/>
      <c r="P171" s="72"/>
      <c r="Q171" s="76"/>
      <c r="R171" s="76"/>
      <c r="S171" s="76"/>
      <c r="T171" s="69"/>
    </row>
    <row r="172" spans="1:20" ht="14.1" customHeight="1" x14ac:dyDescent="0.2">
      <c r="A172" s="61"/>
      <c r="B172" s="74"/>
      <c r="C172" s="74"/>
      <c r="D172" s="74"/>
      <c r="E172" s="70"/>
      <c r="F172" s="70"/>
      <c r="G172" s="70"/>
      <c r="H172" s="70"/>
      <c r="I172" s="70"/>
      <c r="J172" s="70"/>
      <c r="K172" s="70"/>
      <c r="L172" s="70"/>
      <c r="M172" s="70"/>
      <c r="N172" s="71"/>
      <c r="O172" s="71"/>
      <c r="P172" s="72"/>
      <c r="Q172" s="76"/>
      <c r="R172" s="76"/>
      <c r="S172" s="76"/>
      <c r="T172" s="69"/>
    </row>
    <row r="173" spans="1:20" ht="14.1" customHeight="1" x14ac:dyDescent="0.2">
      <c r="A173" s="61"/>
      <c r="B173" s="74"/>
      <c r="C173" s="74"/>
      <c r="D173" s="74"/>
      <c r="E173" s="70"/>
      <c r="F173" s="70"/>
      <c r="G173" s="70"/>
      <c r="H173" s="70"/>
      <c r="I173" s="70"/>
      <c r="J173" s="70"/>
      <c r="K173" s="70"/>
      <c r="L173" s="70"/>
      <c r="M173" s="70"/>
      <c r="N173" s="71"/>
      <c r="O173" s="71"/>
      <c r="P173" s="72"/>
      <c r="Q173" s="76"/>
      <c r="R173" s="76"/>
      <c r="S173" s="76"/>
      <c r="T173" s="69"/>
    </row>
    <row r="174" spans="1:20" ht="14.1" customHeight="1" x14ac:dyDescent="0.2">
      <c r="A174" s="61"/>
      <c r="B174" s="74"/>
      <c r="C174" s="74"/>
      <c r="D174" s="74"/>
      <c r="E174" s="70"/>
      <c r="F174" s="70"/>
      <c r="G174" s="70"/>
      <c r="H174" s="70"/>
      <c r="I174" s="70"/>
      <c r="J174" s="70"/>
      <c r="K174" s="70"/>
      <c r="L174" s="70"/>
      <c r="M174" s="70"/>
      <c r="N174" s="71"/>
      <c r="O174" s="71"/>
      <c r="P174" s="72"/>
      <c r="Q174" s="76"/>
      <c r="R174" s="76"/>
      <c r="S174" s="76"/>
      <c r="T174" s="69"/>
    </row>
    <row r="175" spans="1:20" ht="14.1" customHeight="1" x14ac:dyDescent="0.2">
      <c r="A175" s="61"/>
      <c r="B175" s="74"/>
      <c r="C175" s="74"/>
      <c r="D175" s="74"/>
      <c r="E175" s="70"/>
      <c r="F175" s="70"/>
      <c r="G175" s="70"/>
      <c r="H175" s="70"/>
      <c r="I175" s="70"/>
      <c r="J175" s="70"/>
      <c r="K175" s="70"/>
      <c r="L175" s="70"/>
      <c r="M175" s="70"/>
      <c r="N175" s="71"/>
      <c r="O175" s="71"/>
      <c r="P175" s="72"/>
      <c r="Q175" s="76"/>
      <c r="R175" s="76"/>
      <c r="S175" s="76"/>
      <c r="T175" s="69"/>
    </row>
    <row r="176" spans="1:20" ht="14.1" customHeight="1" x14ac:dyDescent="0.2">
      <c r="A176" s="61"/>
      <c r="B176" s="74"/>
      <c r="C176" s="74"/>
      <c r="D176" s="74"/>
      <c r="E176" s="70"/>
      <c r="F176" s="70"/>
      <c r="G176" s="70"/>
      <c r="H176" s="70"/>
      <c r="I176" s="70"/>
      <c r="J176" s="70"/>
      <c r="K176" s="70"/>
      <c r="L176" s="70"/>
      <c r="M176" s="70"/>
      <c r="N176" s="71"/>
      <c r="O176" s="71"/>
      <c r="P176" s="72"/>
      <c r="Q176" s="76"/>
      <c r="R176" s="76"/>
      <c r="S176" s="76"/>
      <c r="T176" s="69"/>
    </row>
    <row r="177" spans="1:20" ht="14.1" customHeight="1" x14ac:dyDescent="0.2">
      <c r="A177" s="61"/>
      <c r="B177" s="74"/>
      <c r="C177" s="74"/>
      <c r="D177" s="74"/>
      <c r="E177" s="70"/>
      <c r="F177" s="70"/>
      <c r="G177" s="70"/>
      <c r="H177" s="70"/>
      <c r="I177" s="70"/>
      <c r="J177" s="70"/>
      <c r="K177" s="70"/>
      <c r="L177" s="70"/>
      <c r="M177" s="70"/>
      <c r="N177" s="71"/>
      <c r="O177" s="71"/>
      <c r="P177" s="72"/>
      <c r="Q177" s="76"/>
      <c r="R177" s="76"/>
      <c r="S177" s="76"/>
      <c r="T177" s="69"/>
    </row>
    <row r="178" spans="1:20" ht="14.1" customHeight="1" x14ac:dyDescent="0.2">
      <c r="A178" s="61"/>
      <c r="B178" s="74"/>
      <c r="C178" s="74"/>
      <c r="D178" s="74"/>
      <c r="E178" s="70"/>
      <c r="F178" s="70"/>
      <c r="G178" s="70"/>
      <c r="H178" s="70"/>
      <c r="I178" s="70"/>
      <c r="J178" s="70"/>
      <c r="K178" s="70"/>
      <c r="L178" s="70"/>
      <c r="M178" s="70"/>
      <c r="N178" s="71"/>
      <c r="O178" s="71"/>
      <c r="P178" s="72"/>
      <c r="Q178" s="76"/>
      <c r="R178" s="76"/>
      <c r="S178" s="76"/>
      <c r="T178" s="69"/>
    </row>
    <row r="179" spans="1:20" ht="14.1" customHeight="1" x14ac:dyDescent="0.2">
      <c r="A179" s="61"/>
      <c r="B179" s="74"/>
      <c r="C179" s="74"/>
      <c r="D179" s="74"/>
      <c r="E179" s="70"/>
      <c r="F179" s="70"/>
      <c r="G179" s="70"/>
      <c r="H179" s="70"/>
      <c r="I179" s="70"/>
      <c r="J179" s="70"/>
      <c r="K179" s="70"/>
      <c r="L179" s="70"/>
      <c r="M179" s="70"/>
      <c r="N179" s="71"/>
      <c r="O179" s="71"/>
      <c r="P179" s="72"/>
      <c r="Q179" s="76"/>
      <c r="R179" s="76"/>
      <c r="S179" s="76"/>
      <c r="T179" s="69"/>
    </row>
    <row r="180" spans="1:20" ht="14.1" customHeight="1" x14ac:dyDescent="0.2">
      <c r="A180" s="61"/>
      <c r="B180" s="74"/>
      <c r="C180" s="74"/>
      <c r="D180" s="74"/>
      <c r="E180" s="70"/>
      <c r="F180" s="70"/>
      <c r="G180" s="70"/>
      <c r="H180" s="70"/>
      <c r="I180" s="70"/>
      <c r="J180" s="70"/>
      <c r="K180" s="70"/>
      <c r="L180" s="70"/>
      <c r="M180" s="70"/>
      <c r="N180" s="71"/>
      <c r="O180" s="71"/>
      <c r="P180" s="72"/>
      <c r="Q180" s="76"/>
      <c r="R180" s="76"/>
      <c r="S180" s="76"/>
      <c r="T180" s="69"/>
    </row>
    <row r="181" spans="1:20" ht="14.1" customHeight="1" x14ac:dyDescent="0.2">
      <c r="A181" s="61"/>
      <c r="B181" s="74"/>
      <c r="C181" s="74"/>
      <c r="D181" s="74"/>
      <c r="E181" s="70"/>
      <c r="F181" s="70"/>
      <c r="G181" s="70"/>
      <c r="H181" s="70"/>
      <c r="I181" s="70"/>
      <c r="J181" s="70"/>
      <c r="K181" s="70"/>
      <c r="L181" s="70"/>
      <c r="M181" s="70"/>
      <c r="N181" s="71"/>
      <c r="O181" s="71"/>
      <c r="P181" s="72"/>
      <c r="Q181" s="76"/>
      <c r="R181" s="76"/>
      <c r="S181" s="76"/>
      <c r="T181" s="69"/>
    </row>
    <row r="182" spans="1:20" ht="14.1" customHeight="1" x14ac:dyDescent="0.2">
      <c r="A182" s="61"/>
      <c r="B182" s="74"/>
      <c r="C182" s="74"/>
      <c r="D182" s="74"/>
      <c r="E182" s="70"/>
      <c r="F182" s="70"/>
      <c r="G182" s="70"/>
      <c r="H182" s="70"/>
      <c r="I182" s="70"/>
      <c r="J182" s="70"/>
      <c r="K182" s="70"/>
      <c r="L182" s="70"/>
      <c r="M182" s="70"/>
      <c r="N182" s="71"/>
      <c r="O182" s="71"/>
      <c r="P182" s="72"/>
      <c r="Q182" s="76"/>
      <c r="R182" s="76"/>
      <c r="S182" s="76"/>
      <c r="T182" s="69"/>
    </row>
    <row r="183" spans="1:20" ht="14.1" customHeight="1" x14ac:dyDescent="0.2">
      <c r="A183" s="61"/>
      <c r="B183" s="74"/>
      <c r="C183" s="74"/>
      <c r="D183" s="74"/>
      <c r="E183" s="70"/>
      <c r="F183" s="70"/>
      <c r="G183" s="70"/>
      <c r="H183" s="70"/>
      <c r="I183" s="70"/>
      <c r="J183" s="70"/>
      <c r="K183" s="70"/>
      <c r="L183" s="70"/>
      <c r="M183" s="70"/>
      <c r="N183" s="71"/>
      <c r="O183" s="71"/>
      <c r="P183" s="72"/>
      <c r="Q183" s="76"/>
      <c r="R183" s="76"/>
      <c r="S183" s="76"/>
      <c r="T183" s="69"/>
    </row>
    <row r="184" spans="1:20" ht="14.1" customHeight="1" x14ac:dyDescent="0.2">
      <c r="A184" s="61"/>
      <c r="B184" s="74"/>
      <c r="C184" s="74"/>
      <c r="D184" s="74"/>
      <c r="E184" s="70"/>
      <c r="F184" s="70"/>
      <c r="G184" s="70"/>
      <c r="H184" s="70"/>
      <c r="I184" s="70"/>
      <c r="J184" s="70"/>
      <c r="K184" s="70"/>
      <c r="L184" s="70"/>
      <c r="M184" s="70"/>
      <c r="N184" s="71"/>
      <c r="O184" s="71"/>
      <c r="P184" s="72"/>
      <c r="Q184" s="76"/>
      <c r="R184" s="76"/>
      <c r="S184" s="76"/>
      <c r="T184" s="69"/>
    </row>
    <row r="185" spans="1:20" ht="14.1" customHeight="1" x14ac:dyDescent="0.2">
      <c r="A185" s="61"/>
      <c r="B185" s="74"/>
      <c r="C185" s="74"/>
      <c r="D185" s="74"/>
      <c r="E185" s="70"/>
      <c r="F185" s="70"/>
      <c r="G185" s="70"/>
      <c r="H185" s="70"/>
      <c r="I185" s="70"/>
      <c r="J185" s="70"/>
      <c r="K185" s="70"/>
      <c r="L185" s="70"/>
      <c r="M185" s="70"/>
      <c r="N185" s="71"/>
      <c r="O185" s="71"/>
      <c r="P185" s="72"/>
      <c r="Q185" s="76"/>
      <c r="R185" s="76"/>
      <c r="S185" s="76"/>
      <c r="T185" s="69"/>
    </row>
    <row r="186" spans="1:20" ht="14.1" customHeight="1" x14ac:dyDescent="0.2">
      <c r="A186" s="61"/>
      <c r="B186" s="74"/>
      <c r="C186" s="74"/>
      <c r="D186" s="74"/>
      <c r="E186" s="70"/>
      <c r="F186" s="70"/>
      <c r="G186" s="70"/>
      <c r="H186" s="70"/>
      <c r="I186" s="70"/>
      <c r="J186" s="70"/>
      <c r="K186" s="70"/>
      <c r="L186" s="70"/>
      <c r="M186" s="70"/>
      <c r="N186" s="71"/>
      <c r="O186" s="71"/>
      <c r="P186" s="72"/>
      <c r="Q186" s="76"/>
      <c r="R186" s="76"/>
      <c r="S186" s="76"/>
      <c r="T186" s="69"/>
    </row>
    <row r="187" spans="1:20" ht="14.1" customHeight="1" x14ac:dyDescent="0.2">
      <c r="A187" s="61"/>
      <c r="B187" s="74"/>
      <c r="C187" s="74"/>
      <c r="D187" s="74"/>
      <c r="E187" s="70"/>
      <c r="F187" s="70"/>
      <c r="G187" s="70"/>
      <c r="H187" s="70"/>
      <c r="I187" s="70"/>
      <c r="J187" s="70"/>
      <c r="K187" s="70"/>
      <c r="L187" s="70"/>
      <c r="M187" s="70"/>
      <c r="N187" s="71"/>
      <c r="O187" s="71"/>
      <c r="P187" s="72"/>
      <c r="Q187" s="76"/>
      <c r="R187" s="76"/>
      <c r="S187" s="76"/>
      <c r="T187" s="69"/>
    </row>
    <row r="188" spans="1:20" ht="14.1" customHeight="1" x14ac:dyDescent="0.2">
      <c r="A188" s="61"/>
      <c r="B188" s="74"/>
      <c r="C188" s="74"/>
      <c r="D188" s="74"/>
      <c r="E188" s="70"/>
      <c r="F188" s="70"/>
      <c r="G188" s="70"/>
      <c r="H188" s="70"/>
      <c r="I188" s="70"/>
      <c r="J188" s="70"/>
      <c r="K188" s="70"/>
      <c r="L188" s="70"/>
      <c r="M188" s="70"/>
      <c r="N188" s="71"/>
      <c r="O188" s="71"/>
      <c r="P188" s="72"/>
      <c r="Q188" s="76"/>
      <c r="R188" s="76"/>
      <c r="S188" s="76"/>
      <c r="T188" s="69"/>
    </row>
    <row r="189" spans="1:20" ht="14.1" customHeight="1" x14ac:dyDescent="0.2">
      <c r="A189" s="61"/>
      <c r="B189" s="74"/>
      <c r="C189" s="74"/>
      <c r="D189" s="74"/>
      <c r="E189" s="70"/>
      <c r="F189" s="70"/>
      <c r="G189" s="70"/>
      <c r="H189" s="70"/>
      <c r="I189" s="70"/>
      <c r="J189" s="70"/>
      <c r="K189" s="70"/>
      <c r="L189" s="70"/>
      <c r="M189" s="70"/>
      <c r="N189" s="71"/>
      <c r="O189" s="71"/>
      <c r="P189" s="72"/>
      <c r="Q189" s="76"/>
      <c r="R189" s="76"/>
      <c r="S189" s="76"/>
      <c r="T189" s="69"/>
    </row>
    <row r="190" spans="1:20" ht="14.1" customHeight="1" x14ac:dyDescent="0.2">
      <c r="A190" s="61"/>
      <c r="B190" s="74"/>
      <c r="C190" s="74"/>
      <c r="D190" s="74"/>
      <c r="E190" s="70"/>
      <c r="F190" s="70"/>
      <c r="G190" s="70"/>
      <c r="H190" s="70"/>
      <c r="I190" s="70"/>
      <c r="J190" s="70"/>
      <c r="K190" s="70"/>
      <c r="L190" s="70"/>
      <c r="M190" s="70"/>
      <c r="N190" s="71"/>
      <c r="O190" s="71"/>
      <c r="P190" s="72"/>
      <c r="Q190" s="76"/>
      <c r="R190" s="76"/>
      <c r="S190" s="76"/>
      <c r="T190" s="69"/>
    </row>
    <row r="191" spans="1:20" ht="14.1" customHeight="1" x14ac:dyDescent="0.2">
      <c r="A191" s="61"/>
      <c r="B191" s="74"/>
      <c r="C191" s="74"/>
      <c r="D191" s="74"/>
      <c r="E191" s="70"/>
      <c r="F191" s="70"/>
      <c r="G191" s="70"/>
      <c r="H191" s="70"/>
      <c r="I191" s="70"/>
      <c r="J191" s="70"/>
      <c r="K191" s="70"/>
      <c r="L191" s="70"/>
      <c r="M191" s="70"/>
      <c r="N191" s="71"/>
      <c r="O191" s="71"/>
      <c r="P191" s="72"/>
      <c r="Q191" s="76"/>
      <c r="R191" s="76"/>
      <c r="S191" s="76"/>
      <c r="T191" s="69"/>
    </row>
    <row r="192" spans="1:20" ht="14.1" customHeight="1" x14ac:dyDescent="0.2">
      <c r="A192" s="61"/>
      <c r="B192" s="74"/>
      <c r="C192" s="74"/>
      <c r="D192" s="74"/>
      <c r="E192" s="70"/>
      <c r="F192" s="70"/>
      <c r="G192" s="70"/>
      <c r="H192" s="70"/>
      <c r="I192" s="70"/>
      <c r="J192" s="70"/>
      <c r="K192" s="70"/>
      <c r="L192" s="70"/>
      <c r="M192" s="70"/>
      <c r="N192" s="71"/>
      <c r="O192" s="71"/>
      <c r="P192" s="72"/>
      <c r="Q192" s="76"/>
      <c r="R192" s="76"/>
      <c r="S192" s="76"/>
      <c r="T192" s="69"/>
    </row>
    <row r="193" spans="1:20" ht="14.1" customHeight="1" x14ac:dyDescent="0.2">
      <c r="A193" s="61"/>
      <c r="B193" s="74"/>
      <c r="C193" s="74"/>
      <c r="D193" s="74"/>
      <c r="E193" s="70"/>
      <c r="F193" s="70"/>
      <c r="G193" s="70"/>
      <c r="H193" s="70"/>
      <c r="I193" s="70"/>
      <c r="J193" s="70"/>
      <c r="K193" s="70"/>
      <c r="L193" s="70"/>
      <c r="M193" s="70"/>
      <c r="N193" s="71"/>
      <c r="O193" s="71"/>
      <c r="P193" s="72"/>
      <c r="Q193" s="76"/>
      <c r="R193" s="76"/>
      <c r="S193" s="76"/>
      <c r="T193" s="69"/>
    </row>
    <row r="194" spans="1:20" ht="14.1" customHeight="1" x14ac:dyDescent="0.2">
      <c r="A194" s="61"/>
      <c r="B194" s="74"/>
      <c r="C194" s="74"/>
      <c r="D194" s="74"/>
      <c r="E194" s="70"/>
      <c r="F194" s="70"/>
      <c r="G194" s="70"/>
      <c r="H194" s="70"/>
      <c r="I194" s="70"/>
      <c r="J194" s="70"/>
      <c r="K194" s="70"/>
      <c r="L194" s="70"/>
      <c r="M194" s="70"/>
      <c r="N194" s="71"/>
      <c r="O194" s="71"/>
      <c r="P194" s="72"/>
      <c r="Q194" s="76"/>
      <c r="R194" s="76"/>
      <c r="S194" s="76"/>
      <c r="T194" s="69"/>
    </row>
    <row r="195" spans="1:20" ht="14.1" customHeight="1" x14ac:dyDescent="0.2">
      <c r="A195" s="61"/>
      <c r="B195" s="74"/>
      <c r="C195" s="74"/>
      <c r="D195" s="74"/>
      <c r="E195" s="70"/>
      <c r="F195" s="70"/>
      <c r="G195" s="70"/>
      <c r="H195" s="70"/>
      <c r="I195" s="70"/>
      <c r="J195" s="70"/>
      <c r="K195" s="70"/>
      <c r="L195" s="70"/>
      <c r="M195" s="70"/>
      <c r="N195" s="71"/>
      <c r="O195" s="71"/>
      <c r="P195" s="72"/>
      <c r="Q195" s="76"/>
      <c r="R195" s="76"/>
      <c r="S195" s="76"/>
      <c r="T195" s="69"/>
    </row>
    <row r="196" spans="1:20" ht="14.1" customHeight="1" x14ac:dyDescent="0.2">
      <c r="A196" s="61"/>
      <c r="B196" s="74"/>
      <c r="C196" s="74"/>
      <c r="D196" s="74"/>
      <c r="E196" s="70"/>
      <c r="F196" s="70"/>
      <c r="G196" s="70"/>
      <c r="H196" s="70"/>
      <c r="I196" s="70"/>
      <c r="J196" s="70"/>
      <c r="K196" s="70"/>
      <c r="L196" s="70"/>
      <c r="M196" s="70"/>
      <c r="N196" s="71"/>
      <c r="O196" s="71"/>
      <c r="P196" s="72"/>
      <c r="Q196" s="76"/>
      <c r="R196" s="76"/>
      <c r="S196" s="76"/>
      <c r="T196" s="69"/>
    </row>
    <row r="197" spans="1:20" ht="14.1" customHeight="1" x14ac:dyDescent="0.2">
      <c r="A197" s="61"/>
      <c r="B197" s="74"/>
      <c r="C197" s="74"/>
      <c r="D197" s="74"/>
      <c r="E197" s="70"/>
      <c r="F197" s="70"/>
      <c r="G197" s="70"/>
      <c r="H197" s="70"/>
      <c r="I197" s="70"/>
      <c r="J197" s="70"/>
      <c r="K197" s="70"/>
      <c r="L197" s="70"/>
      <c r="M197" s="70"/>
      <c r="N197" s="71"/>
      <c r="O197" s="71"/>
      <c r="P197" s="72"/>
      <c r="Q197" s="76"/>
      <c r="R197" s="76"/>
      <c r="S197" s="76"/>
      <c r="T197" s="69"/>
    </row>
    <row r="198" spans="1:20" ht="14.1" customHeight="1" x14ac:dyDescent="0.2">
      <c r="A198" s="61"/>
      <c r="B198" s="74"/>
      <c r="C198" s="74"/>
      <c r="D198" s="74"/>
      <c r="E198" s="70"/>
      <c r="F198" s="70"/>
      <c r="G198" s="70"/>
      <c r="H198" s="70"/>
      <c r="I198" s="70"/>
      <c r="J198" s="70"/>
      <c r="K198" s="70"/>
      <c r="L198" s="70"/>
      <c r="M198" s="70"/>
      <c r="N198" s="71"/>
      <c r="O198" s="71"/>
      <c r="P198" s="72"/>
      <c r="Q198" s="76"/>
      <c r="R198" s="76"/>
      <c r="S198" s="76"/>
      <c r="T198" s="69"/>
    </row>
    <row r="199" spans="1:20" ht="14.1" customHeight="1" x14ac:dyDescent="0.2">
      <c r="A199" s="61"/>
      <c r="B199" s="74"/>
      <c r="C199" s="74"/>
      <c r="D199" s="74"/>
      <c r="E199" s="70"/>
      <c r="F199" s="70"/>
      <c r="G199" s="70"/>
      <c r="H199" s="70"/>
      <c r="I199" s="70"/>
      <c r="J199" s="70"/>
      <c r="K199" s="70"/>
      <c r="L199" s="70"/>
      <c r="M199" s="70"/>
      <c r="N199" s="71"/>
      <c r="O199" s="71"/>
      <c r="P199" s="72"/>
      <c r="Q199" s="76"/>
      <c r="R199" s="76"/>
      <c r="S199" s="76"/>
      <c r="T199" s="69"/>
    </row>
    <row r="200" spans="1:20" ht="14.1" customHeight="1" x14ac:dyDescent="0.2">
      <c r="A200" s="61"/>
      <c r="B200" s="74"/>
      <c r="C200" s="74"/>
      <c r="D200" s="74"/>
      <c r="E200" s="70"/>
      <c r="F200" s="70"/>
      <c r="G200" s="70"/>
      <c r="H200" s="70"/>
      <c r="I200" s="70"/>
      <c r="J200" s="70"/>
      <c r="K200" s="70"/>
      <c r="L200" s="70"/>
      <c r="M200" s="70"/>
      <c r="N200" s="71"/>
      <c r="O200" s="71"/>
      <c r="P200" s="72"/>
      <c r="Q200" s="76"/>
      <c r="R200" s="76"/>
      <c r="S200" s="76"/>
      <c r="T200" s="69"/>
    </row>
    <row r="201" spans="1:20" ht="14.1" customHeight="1" x14ac:dyDescent="0.2">
      <c r="A201" s="61"/>
      <c r="B201" s="74"/>
      <c r="C201" s="74"/>
      <c r="D201" s="74"/>
      <c r="E201" s="70"/>
      <c r="F201" s="70"/>
      <c r="G201" s="70"/>
      <c r="H201" s="70"/>
      <c r="I201" s="70"/>
      <c r="J201" s="70"/>
      <c r="K201" s="70"/>
      <c r="L201" s="70"/>
      <c r="M201" s="70"/>
      <c r="N201" s="71"/>
      <c r="O201" s="71"/>
      <c r="P201" s="72"/>
      <c r="Q201" s="76"/>
      <c r="R201" s="76"/>
      <c r="S201" s="76"/>
      <c r="T201" s="69"/>
    </row>
    <row r="202" spans="1:20" ht="14.1" customHeight="1" x14ac:dyDescent="0.2">
      <c r="A202" s="61"/>
      <c r="B202" s="74"/>
      <c r="C202" s="74"/>
      <c r="D202" s="74"/>
      <c r="E202" s="70"/>
      <c r="F202" s="70"/>
      <c r="G202" s="70"/>
      <c r="H202" s="70"/>
      <c r="I202" s="70"/>
      <c r="J202" s="70"/>
      <c r="K202" s="70"/>
      <c r="L202" s="70"/>
      <c r="M202" s="70"/>
      <c r="N202" s="71"/>
      <c r="O202" s="71"/>
      <c r="P202" s="72"/>
      <c r="Q202" s="76"/>
      <c r="R202" s="76"/>
      <c r="S202" s="76"/>
      <c r="T202" s="69"/>
    </row>
    <row r="203" spans="1:20" ht="14.1" customHeight="1" x14ac:dyDescent="0.2">
      <c r="A203" s="61"/>
      <c r="B203" s="74"/>
      <c r="C203" s="74"/>
      <c r="D203" s="74"/>
      <c r="E203" s="70"/>
      <c r="F203" s="70"/>
      <c r="G203" s="70"/>
      <c r="H203" s="70"/>
      <c r="I203" s="70"/>
      <c r="J203" s="70"/>
      <c r="K203" s="70"/>
      <c r="L203" s="70"/>
      <c r="M203" s="70"/>
      <c r="N203" s="71"/>
      <c r="O203" s="71"/>
      <c r="P203" s="72"/>
      <c r="Q203" s="76"/>
      <c r="R203" s="76"/>
      <c r="S203" s="76"/>
      <c r="T203" s="69"/>
    </row>
    <row r="204" spans="1:20" ht="14.1" customHeight="1" x14ac:dyDescent="0.2">
      <c r="A204" s="61"/>
      <c r="B204" s="74"/>
      <c r="C204" s="74"/>
      <c r="D204" s="74"/>
      <c r="E204" s="70"/>
      <c r="F204" s="70"/>
      <c r="G204" s="70"/>
      <c r="H204" s="70"/>
      <c r="I204" s="70"/>
      <c r="J204" s="70"/>
      <c r="K204" s="70"/>
      <c r="L204" s="70"/>
      <c r="M204" s="70"/>
      <c r="N204" s="71"/>
      <c r="O204" s="71"/>
      <c r="P204" s="72"/>
      <c r="Q204" s="76"/>
      <c r="R204" s="76"/>
      <c r="S204" s="76"/>
      <c r="T204" s="69"/>
    </row>
    <row r="205" spans="1:20" ht="14.1" customHeight="1" x14ac:dyDescent="0.2">
      <c r="A205" s="61"/>
      <c r="B205" s="74"/>
      <c r="C205" s="74"/>
      <c r="D205" s="74"/>
      <c r="E205" s="70"/>
      <c r="F205" s="70"/>
      <c r="G205" s="70"/>
      <c r="H205" s="70"/>
      <c r="I205" s="70"/>
      <c r="J205" s="70"/>
      <c r="K205" s="70"/>
      <c r="L205" s="70"/>
      <c r="M205" s="70"/>
      <c r="N205" s="71"/>
      <c r="O205" s="71"/>
      <c r="P205" s="72"/>
      <c r="Q205" s="76"/>
      <c r="R205" s="76"/>
      <c r="S205" s="76"/>
      <c r="T205" s="69"/>
    </row>
    <row r="206" spans="1:20" ht="14.1" customHeight="1" x14ac:dyDescent="0.2">
      <c r="A206" s="61"/>
      <c r="B206" s="74"/>
      <c r="C206" s="74"/>
      <c r="D206" s="74"/>
      <c r="E206" s="70"/>
      <c r="F206" s="70"/>
      <c r="G206" s="70"/>
      <c r="H206" s="70"/>
      <c r="I206" s="70"/>
      <c r="J206" s="70"/>
      <c r="K206" s="70"/>
      <c r="L206" s="70"/>
      <c r="M206" s="70"/>
      <c r="N206" s="71"/>
      <c r="O206" s="71"/>
      <c r="P206" s="72"/>
      <c r="Q206" s="76"/>
      <c r="R206" s="76"/>
      <c r="S206" s="76"/>
      <c r="T206" s="69"/>
    </row>
    <row r="207" spans="1:20" ht="14.1" customHeight="1" x14ac:dyDescent="0.2">
      <c r="A207" s="61"/>
      <c r="B207" s="74"/>
      <c r="C207" s="74"/>
      <c r="D207" s="74"/>
      <c r="E207" s="70"/>
      <c r="F207" s="70"/>
      <c r="G207" s="70"/>
      <c r="H207" s="70"/>
      <c r="I207" s="70"/>
      <c r="J207" s="70"/>
      <c r="K207" s="70"/>
      <c r="L207" s="70"/>
      <c r="M207" s="70"/>
      <c r="N207" s="71"/>
      <c r="O207" s="71"/>
      <c r="P207" s="72"/>
      <c r="Q207" s="76"/>
      <c r="R207" s="76"/>
      <c r="S207" s="76"/>
      <c r="T207" s="69"/>
    </row>
    <row r="208" spans="1:20" ht="14.1" customHeight="1" x14ac:dyDescent="0.2">
      <c r="A208" s="61"/>
      <c r="B208" s="74"/>
      <c r="C208" s="74"/>
      <c r="D208" s="74"/>
      <c r="E208" s="70"/>
      <c r="F208" s="70"/>
      <c r="G208" s="70"/>
      <c r="H208" s="70"/>
      <c r="I208" s="70"/>
      <c r="J208" s="70"/>
      <c r="K208" s="70"/>
      <c r="L208" s="70"/>
      <c r="M208" s="70"/>
      <c r="N208" s="71"/>
      <c r="O208" s="71"/>
      <c r="P208" s="72"/>
      <c r="Q208" s="76"/>
      <c r="R208" s="76"/>
      <c r="S208" s="76"/>
      <c r="T208" s="69"/>
    </row>
    <row r="209" spans="1:20" ht="14.1" customHeight="1" x14ac:dyDescent="0.2">
      <c r="A209" s="61"/>
      <c r="B209" s="74"/>
      <c r="C209" s="74"/>
      <c r="D209" s="74"/>
      <c r="E209" s="70"/>
      <c r="F209" s="70"/>
      <c r="G209" s="70"/>
      <c r="H209" s="70"/>
      <c r="I209" s="70"/>
      <c r="J209" s="70"/>
      <c r="K209" s="70"/>
      <c r="L209" s="70"/>
      <c r="M209" s="70"/>
      <c r="N209" s="71"/>
      <c r="O209" s="71"/>
      <c r="P209" s="72"/>
      <c r="Q209" s="76"/>
      <c r="R209" s="76"/>
      <c r="S209" s="76"/>
      <c r="T209" s="69"/>
    </row>
    <row r="210" spans="1:20" ht="14.1" customHeight="1" x14ac:dyDescent="0.2">
      <c r="A210" s="61"/>
      <c r="B210" s="74"/>
      <c r="C210" s="74"/>
      <c r="D210" s="74"/>
      <c r="E210" s="70"/>
      <c r="F210" s="70"/>
      <c r="G210" s="70"/>
      <c r="H210" s="70"/>
      <c r="I210" s="70"/>
      <c r="J210" s="70"/>
      <c r="K210" s="70"/>
      <c r="L210" s="70"/>
      <c r="M210" s="70"/>
      <c r="N210" s="71"/>
      <c r="O210" s="71"/>
      <c r="P210" s="72"/>
      <c r="Q210" s="76"/>
      <c r="R210" s="76"/>
      <c r="S210" s="76"/>
      <c r="T210" s="69"/>
    </row>
    <row r="211" spans="1:20" ht="14.1" customHeight="1" x14ac:dyDescent="0.2">
      <c r="A211" s="61"/>
      <c r="B211" s="74"/>
      <c r="C211" s="74"/>
      <c r="D211" s="74"/>
      <c r="E211" s="70"/>
      <c r="F211" s="70"/>
      <c r="G211" s="70"/>
      <c r="H211" s="70"/>
      <c r="I211" s="70"/>
      <c r="J211" s="70"/>
      <c r="K211" s="70"/>
      <c r="L211" s="70"/>
      <c r="M211" s="70"/>
      <c r="N211" s="71"/>
      <c r="O211" s="71"/>
      <c r="P211" s="72"/>
      <c r="Q211" s="76"/>
      <c r="R211" s="76"/>
      <c r="S211" s="76"/>
      <c r="T211" s="69"/>
    </row>
    <row r="212" spans="1:20" ht="14.1" customHeight="1" x14ac:dyDescent="0.2">
      <c r="A212" s="61"/>
      <c r="B212" s="74"/>
      <c r="C212" s="74"/>
      <c r="D212" s="74"/>
      <c r="E212" s="70"/>
      <c r="F212" s="70"/>
      <c r="G212" s="70"/>
      <c r="H212" s="70"/>
      <c r="I212" s="70"/>
      <c r="J212" s="70"/>
      <c r="K212" s="70"/>
      <c r="L212" s="70"/>
      <c r="M212" s="70"/>
      <c r="N212" s="71"/>
      <c r="O212" s="71"/>
      <c r="P212" s="72"/>
      <c r="Q212" s="76"/>
      <c r="R212" s="76"/>
      <c r="S212" s="76"/>
      <c r="T212" s="69"/>
    </row>
    <row r="213" spans="1:20" ht="14.1" customHeight="1" x14ac:dyDescent="0.2">
      <c r="A213" s="61"/>
      <c r="B213" s="74"/>
      <c r="C213" s="74"/>
      <c r="D213" s="74"/>
      <c r="E213" s="70"/>
      <c r="F213" s="70"/>
      <c r="G213" s="70"/>
      <c r="H213" s="70"/>
      <c r="I213" s="70"/>
      <c r="J213" s="70"/>
      <c r="K213" s="70"/>
      <c r="L213" s="70"/>
      <c r="M213" s="70"/>
      <c r="N213" s="71"/>
      <c r="O213" s="71"/>
      <c r="P213" s="72"/>
      <c r="Q213" s="76"/>
      <c r="R213" s="76"/>
      <c r="S213" s="76"/>
      <c r="T213" s="69"/>
    </row>
    <row r="214" spans="1:20" ht="14.1" customHeight="1" x14ac:dyDescent="0.2">
      <c r="A214" s="61"/>
      <c r="B214" s="74"/>
      <c r="C214" s="74"/>
      <c r="D214" s="74"/>
      <c r="E214" s="70"/>
      <c r="F214" s="70"/>
      <c r="G214" s="70"/>
      <c r="H214" s="70"/>
      <c r="I214" s="70"/>
      <c r="J214" s="70"/>
      <c r="K214" s="70"/>
      <c r="L214" s="70"/>
      <c r="M214" s="70"/>
      <c r="N214" s="71"/>
      <c r="O214" s="71"/>
      <c r="P214" s="72"/>
      <c r="Q214" s="76"/>
      <c r="R214" s="76"/>
      <c r="S214" s="76"/>
      <c r="T214" s="69"/>
    </row>
    <row r="215" spans="1:20" ht="14.1" customHeight="1" x14ac:dyDescent="0.2">
      <c r="A215" s="61"/>
      <c r="B215" s="74"/>
      <c r="C215" s="74"/>
      <c r="D215" s="74"/>
      <c r="E215" s="70"/>
      <c r="F215" s="70"/>
      <c r="G215" s="70"/>
      <c r="H215" s="70"/>
      <c r="I215" s="70"/>
      <c r="J215" s="70"/>
      <c r="K215" s="70"/>
      <c r="L215" s="70"/>
      <c r="M215" s="70"/>
      <c r="N215" s="71"/>
      <c r="O215" s="71"/>
      <c r="P215" s="72"/>
      <c r="Q215" s="76"/>
      <c r="R215" s="76"/>
      <c r="S215" s="76"/>
      <c r="T215" s="69"/>
    </row>
    <row r="216" spans="1:20" ht="14.1" customHeight="1" x14ac:dyDescent="0.2">
      <c r="A216" s="61"/>
      <c r="B216" s="74"/>
      <c r="C216" s="74"/>
      <c r="D216" s="74"/>
      <c r="E216" s="70"/>
      <c r="F216" s="70"/>
      <c r="G216" s="70"/>
      <c r="H216" s="70"/>
      <c r="I216" s="70"/>
      <c r="J216" s="70"/>
      <c r="K216" s="70"/>
      <c r="L216" s="70"/>
      <c r="M216" s="70"/>
      <c r="N216" s="71"/>
      <c r="O216" s="71"/>
      <c r="P216" s="72"/>
      <c r="Q216" s="76"/>
      <c r="R216" s="76"/>
      <c r="S216" s="76"/>
      <c r="T216" s="69"/>
    </row>
    <row r="217" spans="1:20" ht="14.1" customHeight="1" x14ac:dyDescent="0.2">
      <c r="A217" s="61"/>
      <c r="B217" s="74"/>
      <c r="C217" s="74"/>
      <c r="D217" s="74"/>
      <c r="E217" s="70"/>
      <c r="F217" s="70"/>
      <c r="G217" s="70"/>
      <c r="H217" s="70"/>
      <c r="I217" s="70"/>
      <c r="J217" s="70"/>
      <c r="K217" s="70"/>
      <c r="L217" s="70"/>
      <c r="M217" s="70"/>
      <c r="N217" s="71"/>
      <c r="O217" s="71"/>
      <c r="P217" s="72"/>
      <c r="Q217" s="76"/>
      <c r="R217" s="76"/>
      <c r="S217" s="76"/>
      <c r="T217" s="69"/>
    </row>
    <row r="218" spans="1:20" ht="14.1" customHeight="1" x14ac:dyDescent="0.2">
      <c r="A218" s="61"/>
      <c r="B218" s="74"/>
      <c r="C218" s="74"/>
      <c r="D218" s="74"/>
      <c r="E218" s="70"/>
      <c r="F218" s="70"/>
      <c r="G218" s="70"/>
      <c r="H218" s="70"/>
      <c r="I218" s="70"/>
      <c r="J218" s="70"/>
      <c r="K218" s="70"/>
      <c r="L218" s="70"/>
      <c r="M218" s="70"/>
      <c r="N218" s="71"/>
      <c r="O218" s="71"/>
      <c r="P218" s="72"/>
      <c r="Q218" s="76"/>
      <c r="R218" s="76"/>
      <c r="S218" s="76"/>
      <c r="T218" s="69"/>
    </row>
    <row r="219" spans="1:20" ht="14.1" customHeight="1" x14ac:dyDescent="0.2">
      <c r="A219" s="61"/>
      <c r="B219" s="74"/>
      <c r="C219" s="74"/>
      <c r="D219" s="74"/>
      <c r="E219" s="70"/>
      <c r="F219" s="70"/>
      <c r="G219" s="70"/>
      <c r="H219" s="70"/>
      <c r="I219" s="70"/>
      <c r="J219" s="70"/>
      <c r="K219" s="70"/>
      <c r="L219" s="70"/>
      <c r="M219" s="70"/>
      <c r="N219" s="71"/>
      <c r="O219" s="71"/>
      <c r="P219" s="72"/>
      <c r="Q219" s="76"/>
      <c r="R219" s="76"/>
      <c r="S219" s="76"/>
      <c r="T219" s="69"/>
    </row>
    <row r="220" spans="1:20" ht="14.1" customHeight="1" x14ac:dyDescent="0.2">
      <c r="A220" s="61"/>
      <c r="B220" s="74"/>
      <c r="C220" s="74"/>
      <c r="D220" s="74"/>
      <c r="E220" s="70"/>
      <c r="F220" s="70"/>
      <c r="G220" s="70"/>
      <c r="H220" s="70"/>
      <c r="I220" s="70"/>
      <c r="J220" s="70"/>
      <c r="K220" s="70"/>
      <c r="L220" s="70"/>
      <c r="M220" s="70"/>
      <c r="N220" s="71"/>
      <c r="O220" s="71"/>
      <c r="P220" s="72"/>
      <c r="Q220" s="76"/>
      <c r="R220" s="76"/>
      <c r="S220" s="76"/>
      <c r="T220" s="69"/>
    </row>
    <row r="221" spans="1:20" ht="14.1" customHeight="1" x14ac:dyDescent="0.2">
      <c r="A221" s="61"/>
      <c r="B221" s="74"/>
      <c r="C221" s="74"/>
      <c r="D221" s="74"/>
      <c r="E221" s="70"/>
      <c r="F221" s="70"/>
      <c r="G221" s="70"/>
      <c r="H221" s="70"/>
      <c r="I221" s="70"/>
      <c r="J221" s="70"/>
      <c r="K221" s="70"/>
      <c r="L221" s="70"/>
      <c r="M221" s="70"/>
      <c r="N221" s="71"/>
      <c r="O221" s="71"/>
      <c r="P221" s="72"/>
      <c r="Q221" s="76"/>
      <c r="R221" s="76"/>
      <c r="S221" s="76"/>
      <c r="T221" s="69"/>
    </row>
    <row r="222" spans="1:20" ht="14.1" customHeight="1" x14ac:dyDescent="0.2">
      <c r="A222" s="61"/>
      <c r="B222" s="74"/>
      <c r="C222" s="74"/>
      <c r="D222" s="74"/>
      <c r="E222" s="70"/>
      <c r="F222" s="70"/>
      <c r="G222" s="70"/>
      <c r="H222" s="70"/>
      <c r="I222" s="70"/>
      <c r="J222" s="70"/>
      <c r="K222" s="70"/>
      <c r="L222" s="70"/>
      <c r="M222" s="70"/>
      <c r="N222" s="71"/>
      <c r="O222" s="71"/>
      <c r="P222" s="72"/>
      <c r="Q222" s="76"/>
      <c r="R222" s="76"/>
      <c r="S222" s="76"/>
      <c r="T222" s="69"/>
    </row>
    <row r="223" spans="1:20" ht="14.1" customHeight="1" x14ac:dyDescent="0.2">
      <c r="A223" s="61"/>
      <c r="B223" s="74"/>
      <c r="C223" s="74"/>
      <c r="D223" s="74"/>
      <c r="E223" s="70"/>
      <c r="F223" s="70"/>
      <c r="G223" s="70"/>
      <c r="H223" s="70"/>
      <c r="I223" s="70"/>
      <c r="J223" s="70"/>
      <c r="K223" s="70"/>
      <c r="L223" s="70"/>
      <c r="M223" s="70"/>
      <c r="N223" s="71"/>
      <c r="O223" s="71"/>
      <c r="P223" s="72"/>
      <c r="Q223" s="76"/>
      <c r="R223" s="76"/>
      <c r="S223" s="76"/>
      <c r="T223" s="69"/>
    </row>
    <row r="224" spans="1:20" ht="14.1" customHeight="1" x14ac:dyDescent="0.2">
      <c r="A224" s="61"/>
      <c r="B224" s="74"/>
      <c r="C224" s="74"/>
      <c r="D224" s="74"/>
      <c r="E224" s="70"/>
      <c r="F224" s="70"/>
      <c r="G224" s="70"/>
      <c r="H224" s="70"/>
      <c r="I224" s="70"/>
      <c r="J224" s="70"/>
      <c r="K224" s="70"/>
      <c r="L224" s="70"/>
      <c r="M224" s="70"/>
      <c r="N224" s="71"/>
      <c r="O224" s="71"/>
      <c r="P224" s="72"/>
      <c r="Q224" s="76"/>
      <c r="R224" s="76"/>
      <c r="S224" s="76"/>
      <c r="T224" s="69"/>
    </row>
    <row r="225" spans="1:20" ht="14.1" customHeight="1" x14ac:dyDescent="0.2">
      <c r="A225" s="61"/>
      <c r="B225" s="74"/>
      <c r="C225" s="74"/>
      <c r="D225" s="74"/>
      <c r="E225" s="70"/>
      <c r="F225" s="70"/>
      <c r="G225" s="70"/>
      <c r="H225" s="70"/>
      <c r="I225" s="70"/>
      <c r="J225" s="70"/>
      <c r="K225" s="70"/>
      <c r="L225" s="70"/>
      <c r="M225" s="70"/>
      <c r="N225" s="71"/>
      <c r="O225" s="71"/>
      <c r="P225" s="72"/>
      <c r="Q225" s="76"/>
      <c r="R225" s="76"/>
      <c r="S225" s="76"/>
      <c r="T225" s="69"/>
    </row>
    <row r="226" spans="1:20" ht="14.1" customHeight="1" x14ac:dyDescent="0.2">
      <c r="A226" s="61"/>
      <c r="B226" s="74"/>
      <c r="C226" s="74"/>
      <c r="D226" s="74"/>
      <c r="E226" s="70"/>
      <c r="F226" s="70"/>
      <c r="G226" s="70"/>
      <c r="H226" s="70"/>
      <c r="I226" s="70"/>
      <c r="J226" s="70"/>
      <c r="K226" s="70"/>
      <c r="L226" s="70"/>
      <c r="M226" s="70"/>
      <c r="N226" s="71"/>
      <c r="O226" s="71"/>
      <c r="P226" s="72"/>
      <c r="Q226" s="76"/>
      <c r="R226" s="76"/>
      <c r="S226" s="76"/>
      <c r="T226" s="69"/>
    </row>
    <row r="227" spans="1:20" ht="14.1" customHeight="1" x14ac:dyDescent="0.2">
      <c r="A227" s="61"/>
      <c r="B227" s="74"/>
      <c r="C227" s="74"/>
      <c r="D227" s="74"/>
      <c r="E227" s="70"/>
      <c r="F227" s="70"/>
      <c r="G227" s="70"/>
      <c r="H227" s="70"/>
      <c r="I227" s="70"/>
      <c r="J227" s="70"/>
      <c r="K227" s="70"/>
      <c r="L227" s="70"/>
      <c r="M227" s="70"/>
      <c r="N227" s="71"/>
      <c r="O227" s="71"/>
      <c r="P227" s="72"/>
      <c r="Q227" s="76"/>
      <c r="R227" s="76"/>
      <c r="S227" s="76"/>
      <c r="T227" s="69"/>
    </row>
    <row r="228" spans="1:20" ht="14.1" customHeight="1" x14ac:dyDescent="0.2">
      <c r="A228" s="61"/>
      <c r="B228" s="74"/>
      <c r="C228" s="74"/>
      <c r="D228" s="74"/>
      <c r="E228" s="70"/>
      <c r="F228" s="70"/>
      <c r="G228" s="70"/>
      <c r="H228" s="70"/>
      <c r="I228" s="70"/>
      <c r="J228" s="70"/>
      <c r="K228" s="70"/>
      <c r="L228" s="70"/>
      <c r="M228" s="70"/>
      <c r="N228" s="71"/>
      <c r="O228" s="71"/>
      <c r="P228" s="72"/>
      <c r="Q228" s="76"/>
      <c r="R228" s="76"/>
      <c r="S228" s="76"/>
      <c r="T228" s="69"/>
    </row>
    <row r="229" spans="1:20" ht="14.1" customHeight="1" x14ac:dyDescent="0.2">
      <c r="A229" s="61"/>
      <c r="B229" s="74"/>
      <c r="C229" s="74"/>
      <c r="D229" s="74"/>
      <c r="E229" s="70"/>
      <c r="F229" s="70"/>
      <c r="G229" s="70"/>
      <c r="H229" s="70"/>
      <c r="I229" s="70"/>
      <c r="J229" s="70"/>
      <c r="K229" s="70"/>
      <c r="L229" s="70"/>
      <c r="M229" s="70"/>
      <c r="N229" s="71"/>
      <c r="O229" s="71"/>
      <c r="P229" s="72"/>
      <c r="Q229" s="76"/>
      <c r="R229" s="76"/>
      <c r="S229" s="76"/>
      <c r="T229" s="69"/>
    </row>
    <row r="230" spans="1:20" ht="14.1" customHeight="1" x14ac:dyDescent="0.2">
      <c r="A230" s="61"/>
      <c r="B230" s="74"/>
      <c r="C230" s="74"/>
      <c r="D230" s="74"/>
      <c r="E230" s="70"/>
      <c r="F230" s="70"/>
      <c r="G230" s="70"/>
      <c r="H230" s="70"/>
      <c r="I230" s="70"/>
      <c r="J230" s="70"/>
      <c r="K230" s="70"/>
      <c r="L230" s="70"/>
      <c r="M230" s="70"/>
      <c r="N230" s="71"/>
      <c r="O230" s="71"/>
      <c r="P230" s="72"/>
      <c r="Q230" s="76"/>
      <c r="R230" s="76"/>
      <c r="S230" s="76"/>
      <c r="T230" s="69"/>
    </row>
    <row r="231" spans="1:20" ht="14.1" customHeight="1" x14ac:dyDescent="0.2">
      <c r="A231" s="61"/>
      <c r="B231" s="74"/>
      <c r="C231" s="74"/>
      <c r="D231" s="74"/>
      <c r="E231" s="70"/>
      <c r="F231" s="70"/>
      <c r="G231" s="70"/>
      <c r="H231" s="70"/>
      <c r="I231" s="70"/>
      <c r="J231" s="70"/>
      <c r="K231" s="70"/>
      <c r="L231" s="70"/>
      <c r="M231" s="70"/>
      <c r="N231" s="71"/>
      <c r="O231" s="71"/>
      <c r="P231" s="72"/>
      <c r="Q231" s="76"/>
      <c r="R231" s="76"/>
      <c r="S231" s="76"/>
      <c r="T231" s="69"/>
    </row>
    <row r="232" spans="1:20" ht="14.1" customHeight="1" x14ac:dyDescent="0.2">
      <c r="A232" s="61"/>
      <c r="B232" s="74"/>
      <c r="C232" s="74"/>
      <c r="D232" s="74"/>
      <c r="E232" s="70"/>
      <c r="F232" s="70"/>
      <c r="G232" s="70"/>
      <c r="H232" s="70"/>
      <c r="I232" s="70"/>
      <c r="J232" s="70"/>
      <c r="K232" s="70"/>
      <c r="L232" s="70"/>
      <c r="M232" s="70"/>
      <c r="N232" s="71"/>
      <c r="O232" s="71"/>
      <c r="P232" s="72"/>
      <c r="Q232" s="76"/>
      <c r="R232" s="76"/>
      <c r="S232" s="76"/>
      <c r="T232" s="69"/>
    </row>
    <row r="233" spans="1:20" ht="14.1" customHeight="1" x14ac:dyDescent="0.2">
      <c r="A233" s="61"/>
      <c r="B233" s="74"/>
      <c r="C233" s="74"/>
      <c r="D233" s="74"/>
      <c r="E233" s="70"/>
      <c r="F233" s="70"/>
      <c r="G233" s="70"/>
      <c r="H233" s="70"/>
      <c r="I233" s="70"/>
      <c r="J233" s="70"/>
      <c r="K233" s="70"/>
      <c r="L233" s="70"/>
      <c r="M233" s="70"/>
      <c r="N233" s="71"/>
      <c r="O233" s="71"/>
      <c r="P233" s="72"/>
      <c r="Q233" s="76"/>
      <c r="R233" s="76"/>
      <c r="S233" s="76"/>
      <c r="T233" s="69"/>
    </row>
    <row r="234" spans="1:20" ht="14.1" customHeight="1" x14ac:dyDescent="0.2">
      <c r="A234" s="61"/>
      <c r="B234" s="74"/>
      <c r="C234" s="74"/>
      <c r="D234" s="74"/>
      <c r="E234" s="70"/>
      <c r="F234" s="70"/>
      <c r="G234" s="70"/>
      <c r="H234" s="70"/>
      <c r="I234" s="70"/>
      <c r="J234" s="70"/>
      <c r="K234" s="70"/>
      <c r="L234" s="70"/>
      <c r="M234" s="70"/>
      <c r="N234" s="71"/>
      <c r="O234" s="71"/>
      <c r="P234" s="72"/>
      <c r="Q234" s="76"/>
      <c r="R234" s="76"/>
      <c r="S234" s="76"/>
      <c r="T234" s="69"/>
    </row>
    <row r="235" spans="1:20" ht="14.1" customHeight="1" x14ac:dyDescent="0.2">
      <c r="A235" s="61"/>
      <c r="B235" s="74"/>
      <c r="C235" s="74"/>
      <c r="D235" s="74"/>
      <c r="E235" s="70"/>
      <c r="F235" s="70"/>
      <c r="G235" s="70"/>
      <c r="H235" s="70"/>
      <c r="I235" s="70"/>
      <c r="J235" s="70"/>
      <c r="K235" s="70"/>
      <c r="L235" s="70"/>
      <c r="M235" s="70"/>
      <c r="N235" s="71"/>
      <c r="O235" s="71"/>
      <c r="P235" s="72"/>
      <c r="Q235" s="76"/>
      <c r="R235" s="76"/>
      <c r="S235" s="76"/>
      <c r="T235" s="69"/>
    </row>
    <row r="236" spans="1:20" ht="14.1" customHeight="1" x14ac:dyDescent="0.2">
      <c r="A236" s="61"/>
      <c r="B236" s="74"/>
      <c r="C236" s="74"/>
      <c r="D236" s="74"/>
      <c r="E236" s="70"/>
      <c r="F236" s="70"/>
      <c r="G236" s="70"/>
      <c r="H236" s="70"/>
      <c r="I236" s="70"/>
      <c r="J236" s="70"/>
      <c r="K236" s="70"/>
      <c r="L236" s="70"/>
      <c r="M236" s="70"/>
      <c r="N236" s="71"/>
      <c r="O236" s="71"/>
      <c r="P236" s="72"/>
      <c r="Q236" s="76"/>
      <c r="R236" s="76"/>
      <c r="S236" s="76"/>
      <c r="T236" s="69"/>
    </row>
    <row r="237" spans="1:20" ht="14.1" customHeight="1" x14ac:dyDescent="0.2">
      <c r="A237" s="61"/>
      <c r="B237" s="74"/>
      <c r="C237" s="74"/>
      <c r="D237" s="74"/>
      <c r="E237" s="70"/>
      <c r="F237" s="70"/>
      <c r="G237" s="70"/>
      <c r="H237" s="70"/>
      <c r="I237" s="70"/>
      <c r="J237" s="70"/>
      <c r="K237" s="70"/>
      <c r="L237" s="70"/>
      <c r="M237" s="70"/>
      <c r="N237" s="71"/>
      <c r="O237" s="71"/>
      <c r="P237" s="72"/>
      <c r="Q237" s="76"/>
      <c r="R237" s="76"/>
      <c r="S237" s="76"/>
      <c r="T237" s="69"/>
    </row>
    <row r="238" spans="1:20" ht="14.1" customHeight="1" x14ac:dyDescent="0.2">
      <c r="A238" s="61"/>
      <c r="B238" s="74"/>
      <c r="C238" s="74"/>
      <c r="D238" s="74"/>
      <c r="E238" s="70"/>
      <c r="F238" s="70"/>
      <c r="G238" s="70"/>
      <c r="H238" s="70"/>
      <c r="I238" s="70"/>
      <c r="J238" s="70"/>
      <c r="K238" s="70"/>
      <c r="L238" s="70"/>
      <c r="M238" s="70"/>
      <c r="N238" s="71"/>
      <c r="O238" s="71"/>
      <c r="P238" s="72"/>
      <c r="Q238" s="76"/>
      <c r="R238" s="76"/>
      <c r="S238" s="76"/>
      <c r="T238" s="69"/>
    </row>
    <row r="239" spans="1:20" ht="14.1" customHeight="1" x14ac:dyDescent="0.2">
      <c r="A239" s="61"/>
      <c r="B239" s="74"/>
      <c r="C239" s="74"/>
      <c r="D239" s="74"/>
      <c r="E239" s="70"/>
      <c r="F239" s="70"/>
      <c r="G239" s="70"/>
      <c r="H239" s="70"/>
      <c r="I239" s="70"/>
      <c r="J239" s="70"/>
      <c r="K239" s="70"/>
      <c r="L239" s="70"/>
      <c r="M239" s="70"/>
      <c r="N239" s="71"/>
      <c r="O239" s="71"/>
      <c r="P239" s="72"/>
      <c r="Q239" s="76"/>
      <c r="R239" s="76"/>
      <c r="S239" s="76"/>
      <c r="T239" s="69"/>
    </row>
    <row r="240" spans="1:20" ht="14.1" customHeight="1" x14ac:dyDescent="0.2">
      <c r="A240" s="61"/>
      <c r="B240" s="74"/>
      <c r="C240" s="74"/>
      <c r="D240" s="74"/>
      <c r="E240" s="70"/>
      <c r="F240" s="70"/>
      <c r="G240" s="70"/>
      <c r="H240" s="70"/>
      <c r="I240" s="70"/>
      <c r="J240" s="70"/>
      <c r="K240" s="70"/>
      <c r="L240" s="70"/>
      <c r="M240" s="70"/>
      <c r="N240" s="71"/>
      <c r="O240" s="71"/>
      <c r="P240" s="72"/>
      <c r="Q240" s="76"/>
      <c r="R240" s="76"/>
      <c r="S240" s="76"/>
      <c r="T240" s="69"/>
    </row>
    <row r="241" spans="1:20" ht="14.1" customHeight="1" x14ac:dyDescent="0.2">
      <c r="A241" s="61"/>
      <c r="B241" s="74"/>
      <c r="C241" s="74"/>
      <c r="D241" s="74"/>
      <c r="E241" s="70"/>
      <c r="F241" s="70"/>
      <c r="G241" s="70"/>
      <c r="H241" s="70"/>
      <c r="I241" s="70"/>
      <c r="J241" s="70"/>
      <c r="K241" s="70"/>
      <c r="L241" s="70"/>
      <c r="M241" s="70"/>
      <c r="N241" s="71"/>
      <c r="O241" s="71"/>
      <c r="P241" s="72"/>
      <c r="Q241" s="76"/>
      <c r="R241" s="76"/>
      <c r="S241" s="76"/>
      <c r="T241" s="69"/>
    </row>
    <row r="242" spans="1:20" ht="14.1" customHeight="1" x14ac:dyDescent="0.2">
      <c r="A242" s="61"/>
      <c r="B242" s="74"/>
      <c r="C242" s="74"/>
      <c r="D242" s="74"/>
      <c r="E242" s="70"/>
      <c r="F242" s="70"/>
      <c r="G242" s="70"/>
      <c r="H242" s="70"/>
      <c r="I242" s="70"/>
      <c r="J242" s="70"/>
      <c r="K242" s="70"/>
      <c r="L242" s="70"/>
      <c r="M242" s="70"/>
      <c r="N242" s="71"/>
      <c r="O242" s="71"/>
      <c r="P242" s="72"/>
      <c r="Q242" s="76"/>
      <c r="R242" s="76"/>
      <c r="S242" s="76"/>
      <c r="T242" s="69"/>
    </row>
    <row r="243" spans="1:20" ht="14.1" customHeight="1" x14ac:dyDescent="0.2">
      <c r="A243" s="61"/>
      <c r="B243" s="74"/>
      <c r="C243" s="74"/>
      <c r="D243" s="74"/>
      <c r="E243" s="70"/>
      <c r="F243" s="70"/>
      <c r="G243" s="70"/>
      <c r="H243" s="70"/>
      <c r="I243" s="70"/>
      <c r="J243" s="70"/>
      <c r="K243" s="70"/>
      <c r="L243" s="70"/>
      <c r="M243" s="70"/>
      <c r="N243" s="71"/>
      <c r="O243" s="71"/>
      <c r="P243" s="72"/>
      <c r="Q243" s="76"/>
      <c r="R243" s="76"/>
      <c r="S243" s="76"/>
      <c r="T243" s="69"/>
    </row>
    <row r="244" spans="1:20" ht="14.1" customHeight="1" x14ac:dyDescent="0.2">
      <c r="A244" s="61"/>
      <c r="B244" s="74"/>
      <c r="C244" s="74"/>
      <c r="D244" s="74"/>
      <c r="E244" s="70"/>
      <c r="F244" s="70"/>
      <c r="G244" s="70"/>
      <c r="H244" s="70"/>
      <c r="I244" s="70"/>
      <c r="J244" s="70"/>
      <c r="K244" s="70"/>
      <c r="L244" s="70"/>
      <c r="M244" s="70"/>
      <c r="N244" s="71"/>
      <c r="O244" s="71"/>
      <c r="P244" s="72"/>
      <c r="Q244" s="76"/>
      <c r="R244" s="76"/>
      <c r="S244" s="76"/>
      <c r="T244" s="69"/>
    </row>
    <row r="245" spans="1:20" ht="14.1" customHeight="1" x14ac:dyDescent="0.2">
      <c r="A245" s="61"/>
      <c r="B245" s="74"/>
      <c r="C245" s="74"/>
      <c r="D245" s="74"/>
      <c r="E245" s="70"/>
      <c r="F245" s="70"/>
      <c r="G245" s="70"/>
      <c r="H245" s="70"/>
      <c r="I245" s="70"/>
      <c r="J245" s="70"/>
      <c r="K245" s="70"/>
      <c r="L245" s="70"/>
      <c r="M245" s="70"/>
      <c r="N245" s="71"/>
      <c r="O245" s="71"/>
      <c r="P245" s="72"/>
      <c r="Q245" s="76"/>
      <c r="R245" s="76"/>
      <c r="S245" s="76"/>
      <c r="T245" s="69"/>
    </row>
    <row r="246" spans="1:20" ht="14.1" customHeight="1" x14ac:dyDescent="0.2">
      <c r="A246" s="61"/>
      <c r="B246" s="74"/>
      <c r="C246" s="74"/>
      <c r="D246" s="74"/>
      <c r="E246" s="70"/>
      <c r="F246" s="70"/>
      <c r="G246" s="70"/>
      <c r="H246" s="70"/>
      <c r="I246" s="70"/>
      <c r="J246" s="70"/>
      <c r="K246" s="70"/>
      <c r="L246" s="70"/>
      <c r="M246" s="70"/>
      <c r="N246" s="71"/>
      <c r="O246" s="71"/>
      <c r="P246" s="72"/>
      <c r="Q246" s="76"/>
      <c r="R246" s="76"/>
      <c r="S246" s="76"/>
      <c r="T246" s="69"/>
    </row>
    <row r="247" spans="1:20" ht="14.1" customHeight="1" x14ac:dyDescent="0.2">
      <c r="A247" s="61"/>
      <c r="B247" s="74"/>
      <c r="C247" s="74"/>
      <c r="D247" s="74"/>
      <c r="E247" s="70"/>
      <c r="F247" s="70"/>
      <c r="G247" s="70"/>
      <c r="H247" s="70"/>
      <c r="I247" s="70"/>
      <c r="J247" s="70"/>
      <c r="K247" s="70"/>
      <c r="L247" s="70"/>
      <c r="M247" s="70"/>
      <c r="N247" s="71"/>
      <c r="O247" s="71"/>
      <c r="P247" s="72"/>
      <c r="Q247" s="76"/>
      <c r="R247" s="76"/>
      <c r="S247" s="76"/>
      <c r="T247" s="69"/>
    </row>
    <row r="248" spans="1:20" ht="14.1" customHeight="1" x14ac:dyDescent="0.2">
      <c r="A248" s="61"/>
      <c r="B248" s="74"/>
      <c r="C248" s="74"/>
      <c r="D248" s="74"/>
      <c r="E248" s="70"/>
      <c r="F248" s="70"/>
      <c r="G248" s="70"/>
      <c r="H248" s="70"/>
      <c r="I248" s="70"/>
      <c r="J248" s="70"/>
      <c r="K248" s="70"/>
      <c r="L248" s="70"/>
      <c r="M248" s="70"/>
      <c r="N248" s="71"/>
      <c r="O248" s="71"/>
      <c r="P248" s="72"/>
      <c r="Q248" s="76"/>
      <c r="R248" s="76"/>
      <c r="S248" s="76"/>
      <c r="T248" s="69"/>
    </row>
    <row r="249" spans="1:20" ht="14.1" customHeight="1" x14ac:dyDescent="0.2">
      <c r="A249" s="61"/>
      <c r="B249" s="74"/>
      <c r="C249" s="74"/>
      <c r="D249" s="74"/>
      <c r="E249" s="70"/>
      <c r="F249" s="70"/>
      <c r="G249" s="70"/>
      <c r="H249" s="70"/>
      <c r="I249" s="70"/>
      <c r="J249" s="70"/>
      <c r="K249" s="70"/>
      <c r="L249" s="70"/>
      <c r="M249" s="70"/>
      <c r="N249" s="71"/>
      <c r="O249" s="71"/>
      <c r="P249" s="72"/>
      <c r="Q249" s="76"/>
      <c r="R249" s="76"/>
      <c r="S249" s="76"/>
      <c r="T249" s="69"/>
    </row>
    <row r="250" spans="1:20" ht="14.1" customHeight="1" x14ac:dyDescent="0.2">
      <c r="A250" s="61"/>
      <c r="B250" s="74"/>
      <c r="C250" s="74"/>
      <c r="D250" s="74"/>
      <c r="E250" s="70"/>
      <c r="F250" s="70"/>
      <c r="G250" s="70"/>
      <c r="H250" s="70"/>
      <c r="I250" s="70"/>
      <c r="J250" s="70"/>
      <c r="K250" s="70"/>
      <c r="L250" s="70"/>
      <c r="M250" s="70"/>
      <c r="N250" s="71"/>
      <c r="O250" s="71"/>
      <c r="P250" s="72"/>
      <c r="Q250" s="76"/>
      <c r="R250" s="76"/>
      <c r="S250" s="76"/>
      <c r="T250" s="69"/>
    </row>
    <row r="251" spans="1:20" ht="14.1" customHeight="1" x14ac:dyDescent="0.2">
      <c r="A251" s="61"/>
      <c r="B251" s="74"/>
      <c r="C251" s="74"/>
      <c r="D251" s="74"/>
      <c r="E251" s="70"/>
      <c r="F251" s="70"/>
      <c r="G251" s="70"/>
      <c r="H251" s="70"/>
      <c r="I251" s="70"/>
      <c r="J251" s="70"/>
      <c r="K251" s="70"/>
      <c r="L251" s="70"/>
      <c r="M251" s="70"/>
      <c r="N251" s="71"/>
      <c r="O251" s="71"/>
      <c r="P251" s="72"/>
      <c r="Q251" s="76"/>
      <c r="R251" s="76"/>
      <c r="S251" s="76"/>
      <c r="T251" s="69"/>
    </row>
    <row r="252" spans="1:20" ht="14.1" customHeight="1" x14ac:dyDescent="0.2">
      <c r="A252" s="61"/>
      <c r="B252" s="74"/>
      <c r="C252" s="74"/>
      <c r="D252" s="74"/>
      <c r="E252" s="70"/>
      <c r="F252" s="70"/>
      <c r="G252" s="70"/>
      <c r="H252" s="70"/>
      <c r="I252" s="70"/>
      <c r="J252" s="70"/>
      <c r="K252" s="70"/>
      <c r="L252" s="70"/>
      <c r="M252" s="70"/>
      <c r="N252" s="71"/>
      <c r="O252" s="71"/>
      <c r="P252" s="72"/>
      <c r="Q252" s="76"/>
      <c r="R252" s="76"/>
      <c r="S252" s="76"/>
      <c r="T252" s="69"/>
    </row>
    <row r="253" spans="1:20" ht="14.1" customHeight="1" x14ac:dyDescent="0.2">
      <c r="A253" s="61"/>
      <c r="B253" s="74"/>
      <c r="C253" s="74"/>
      <c r="D253" s="74"/>
      <c r="E253" s="70"/>
      <c r="F253" s="70"/>
      <c r="G253" s="70"/>
      <c r="H253" s="70"/>
      <c r="I253" s="70"/>
      <c r="J253" s="70"/>
      <c r="K253" s="70"/>
      <c r="L253" s="70"/>
      <c r="M253" s="70"/>
      <c r="N253" s="71"/>
      <c r="O253" s="71"/>
      <c r="P253" s="72"/>
      <c r="Q253" s="76"/>
      <c r="R253" s="76"/>
      <c r="S253" s="76"/>
      <c r="T253" s="69"/>
    </row>
    <row r="254" spans="1:20" ht="14.1" customHeight="1" x14ac:dyDescent="0.2">
      <c r="A254" s="61"/>
      <c r="B254" s="74"/>
      <c r="C254" s="74"/>
      <c r="D254" s="74"/>
      <c r="E254" s="70"/>
      <c r="F254" s="70"/>
      <c r="G254" s="70"/>
      <c r="H254" s="70"/>
      <c r="I254" s="70"/>
      <c r="J254" s="70"/>
      <c r="K254" s="70"/>
      <c r="L254" s="70"/>
      <c r="M254" s="70"/>
      <c r="N254" s="71"/>
      <c r="O254" s="71"/>
      <c r="P254" s="72"/>
      <c r="Q254" s="76"/>
      <c r="R254" s="76"/>
      <c r="S254" s="76"/>
      <c r="T254" s="69"/>
    </row>
    <row r="255" spans="1:20" ht="14.1" customHeight="1" x14ac:dyDescent="0.2">
      <c r="A255" s="61"/>
      <c r="B255" s="74"/>
      <c r="C255" s="74"/>
      <c r="D255" s="74"/>
      <c r="E255" s="70"/>
      <c r="F255" s="70"/>
      <c r="G255" s="70"/>
      <c r="H255" s="70"/>
      <c r="I255" s="70"/>
      <c r="J255" s="70"/>
      <c r="K255" s="70"/>
      <c r="L255" s="70"/>
      <c r="M255" s="70"/>
      <c r="N255" s="71"/>
      <c r="O255" s="71"/>
      <c r="P255" s="72"/>
      <c r="Q255" s="76"/>
      <c r="R255" s="76"/>
      <c r="S255" s="76"/>
      <c r="T255" s="69"/>
    </row>
    <row r="256" spans="1:20" ht="14.1" customHeight="1" x14ac:dyDescent="0.2">
      <c r="A256" s="61"/>
      <c r="B256" s="74"/>
      <c r="C256" s="74"/>
      <c r="D256" s="74"/>
      <c r="E256" s="70"/>
      <c r="F256" s="70"/>
      <c r="G256" s="70"/>
      <c r="H256" s="70"/>
      <c r="I256" s="70"/>
      <c r="J256" s="70"/>
      <c r="K256" s="70"/>
      <c r="L256" s="70"/>
      <c r="M256" s="70"/>
      <c r="N256" s="71"/>
      <c r="O256" s="71"/>
      <c r="P256" s="72"/>
      <c r="Q256" s="76"/>
      <c r="R256" s="76"/>
      <c r="S256" s="76"/>
      <c r="T256" s="69"/>
    </row>
    <row r="257" spans="1:20" ht="14.1" customHeight="1" x14ac:dyDescent="0.2">
      <c r="A257" s="61"/>
      <c r="B257" s="74"/>
      <c r="C257" s="74"/>
      <c r="D257" s="74"/>
      <c r="E257" s="70"/>
      <c r="F257" s="70"/>
      <c r="G257" s="70"/>
      <c r="H257" s="70"/>
      <c r="I257" s="70"/>
      <c r="J257" s="70"/>
      <c r="K257" s="70"/>
      <c r="L257" s="70"/>
      <c r="M257" s="70"/>
      <c r="N257" s="71"/>
      <c r="O257" s="71"/>
      <c r="P257" s="72"/>
      <c r="Q257" s="76"/>
      <c r="R257" s="76"/>
      <c r="S257" s="76"/>
      <c r="T257" s="69"/>
    </row>
    <row r="258" spans="1:20" ht="14.1" customHeight="1" x14ac:dyDescent="0.2">
      <c r="A258" s="61"/>
      <c r="B258" s="74"/>
      <c r="C258" s="74"/>
      <c r="D258" s="74"/>
      <c r="E258" s="70"/>
      <c r="F258" s="70"/>
      <c r="G258" s="70"/>
      <c r="H258" s="70"/>
      <c r="I258" s="70"/>
      <c r="J258" s="70"/>
      <c r="K258" s="70"/>
      <c r="L258" s="70"/>
      <c r="M258" s="70"/>
      <c r="N258" s="71"/>
      <c r="O258" s="71"/>
      <c r="P258" s="72"/>
      <c r="Q258" s="76"/>
      <c r="R258" s="76"/>
      <c r="S258" s="76"/>
      <c r="T258" s="69"/>
    </row>
    <row r="259" spans="1:20" ht="14.1" customHeight="1" x14ac:dyDescent="0.2">
      <c r="A259" s="61"/>
      <c r="B259" s="74"/>
      <c r="C259" s="74"/>
      <c r="D259" s="74"/>
      <c r="E259" s="70"/>
      <c r="F259" s="70"/>
      <c r="G259" s="70"/>
      <c r="H259" s="70"/>
      <c r="I259" s="70"/>
      <c r="J259" s="70"/>
      <c r="K259" s="70"/>
      <c r="L259" s="70"/>
      <c r="M259" s="70"/>
      <c r="N259" s="71"/>
      <c r="O259" s="71"/>
      <c r="P259" s="72"/>
      <c r="Q259" s="76"/>
      <c r="R259" s="76"/>
      <c r="S259" s="76"/>
      <c r="T259" s="69"/>
    </row>
    <row r="260" spans="1:20" ht="14.1" customHeight="1" x14ac:dyDescent="0.2">
      <c r="A260" s="61"/>
      <c r="B260" s="74"/>
      <c r="C260" s="74"/>
      <c r="D260" s="74"/>
      <c r="E260" s="70"/>
      <c r="F260" s="70"/>
      <c r="G260" s="70"/>
      <c r="H260" s="70"/>
      <c r="I260" s="70"/>
      <c r="J260" s="70"/>
      <c r="K260" s="70"/>
      <c r="L260" s="70"/>
      <c r="M260" s="70"/>
      <c r="N260" s="71"/>
      <c r="O260" s="71"/>
      <c r="P260" s="72"/>
      <c r="Q260" s="76"/>
      <c r="R260" s="76"/>
      <c r="S260" s="76"/>
      <c r="T260" s="69"/>
    </row>
    <row r="261" spans="1:20" ht="14.1" customHeight="1" x14ac:dyDescent="0.2">
      <c r="A261" s="61"/>
      <c r="B261" s="74"/>
      <c r="C261" s="74"/>
      <c r="D261" s="74"/>
      <c r="E261" s="70"/>
      <c r="F261" s="70"/>
      <c r="G261" s="70"/>
      <c r="H261" s="70"/>
      <c r="I261" s="70"/>
      <c r="J261" s="70"/>
      <c r="K261" s="70"/>
      <c r="L261" s="70"/>
      <c r="M261" s="70"/>
      <c r="N261" s="71"/>
      <c r="O261" s="71"/>
      <c r="P261" s="72"/>
      <c r="Q261" s="76"/>
      <c r="R261" s="76"/>
      <c r="S261" s="76"/>
      <c r="T261" s="69"/>
    </row>
    <row r="262" spans="1:20" ht="14.1" customHeight="1" x14ac:dyDescent="0.2">
      <c r="A262" s="61"/>
      <c r="B262" s="74"/>
      <c r="C262" s="74"/>
      <c r="D262" s="74"/>
      <c r="E262" s="70"/>
      <c r="F262" s="70"/>
      <c r="G262" s="70"/>
      <c r="H262" s="70"/>
      <c r="I262" s="70"/>
      <c r="J262" s="70"/>
      <c r="K262" s="70"/>
      <c r="L262" s="70"/>
      <c r="M262" s="70"/>
      <c r="N262" s="71"/>
      <c r="O262" s="71"/>
      <c r="P262" s="72"/>
      <c r="Q262" s="76"/>
      <c r="R262" s="76"/>
      <c r="S262" s="76"/>
      <c r="T262" s="69"/>
    </row>
    <row r="263" spans="1:20" ht="14.1" customHeight="1" x14ac:dyDescent="0.2">
      <c r="A263" s="61"/>
      <c r="B263" s="74"/>
      <c r="C263" s="74"/>
      <c r="D263" s="74"/>
      <c r="E263" s="70"/>
      <c r="F263" s="70"/>
      <c r="G263" s="70"/>
      <c r="H263" s="70"/>
      <c r="I263" s="70"/>
      <c r="J263" s="70"/>
      <c r="K263" s="70"/>
      <c r="L263" s="70"/>
      <c r="M263" s="70"/>
      <c r="N263" s="71"/>
      <c r="O263" s="71"/>
      <c r="P263" s="72"/>
      <c r="Q263" s="76"/>
      <c r="R263" s="76"/>
      <c r="S263" s="76"/>
      <c r="T263" s="69"/>
    </row>
    <row r="264" spans="1:20" ht="14.1" customHeight="1" x14ac:dyDescent="0.2">
      <c r="A264" s="61"/>
      <c r="B264" s="74"/>
      <c r="C264" s="74"/>
      <c r="D264" s="74"/>
      <c r="E264" s="70"/>
      <c r="F264" s="70"/>
      <c r="G264" s="70"/>
      <c r="H264" s="70"/>
      <c r="I264" s="70"/>
      <c r="J264" s="70"/>
      <c r="K264" s="70"/>
      <c r="L264" s="70"/>
      <c r="M264" s="70"/>
      <c r="N264" s="71"/>
      <c r="O264" s="71"/>
      <c r="P264" s="72"/>
      <c r="Q264" s="76"/>
      <c r="R264" s="76"/>
      <c r="S264" s="76"/>
      <c r="T264" s="69"/>
    </row>
    <row r="265" spans="1:20" ht="14.1" customHeight="1" x14ac:dyDescent="0.2">
      <c r="A265" s="61"/>
      <c r="B265" s="74"/>
      <c r="C265" s="74"/>
      <c r="D265" s="74"/>
      <c r="E265" s="70"/>
      <c r="F265" s="70"/>
      <c r="G265" s="70"/>
      <c r="H265" s="70"/>
      <c r="I265" s="70"/>
      <c r="J265" s="70"/>
      <c r="K265" s="70"/>
      <c r="L265" s="70"/>
      <c r="M265" s="70"/>
      <c r="N265" s="71"/>
      <c r="O265" s="71"/>
      <c r="P265" s="72"/>
      <c r="Q265" s="76"/>
      <c r="R265" s="76"/>
      <c r="S265" s="76"/>
      <c r="T265" s="69"/>
    </row>
    <row r="266" spans="1:20" ht="14.1" customHeight="1" x14ac:dyDescent="0.2">
      <c r="A266" s="61"/>
      <c r="B266" s="74"/>
      <c r="C266" s="74"/>
      <c r="D266" s="74"/>
      <c r="E266" s="70"/>
      <c r="F266" s="70"/>
      <c r="G266" s="70"/>
      <c r="H266" s="70"/>
      <c r="I266" s="70"/>
      <c r="J266" s="70"/>
      <c r="K266" s="70"/>
      <c r="L266" s="70"/>
      <c r="M266" s="70"/>
      <c r="N266" s="71"/>
      <c r="O266" s="71"/>
      <c r="P266" s="72"/>
      <c r="Q266" s="76"/>
      <c r="R266" s="76"/>
      <c r="S266" s="76"/>
      <c r="T266" s="69"/>
    </row>
    <row r="267" spans="1:20" ht="14.1" customHeight="1" x14ac:dyDescent="0.2">
      <c r="A267" s="61"/>
      <c r="B267" s="74"/>
      <c r="C267" s="74"/>
      <c r="D267" s="74"/>
      <c r="E267" s="70"/>
      <c r="F267" s="70"/>
      <c r="G267" s="70"/>
      <c r="H267" s="70"/>
      <c r="I267" s="70"/>
      <c r="J267" s="70"/>
      <c r="K267" s="70"/>
      <c r="L267" s="70"/>
      <c r="M267" s="70"/>
      <c r="N267" s="71"/>
      <c r="O267" s="71"/>
      <c r="P267" s="72"/>
      <c r="Q267" s="76"/>
      <c r="R267" s="76"/>
      <c r="S267" s="76"/>
      <c r="T267" s="69"/>
    </row>
    <row r="268" spans="1:20" ht="14.1" customHeight="1" x14ac:dyDescent="0.2">
      <c r="A268" s="61"/>
      <c r="B268" s="74"/>
      <c r="C268" s="74"/>
      <c r="D268" s="74"/>
      <c r="E268" s="70"/>
      <c r="F268" s="70"/>
      <c r="G268" s="70"/>
      <c r="H268" s="70"/>
      <c r="I268" s="70"/>
      <c r="J268" s="70"/>
      <c r="K268" s="70"/>
      <c r="L268" s="70"/>
      <c r="M268" s="70"/>
      <c r="N268" s="71"/>
      <c r="O268" s="71"/>
      <c r="P268" s="72"/>
      <c r="Q268" s="76"/>
      <c r="R268" s="76"/>
      <c r="S268" s="76"/>
      <c r="T268" s="69"/>
    </row>
    <row r="269" spans="1:20" ht="14.1" customHeight="1" x14ac:dyDescent="0.2">
      <c r="A269" s="61"/>
      <c r="B269" s="74"/>
      <c r="C269" s="74"/>
      <c r="D269" s="74"/>
      <c r="E269" s="70"/>
      <c r="F269" s="70"/>
      <c r="G269" s="70"/>
      <c r="H269" s="70"/>
      <c r="I269" s="70"/>
      <c r="J269" s="70"/>
      <c r="K269" s="70"/>
      <c r="L269" s="70"/>
      <c r="M269" s="70"/>
      <c r="N269" s="71"/>
      <c r="O269" s="71"/>
      <c r="P269" s="72"/>
      <c r="Q269" s="76"/>
      <c r="R269" s="76"/>
      <c r="S269" s="76"/>
      <c r="T269" s="69"/>
    </row>
    <row r="270" spans="1:20" ht="14.1" customHeight="1" x14ac:dyDescent="0.2">
      <c r="A270" s="61"/>
      <c r="B270" s="74"/>
      <c r="C270" s="74"/>
      <c r="D270" s="74"/>
      <c r="E270" s="70"/>
      <c r="F270" s="70"/>
      <c r="G270" s="70"/>
      <c r="H270" s="70"/>
      <c r="I270" s="70"/>
      <c r="J270" s="70"/>
      <c r="K270" s="70"/>
      <c r="L270" s="70"/>
      <c r="M270" s="70"/>
      <c r="N270" s="71"/>
      <c r="O270" s="71"/>
      <c r="P270" s="72"/>
      <c r="Q270" s="76"/>
      <c r="R270" s="76"/>
      <c r="S270" s="76"/>
      <c r="T270" s="69"/>
    </row>
    <row r="271" spans="1:20" ht="14.1" customHeight="1" x14ac:dyDescent="0.2">
      <c r="A271" s="61"/>
      <c r="B271" s="74"/>
      <c r="C271" s="74"/>
      <c r="D271" s="74"/>
      <c r="E271" s="70"/>
      <c r="F271" s="70"/>
      <c r="G271" s="70"/>
      <c r="H271" s="70"/>
      <c r="I271" s="70"/>
      <c r="J271" s="70"/>
      <c r="K271" s="70"/>
      <c r="L271" s="70"/>
      <c r="M271" s="70"/>
      <c r="N271" s="71"/>
      <c r="O271" s="71"/>
      <c r="P271" s="72"/>
      <c r="Q271" s="76"/>
      <c r="R271" s="76"/>
      <c r="S271" s="76"/>
      <c r="T271" s="69"/>
    </row>
    <row r="272" spans="1:20" ht="14.1" customHeight="1" x14ac:dyDescent="0.2">
      <c r="A272" s="61"/>
      <c r="B272" s="74"/>
      <c r="C272" s="74"/>
      <c r="D272" s="74"/>
      <c r="E272" s="70"/>
      <c r="F272" s="70"/>
      <c r="G272" s="70"/>
      <c r="H272" s="70"/>
      <c r="I272" s="70"/>
      <c r="J272" s="70"/>
      <c r="K272" s="70"/>
      <c r="L272" s="70"/>
      <c r="M272" s="70"/>
      <c r="N272" s="71"/>
      <c r="O272" s="71"/>
      <c r="P272" s="72"/>
      <c r="Q272" s="76"/>
      <c r="R272" s="76"/>
      <c r="S272" s="76"/>
      <c r="T272" s="69"/>
    </row>
    <row r="273" spans="1:20" ht="14.1" customHeight="1" x14ac:dyDescent="0.2">
      <c r="A273" s="61"/>
      <c r="B273" s="74"/>
      <c r="C273" s="74"/>
      <c r="D273" s="74"/>
      <c r="E273" s="70"/>
      <c r="F273" s="70"/>
      <c r="G273" s="70"/>
      <c r="H273" s="70"/>
      <c r="I273" s="70"/>
      <c r="J273" s="70"/>
      <c r="K273" s="70"/>
      <c r="L273" s="70"/>
      <c r="M273" s="70"/>
      <c r="N273" s="71"/>
      <c r="O273" s="71"/>
      <c r="P273" s="72"/>
      <c r="Q273" s="76"/>
      <c r="R273" s="76"/>
      <c r="S273" s="76"/>
      <c r="T273" s="69"/>
    </row>
    <row r="274" spans="1:20" ht="14.1" customHeight="1" x14ac:dyDescent="0.2">
      <c r="A274" s="61"/>
      <c r="B274" s="74"/>
      <c r="C274" s="74"/>
      <c r="D274" s="74"/>
      <c r="E274" s="70"/>
      <c r="F274" s="70"/>
      <c r="G274" s="70"/>
      <c r="H274" s="70"/>
      <c r="I274" s="70"/>
      <c r="J274" s="70"/>
      <c r="K274" s="70"/>
      <c r="L274" s="70"/>
      <c r="M274" s="70"/>
      <c r="N274" s="71"/>
      <c r="O274" s="71"/>
      <c r="P274" s="72"/>
      <c r="Q274" s="76"/>
      <c r="R274" s="76"/>
      <c r="S274" s="76"/>
      <c r="T274" s="69"/>
    </row>
    <row r="275" spans="1:20" ht="14.1" customHeight="1" x14ac:dyDescent="0.2">
      <c r="A275" s="61"/>
      <c r="B275" s="74"/>
      <c r="C275" s="74"/>
      <c r="D275" s="74"/>
      <c r="E275" s="70"/>
      <c r="F275" s="70"/>
      <c r="G275" s="70"/>
      <c r="H275" s="70"/>
      <c r="I275" s="70"/>
      <c r="J275" s="70"/>
      <c r="K275" s="70"/>
      <c r="L275" s="70"/>
      <c r="M275" s="70"/>
      <c r="N275" s="71"/>
      <c r="O275" s="71"/>
      <c r="P275" s="72"/>
      <c r="Q275" s="76"/>
      <c r="R275" s="76"/>
      <c r="S275" s="76"/>
      <c r="T275" s="69"/>
    </row>
    <row r="276" spans="1:20" ht="14.1" customHeight="1" x14ac:dyDescent="0.2">
      <c r="A276" s="61"/>
      <c r="B276" s="74"/>
      <c r="C276" s="74"/>
      <c r="D276" s="74"/>
      <c r="E276" s="70"/>
      <c r="F276" s="70"/>
      <c r="G276" s="70"/>
      <c r="H276" s="70"/>
      <c r="I276" s="70"/>
      <c r="J276" s="70"/>
      <c r="K276" s="70"/>
      <c r="L276" s="70"/>
      <c r="M276" s="70"/>
      <c r="N276" s="71"/>
      <c r="O276" s="71"/>
      <c r="P276" s="72"/>
      <c r="Q276" s="76"/>
      <c r="R276" s="76"/>
      <c r="S276" s="76"/>
      <c r="T276" s="69"/>
    </row>
    <row r="277" spans="1:20" ht="14.1" customHeight="1" x14ac:dyDescent="0.2">
      <c r="A277" s="61"/>
      <c r="B277" s="74"/>
      <c r="C277" s="74"/>
      <c r="D277" s="74"/>
      <c r="E277" s="70"/>
      <c r="F277" s="70"/>
      <c r="G277" s="70"/>
      <c r="H277" s="70"/>
      <c r="I277" s="70"/>
      <c r="J277" s="70"/>
      <c r="K277" s="70"/>
      <c r="L277" s="70"/>
      <c r="M277" s="70"/>
      <c r="N277" s="71"/>
      <c r="O277" s="71"/>
      <c r="P277" s="72"/>
      <c r="Q277" s="76"/>
      <c r="R277" s="76"/>
      <c r="S277" s="76"/>
      <c r="T277" s="69"/>
    </row>
    <row r="278" spans="1:20" ht="14.1" customHeight="1" x14ac:dyDescent="0.2">
      <c r="A278" s="61"/>
      <c r="B278" s="74"/>
      <c r="C278" s="74"/>
      <c r="D278" s="74"/>
      <c r="E278" s="70"/>
      <c r="F278" s="70"/>
      <c r="G278" s="70"/>
      <c r="H278" s="70"/>
      <c r="I278" s="70"/>
      <c r="J278" s="70"/>
      <c r="K278" s="70"/>
      <c r="L278" s="70"/>
      <c r="M278" s="70"/>
      <c r="N278" s="71"/>
      <c r="O278" s="71"/>
      <c r="P278" s="72"/>
      <c r="Q278" s="76"/>
      <c r="R278" s="76"/>
      <c r="S278" s="76"/>
      <c r="T278" s="69"/>
    </row>
    <row r="279" spans="1:20" ht="14.1" customHeight="1" x14ac:dyDescent="0.2">
      <c r="A279" s="61"/>
      <c r="B279" s="74"/>
      <c r="C279" s="74"/>
      <c r="D279" s="74"/>
      <c r="E279" s="70"/>
      <c r="F279" s="70"/>
      <c r="G279" s="70"/>
      <c r="H279" s="70"/>
      <c r="I279" s="70"/>
      <c r="J279" s="70"/>
      <c r="K279" s="70"/>
      <c r="L279" s="70"/>
      <c r="M279" s="70"/>
      <c r="N279" s="71"/>
      <c r="O279" s="71"/>
      <c r="P279" s="72"/>
      <c r="Q279" s="76"/>
      <c r="R279" s="76"/>
      <c r="S279" s="76"/>
      <c r="T279" s="69"/>
    </row>
    <row r="280" spans="1:20" ht="14.1" customHeight="1" x14ac:dyDescent="0.2">
      <c r="A280" s="61"/>
      <c r="B280" s="74"/>
      <c r="C280" s="74"/>
      <c r="D280" s="74"/>
      <c r="E280" s="70"/>
      <c r="F280" s="70"/>
      <c r="G280" s="70"/>
      <c r="H280" s="70"/>
      <c r="I280" s="70"/>
      <c r="J280" s="70"/>
      <c r="K280" s="70"/>
      <c r="L280" s="70"/>
      <c r="M280" s="70"/>
      <c r="N280" s="71"/>
      <c r="O280" s="71"/>
      <c r="P280" s="72"/>
      <c r="Q280" s="76"/>
      <c r="R280" s="76"/>
      <c r="S280" s="76"/>
      <c r="T280" s="69"/>
    </row>
    <row r="281" spans="1:20" ht="14.1" customHeight="1" x14ac:dyDescent="0.2">
      <c r="A281" s="61"/>
      <c r="B281" s="74"/>
      <c r="C281" s="74"/>
      <c r="D281" s="74"/>
      <c r="E281" s="70"/>
      <c r="F281" s="70"/>
      <c r="G281" s="70"/>
      <c r="H281" s="70"/>
      <c r="I281" s="70"/>
      <c r="J281" s="70"/>
      <c r="K281" s="70"/>
      <c r="L281" s="70"/>
      <c r="M281" s="70"/>
      <c r="N281" s="71"/>
      <c r="O281" s="71"/>
      <c r="P281" s="72"/>
      <c r="Q281" s="76"/>
      <c r="R281" s="76"/>
      <c r="S281" s="76"/>
      <c r="T281" s="69"/>
    </row>
    <row r="282" spans="1:20" ht="14.1" customHeight="1" x14ac:dyDescent="0.2">
      <c r="A282" s="61"/>
      <c r="B282" s="74"/>
      <c r="C282" s="74"/>
      <c r="D282" s="74"/>
      <c r="E282" s="70"/>
      <c r="F282" s="70"/>
      <c r="G282" s="70"/>
      <c r="H282" s="70"/>
      <c r="I282" s="70"/>
      <c r="J282" s="70"/>
      <c r="K282" s="70"/>
      <c r="L282" s="70"/>
      <c r="M282" s="70"/>
      <c r="N282" s="71"/>
      <c r="O282" s="71"/>
      <c r="P282" s="72"/>
      <c r="Q282" s="76"/>
      <c r="R282" s="76"/>
      <c r="S282" s="76"/>
      <c r="T282" s="69"/>
    </row>
    <row r="283" spans="1:20" ht="14.1" customHeight="1" x14ac:dyDescent="0.2">
      <c r="A283" s="61"/>
      <c r="B283" s="74"/>
      <c r="C283" s="74"/>
      <c r="D283" s="74"/>
      <c r="E283" s="70"/>
      <c r="F283" s="70"/>
      <c r="G283" s="70"/>
      <c r="H283" s="70"/>
      <c r="I283" s="70"/>
      <c r="J283" s="70"/>
      <c r="K283" s="70"/>
      <c r="L283" s="70"/>
      <c r="M283" s="70"/>
      <c r="N283" s="71"/>
      <c r="O283" s="71"/>
      <c r="P283" s="72"/>
      <c r="Q283" s="76"/>
      <c r="R283" s="76"/>
      <c r="S283" s="76"/>
      <c r="T283" s="69"/>
    </row>
    <row r="284" spans="1:20" ht="14.1" customHeight="1" x14ac:dyDescent="0.2">
      <c r="A284" s="61"/>
      <c r="B284" s="74"/>
      <c r="C284" s="74"/>
      <c r="D284" s="74"/>
      <c r="E284" s="70"/>
      <c r="F284" s="70"/>
      <c r="G284" s="70"/>
      <c r="H284" s="70"/>
      <c r="I284" s="70"/>
      <c r="J284" s="70"/>
      <c r="K284" s="70"/>
      <c r="L284" s="70"/>
      <c r="M284" s="70"/>
      <c r="N284" s="71"/>
      <c r="O284" s="71"/>
      <c r="P284" s="72"/>
      <c r="Q284" s="76"/>
      <c r="R284" s="76"/>
      <c r="S284" s="76"/>
      <c r="T284" s="69"/>
    </row>
    <row r="285" spans="1:20" ht="14.1" customHeight="1" x14ac:dyDescent="0.2">
      <c r="A285" s="61"/>
      <c r="B285" s="74"/>
      <c r="C285" s="74"/>
      <c r="D285" s="74"/>
      <c r="E285" s="70"/>
      <c r="F285" s="70"/>
      <c r="G285" s="70"/>
      <c r="H285" s="70"/>
      <c r="I285" s="70"/>
      <c r="J285" s="70"/>
      <c r="K285" s="70"/>
      <c r="L285" s="70"/>
      <c r="M285" s="70"/>
      <c r="N285" s="71"/>
      <c r="O285" s="71"/>
      <c r="P285" s="72"/>
      <c r="Q285" s="76"/>
      <c r="R285" s="76"/>
      <c r="S285" s="76"/>
      <c r="T285" s="69"/>
    </row>
    <row r="286" spans="1:20" ht="14.1" customHeight="1" x14ac:dyDescent="0.2">
      <c r="A286" s="61"/>
      <c r="B286" s="74"/>
      <c r="C286" s="74"/>
      <c r="D286" s="74"/>
      <c r="E286" s="70"/>
      <c r="F286" s="70"/>
      <c r="G286" s="70"/>
      <c r="H286" s="70"/>
      <c r="I286" s="70"/>
      <c r="J286" s="70"/>
      <c r="K286" s="70"/>
      <c r="L286" s="70"/>
      <c r="M286" s="70"/>
      <c r="N286" s="71"/>
      <c r="O286" s="71"/>
      <c r="P286" s="72"/>
      <c r="Q286" s="76"/>
      <c r="R286" s="76"/>
      <c r="S286" s="76"/>
      <c r="T286" s="69"/>
    </row>
    <row r="287" spans="1:20" ht="14.1" customHeight="1" x14ac:dyDescent="0.2">
      <c r="A287" s="61"/>
      <c r="B287" s="74"/>
      <c r="C287" s="74"/>
      <c r="D287" s="74"/>
      <c r="E287" s="70"/>
      <c r="F287" s="70"/>
      <c r="G287" s="70"/>
      <c r="H287" s="70"/>
      <c r="I287" s="70"/>
      <c r="J287" s="70"/>
      <c r="K287" s="70"/>
      <c r="L287" s="70"/>
      <c r="M287" s="70"/>
      <c r="N287" s="71"/>
      <c r="O287" s="71"/>
      <c r="P287" s="72"/>
      <c r="Q287" s="76"/>
      <c r="R287" s="76"/>
      <c r="S287" s="76"/>
      <c r="T287" s="69"/>
    </row>
    <row r="288" spans="1:20" ht="14.1" customHeight="1" x14ac:dyDescent="0.2">
      <c r="A288" s="61"/>
      <c r="B288" s="74"/>
      <c r="C288" s="74"/>
      <c r="D288" s="74"/>
      <c r="E288" s="70"/>
      <c r="F288" s="70"/>
      <c r="G288" s="70"/>
      <c r="H288" s="70"/>
      <c r="I288" s="70"/>
      <c r="J288" s="70"/>
      <c r="K288" s="70"/>
      <c r="L288" s="70"/>
      <c r="M288" s="70"/>
      <c r="N288" s="71"/>
      <c r="O288" s="71"/>
      <c r="P288" s="72"/>
      <c r="Q288" s="76"/>
      <c r="R288" s="76"/>
      <c r="S288" s="76"/>
      <c r="T288" s="69"/>
    </row>
    <row r="289" spans="1:20" ht="14.1" customHeight="1" x14ac:dyDescent="0.2">
      <c r="A289" s="61"/>
      <c r="B289" s="74"/>
      <c r="C289" s="74"/>
      <c r="D289" s="74"/>
      <c r="E289" s="70"/>
      <c r="F289" s="70"/>
      <c r="G289" s="70"/>
      <c r="H289" s="70"/>
      <c r="I289" s="70"/>
      <c r="J289" s="70"/>
      <c r="K289" s="70"/>
      <c r="L289" s="70"/>
      <c r="M289" s="70"/>
      <c r="N289" s="71"/>
      <c r="O289" s="71"/>
      <c r="P289" s="72"/>
      <c r="Q289" s="76"/>
      <c r="R289" s="76"/>
      <c r="S289" s="76"/>
      <c r="T289" s="69"/>
    </row>
    <row r="290" spans="1:20" ht="14.1" customHeight="1" x14ac:dyDescent="0.2">
      <c r="A290" s="61"/>
      <c r="B290" s="74"/>
      <c r="C290" s="74"/>
      <c r="D290" s="74"/>
      <c r="E290" s="70"/>
      <c r="F290" s="70"/>
      <c r="G290" s="70"/>
      <c r="H290" s="70"/>
      <c r="I290" s="70"/>
      <c r="J290" s="70"/>
      <c r="K290" s="70"/>
      <c r="L290" s="70"/>
      <c r="M290" s="70"/>
      <c r="N290" s="71"/>
      <c r="O290" s="71"/>
      <c r="P290" s="72"/>
      <c r="Q290" s="76"/>
      <c r="R290" s="76"/>
      <c r="S290" s="76"/>
      <c r="T290" s="69"/>
    </row>
    <row r="291" spans="1:20" ht="14.1" customHeight="1" x14ac:dyDescent="0.2">
      <c r="A291" s="61"/>
      <c r="B291" s="74"/>
      <c r="C291" s="74"/>
      <c r="D291" s="74"/>
      <c r="E291" s="70"/>
      <c r="F291" s="70"/>
      <c r="G291" s="70"/>
      <c r="H291" s="70"/>
      <c r="I291" s="70"/>
      <c r="J291" s="70"/>
      <c r="K291" s="70"/>
      <c r="L291" s="70"/>
      <c r="M291" s="70"/>
      <c r="N291" s="71"/>
      <c r="O291" s="71"/>
      <c r="P291" s="72"/>
      <c r="Q291" s="76"/>
      <c r="R291" s="76"/>
      <c r="S291" s="76"/>
      <c r="T291" s="69"/>
    </row>
    <row r="292" spans="1:20" ht="14.1" customHeight="1" x14ac:dyDescent="0.2">
      <c r="A292" s="61"/>
      <c r="B292" s="74"/>
      <c r="C292" s="74"/>
      <c r="D292" s="74"/>
      <c r="E292" s="70"/>
      <c r="F292" s="70"/>
      <c r="G292" s="70"/>
      <c r="H292" s="70"/>
      <c r="I292" s="70"/>
      <c r="J292" s="70"/>
      <c r="K292" s="70"/>
      <c r="L292" s="70"/>
      <c r="M292" s="70"/>
      <c r="N292" s="71"/>
      <c r="O292" s="71"/>
      <c r="P292" s="72"/>
      <c r="Q292" s="76"/>
      <c r="R292" s="76"/>
      <c r="S292" s="76"/>
      <c r="T292" s="69"/>
    </row>
    <row r="293" spans="1:20" ht="14.1" customHeight="1" x14ac:dyDescent="0.2">
      <c r="A293" s="61"/>
      <c r="B293" s="74"/>
      <c r="C293" s="74"/>
      <c r="D293" s="74"/>
      <c r="E293" s="70"/>
      <c r="F293" s="70"/>
      <c r="G293" s="70"/>
      <c r="H293" s="70"/>
      <c r="I293" s="70"/>
      <c r="J293" s="70"/>
      <c r="K293" s="70"/>
      <c r="L293" s="70"/>
      <c r="M293" s="70"/>
      <c r="N293" s="71"/>
      <c r="O293" s="71"/>
      <c r="P293" s="72"/>
      <c r="Q293" s="76"/>
      <c r="R293" s="76"/>
      <c r="S293" s="76"/>
      <c r="T293" s="69"/>
    </row>
    <row r="294" spans="1:20" ht="14.1" customHeight="1" x14ac:dyDescent="0.2">
      <c r="A294" s="61"/>
      <c r="B294" s="74"/>
      <c r="C294" s="74"/>
      <c r="D294" s="74"/>
      <c r="E294" s="70"/>
      <c r="F294" s="70"/>
      <c r="G294" s="70"/>
      <c r="H294" s="70"/>
      <c r="I294" s="70"/>
      <c r="J294" s="70"/>
      <c r="K294" s="70"/>
      <c r="L294" s="70"/>
      <c r="M294" s="70"/>
      <c r="N294" s="71"/>
      <c r="O294" s="71"/>
      <c r="P294" s="72"/>
      <c r="Q294" s="76"/>
      <c r="R294" s="76"/>
      <c r="S294" s="76"/>
      <c r="T294" s="69"/>
    </row>
    <row r="295" spans="1:20" ht="14.1" customHeight="1" x14ac:dyDescent="0.2">
      <c r="A295" s="61"/>
      <c r="B295" s="74"/>
      <c r="C295" s="74"/>
      <c r="D295" s="74"/>
      <c r="E295" s="70"/>
      <c r="F295" s="70"/>
      <c r="G295" s="70"/>
      <c r="H295" s="70"/>
      <c r="I295" s="70"/>
      <c r="J295" s="70"/>
      <c r="K295" s="70"/>
      <c r="L295" s="70"/>
      <c r="M295" s="70"/>
      <c r="N295" s="71"/>
      <c r="O295" s="71"/>
      <c r="P295" s="72"/>
      <c r="Q295" s="76"/>
      <c r="R295" s="76"/>
      <c r="S295" s="76"/>
      <c r="T295" s="69"/>
    </row>
    <row r="296" spans="1:20" ht="14.1" customHeight="1" x14ac:dyDescent="0.2">
      <c r="A296" s="61"/>
      <c r="B296" s="74"/>
      <c r="C296" s="74"/>
      <c r="D296" s="74"/>
      <c r="E296" s="70"/>
      <c r="F296" s="70"/>
      <c r="G296" s="70"/>
      <c r="H296" s="70"/>
      <c r="I296" s="70"/>
      <c r="J296" s="70"/>
      <c r="K296" s="70"/>
      <c r="L296" s="70"/>
      <c r="M296" s="70"/>
      <c r="N296" s="71"/>
      <c r="O296" s="71"/>
      <c r="P296" s="72"/>
      <c r="Q296" s="76"/>
      <c r="R296" s="76"/>
      <c r="S296" s="76"/>
      <c r="T296" s="69"/>
    </row>
    <row r="297" spans="1:20" ht="14.1" customHeight="1" x14ac:dyDescent="0.2">
      <c r="A297" s="61"/>
      <c r="B297" s="74"/>
      <c r="C297" s="74"/>
      <c r="D297" s="74"/>
      <c r="E297" s="70"/>
      <c r="F297" s="70"/>
      <c r="G297" s="70"/>
      <c r="H297" s="70"/>
      <c r="I297" s="70"/>
      <c r="J297" s="70"/>
      <c r="K297" s="70"/>
      <c r="L297" s="70"/>
      <c r="M297" s="70"/>
      <c r="N297" s="71"/>
      <c r="O297" s="71"/>
      <c r="P297" s="72"/>
      <c r="Q297" s="76"/>
      <c r="R297" s="76"/>
      <c r="S297" s="76"/>
      <c r="T297" s="69"/>
    </row>
    <row r="298" spans="1:20" ht="14.1" customHeight="1" x14ac:dyDescent="0.2">
      <c r="A298" s="61"/>
      <c r="B298" s="74"/>
      <c r="C298" s="74"/>
      <c r="D298" s="74"/>
      <c r="E298" s="70"/>
      <c r="F298" s="70"/>
      <c r="G298" s="70"/>
      <c r="H298" s="70"/>
      <c r="I298" s="70"/>
      <c r="J298" s="70"/>
      <c r="K298" s="70"/>
      <c r="L298" s="70"/>
      <c r="M298" s="70"/>
      <c r="N298" s="71"/>
      <c r="O298" s="71"/>
      <c r="P298" s="72"/>
      <c r="Q298" s="76"/>
      <c r="R298" s="76"/>
      <c r="S298" s="76"/>
      <c r="T298" s="69"/>
    </row>
    <row r="299" spans="1:20" ht="14.1" customHeight="1" x14ac:dyDescent="0.2">
      <c r="A299" s="61"/>
      <c r="B299" s="74"/>
      <c r="C299" s="74"/>
      <c r="D299" s="74"/>
      <c r="E299" s="70"/>
      <c r="F299" s="70"/>
      <c r="G299" s="70"/>
      <c r="H299" s="70"/>
      <c r="I299" s="70"/>
      <c r="J299" s="70"/>
      <c r="K299" s="70"/>
      <c r="L299" s="70"/>
      <c r="M299" s="70"/>
      <c r="N299" s="71"/>
      <c r="O299" s="71"/>
      <c r="P299" s="72"/>
      <c r="Q299" s="76"/>
      <c r="R299" s="76"/>
      <c r="S299" s="76"/>
      <c r="T299" s="69"/>
    </row>
    <row r="300" spans="1:20" ht="14.1" customHeight="1" x14ac:dyDescent="0.2">
      <c r="A300" s="61"/>
      <c r="B300" s="74"/>
      <c r="C300" s="74"/>
      <c r="D300" s="74"/>
      <c r="E300" s="70"/>
      <c r="F300" s="70"/>
      <c r="G300" s="70"/>
      <c r="H300" s="70"/>
      <c r="I300" s="70"/>
      <c r="J300" s="70"/>
      <c r="K300" s="70"/>
      <c r="L300" s="70"/>
      <c r="M300" s="70"/>
      <c r="N300" s="71"/>
      <c r="O300" s="71"/>
      <c r="P300" s="72"/>
      <c r="Q300" s="76"/>
      <c r="R300" s="76"/>
      <c r="S300" s="76"/>
      <c r="T300" s="69"/>
    </row>
    <row r="301" spans="1:20" ht="14.1" customHeight="1" x14ac:dyDescent="0.2">
      <c r="A301" s="61"/>
      <c r="B301" s="74"/>
      <c r="C301" s="74"/>
      <c r="D301" s="74"/>
      <c r="E301" s="70"/>
      <c r="F301" s="70"/>
      <c r="G301" s="70"/>
      <c r="H301" s="70"/>
      <c r="I301" s="70"/>
      <c r="J301" s="70"/>
      <c r="K301" s="70"/>
      <c r="L301" s="70"/>
      <c r="M301" s="70"/>
      <c r="N301" s="71"/>
      <c r="O301" s="71"/>
      <c r="P301" s="72"/>
      <c r="Q301" s="76"/>
      <c r="R301" s="76"/>
      <c r="S301" s="76"/>
      <c r="T301" s="69"/>
    </row>
    <row r="302" spans="1:20" ht="14.1" customHeight="1" x14ac:dyDescent="0.2">
      <c r="A302" s="61"/>
      <c r="B302" s="74"/>
      <c r="C302" s="74"/>
      <c r="D302" s="74"/>
      <c r="E302" s="70"/>
      <c r="F302" s="70"/>
      <c r="G302" s="70"/>
      <c r="H302" s="70"/>
      <c r="I302" s="70"/>
      <c r="J302" s="70"/>
      <c r="K302" s="70"/>
      <c r="L302" s="70"/>
      <c r="M302" s="70"/>
      <c r="N302" s="71"/>
      <c r="O302" s="71"/>
      <c r="P302" s="72"/>
      <c r="Q302" s="76"/>
      <c r="R302" s="76"/>
      <c r="S302" s="76"/>
      <c r="T302" s="69"/>
    </row>
    <row r="303" spans="1:20" ht="14.1" customHeight="1" x14ac:dyDescent="0.2">
      <c r="A303" s="61"/>
      <c r="B303" s="74"/>
      <c r="C303" s="74"/>
      <c r="D303" s="74"/>
      <c r="E303" s="70"/>
      <c r="F303" s="70"/>
      <c r="G303" s="70"/>
      <c r="H303" s="70"/>
      <c r="I303" s="70"/>
      <c r="J303" s="70"/>
      <c r="K303" s="70"/>
      <c r="L303" s="70"/>
      <c r="M303" s="70"/>
      <c r="N303" s="71"/>
      <c r="O303" s="71"/>
      <c r="P303" s="72"/>
      <c r="Q303" s="76"/>
      <c r="R303" s="76"/>
      <c r="S303" s="76"/>
      <c r="T303" s="69"/>
    </row>
    <row r="304" spans="1:20" ht="14.1" customHeight="1" x14ac:dyDescent="0.2">
      <c r="A304" s="61"/>
      <c r="B304" s="74"/>
      <c r="C304" s="74"/>
      <c r="D304" s="74"/>
      <c r="E304" s="70"/>
      <c r="F304" s="70"/>
      <c r="G304" s="70"/>
      <c r="H304" s="70"/>
      <c r="I304" s="70"/>
      <c r="J304" s="70"/>
      <c r="K304" s="70"/>
      <c r="L304" s="70"/>
      <c r="M304" s="70"/>
      <c r="N304" s="71"/>
      <c r="O304" s="71"/>
      <c r="P304" s="72"/>
      <c r="Q304" s="76"/>
      <c r="R304" s="76"/>
      <c r="S304" s="76"/>
      <c r="T304" s="69"/>
    </row>
    <row r="305" spans="1:20" ht="14.1" customHeight="1" x14ac:dyDescent="0.2">
      <c r="A305" s="61"/>
      <c r="B305" s="74"/>
      <c r="C305" s="74"/>
      <c r="D305" s="74"/>
      <c r="E305" s="70"/>
      <c r="F305" s="70"/>
      <c r="G305" s="70"/>
      <c r="H305" s="70"/>
      <c r="I305" s="70"/>
      <c r="J305" s="70"/>
      <c r="K305" s="70"/>
      <c r="L305" s="70"/>
      <c r="M305" s="70"/>
      <c r="N305" s="71"/>
      <c r="O305" s="71"/>
      <c r="P305" s="72"/>
      <c r="Q305" s="76"/>
      <c r="R305" s="76"/>
      <c r="S305" s="76"/>
      <c r="T305" s="69"/>
    </row>
    <row r="306" spans="1:20" ht="14.1" customHeight="1" x14ac:dyDescent="0.2">
      <c r="A306" s="61"/>
      <c r="B306" s="74"/>
      <c r="C306" s="74"/>
      <c r="D306" s="74"/>
      <c r="E306" s="70"/>
      <c r="F306" s="70"/>
      <c r="G306" s="70"/>
      <c r="H306" s="70"/>
      <c r="I306" s="70"/>
      <c r="J306" s="70"/>
      <c r="K306" s="70"/>
      <c r="L306" s="70"/>
      <c r="M306" s="70"/>
      <c r="N306" s="71"/>
      <c r="O306" s="71"/>
      <c r="P306" s="72"/>
      <c r="Q306" s="76"/>
      <c r="R306" s="76"/>
      <c r="S306" s="76"/>
      <c r="T306" s="69"/>
    </row>
    <row r="307" spans="1:20" ht="14.1" customHeight="1" x14ac:dyDescent="0.2">
      <c r="A307" s="61"/>
      <c r="B307" s="74"/>
      <c r="C307" s="74"/>
      <c r="D307" s="74"/>
      <c r="E307" s="70"/>
      <c r="F307" s="70"/>
      <c r="G307" s="70"/>
      <c r="H307" s="70"/>
      <c r="I307" s="70"/>
      <c r="J307" s="70"/>
      <c r="K307" s="70"/>
      <c r="L307" s="70"/>
      <c r="M307" s="70"/>
      <c r="N307" s="71"/>
      <c r="O307" s="71"/>
      <c r="P307" s="72"/>
      <c r="Q307" s="76"/>
      <c r="R307" s="76"/>
      <c r="S307" s="76"/>
      <c r="T307" s="69"/>
    </row>
    <row r="308" spans="1:20" ht="14.1" customHeight="1" x14ac:dyDescent="0.2">
      <c r="A308" s="61"/>
      <c r="B308" s="74"/>
      <c r="C308" s="74"/>
      <c r="D308" s="74"/>
      <c r="E308" s="70"/>
      <c r="F308" s="70"/>
      <c r="G308" s="70"/>
      <c r="H308" s="70"/>
      <c r="I308" s="70"/>
      <c r="J308" s="70"/>
      <c r="K308" s="70"/>
      <c r="L308" s="70"/>
      <c r="M308" s="70"/>
      <c r="N308" s="71"/>
      <c r="O308" s="71"/>
      <c r="P308" s="72"/>
      <c r="Q308" s="76"/>
      <c r="R308" s="76"/>
      <c r="S308" s="76"/>
      <c r="T308" s="69"/>
    </row>
    <row r="309" spans="1:20" ht="14.1" customHeight="1" x14ac:dyDescent="0.2">
      <c r="A309" s="61"/>
      <c r="B309" s="74"/>
      <c r="C309" s="74"/>
      <c r="D309" s="74"/>
      <c r="E309" s="70"/>
      <c r="F309" s="70"/>
      <c r="G309" s="70"/>
      <c r="H309" s="70"/>
      <c r="I309" s="70"/>
      <c r="J309" s="70"/>
      <c r="K309" s="70"/>
      <c r="L309" s="70"/>
      <c r="M309" s="70"/>
      <c r="N309" s="71"/>
      <c r="O309" s="71"/>
      <c r="P309" s="72"/>
      <c r="Q309" s="76"/>
      <c r="R309" s="76"/>
      <c r="S309" s="76"/>
      <c r="T309" s="69"/>
    </row>
    <row r="310" spans="1:20" ht="14.1" customHeight="1" x14ac:dyDescent="0.2">
      <c r="A310" s="61"/>
      <c r="B310" s="74"/>
      <c r="C310" s="74"/>
      <c r="D310" s="74"/>
      <c r="E310" s="70"/>
      <c r="F310" s="70"/>
      <c r="G310" s="70"/>
      <c r="H310" s="70"/>
      <c r="I310" s="70"/>
      <c r="J310" s="70"/>
      <c r="K310" s="70"/>
      <c r="L310" s="70"/>
      <c r="M310" s="70"/>
      <c r="N310" s="71"/>
      <c r="O310" s="71"/>
      <c r="P310" s="72"/>
      <c r="Q310" s="76"/>
      <c r="R310" s="76"/>
      <c r="S310" s="76"/>
      <c r="T310" s="69"/>
    </row>
    <row r="311" spans="1:20" ht="14.1" customHeight="1" x14ac:dyDescent="0.2">
      <c r="A311" s="61"/>
      <c r="B311" s="74"/>
      <c r="C311" s="74"/>
      <c r="D311" s="74"/>
      <c r="E311" s="70"/>
      <c r="F311" s="70"/>
      <c r="G311" s="70"/>
      <c r="H311" s="70"/>
      <c r="I311" s="70"/>
      <c r="J311" s="70"/>
      <c r="K311" s="70"/>
      <c r="L311" s="70"/>
      <c r="M311" s="70"/>
      <c r="N311" s="71"/>
      <c r="O311" s="71"/>
      <c r="P311" s="72"/>
      <c r="Q311" s="76"/>
      <c r="R311" s="76"/>
      <c r="S311" s="76"/>
      <c r="T311" s="69"/>
    </row>
    <row r="312" spans="1:20" ht="14.1" customHeight="1" x14ac:dyDescent="0.2">
      <c r="A312" s="61"/>
      <c r="B312" s="74"/>
      <c r="C312" s="74"/>
      <c r="D312" s="74"/>
      <c r="E312" s="70"/>
      <c r="F312" s="70"/>
      <c r="G312" s="70"/>
      <c r="H312" s="70"/>
      <c r="I312" s="70"/>
      <c r="J312" s="70"/>
      <c r="K312" s="70"/>
      <c r="L312" s="70"/>
      <c r="M312" s="70"/>
      <c r="N312" s="71"/>
      <c r="O312" s="71"/>
      <c r="P312" s="72"/>
      <c r="Q312" s="76"/>
      <c r="R312" s="76"/>
      <c r="S312" s="76"/>
      <c r="T312" s="69"/>
    </row>
    <row r="313" spans="1:20" ht="14.1" customHeight="1" x14ac:dyDescent="0.2">
      <c r="A313" s="61"/>
      <c r="B313" s="74"/>
      <c r="C313" s="74"/>
      <c r="D313" s="74"/>
      <c r="E313" s="70"/>
      <c r="F313" s="70"/>
      <c r="G313" s="70"/>
      <c r="H313" s="70"/>
      <c r="I313" s="70"/>
      <c r="J313" s="70"/>
      <c r="K313" s="70"/>
      <c r="L313" s="70"/>
      <c r="M313" s="70"/>
      <c r="N313" s="71"/>
      <c r="O313" s="71"/>
      <c r="P313" s="72"/>
      <c r="Q313" s="76"/>
      <c r="R313" s="76"/>
      <c r="S313" s="76"/>
      <c r="T313" s="69"/>
    </row>
    <row r="314" spans="1:20" ht="14.1" customHeight="1" x14ac:dyDescent="0.2">
      <c r="A314" s="61"/>
      <c r="B314" s="74"/>
      <c r="C314" s="74"/>
      <c r="D314" s="74"/>
      <c r="E314" s="70"/>
      <c r="F314" s="70"/>
      <c r="G314" s="70"/>
      <c r="H314" s="70"/>
      <c r="I314" s="70"/>
      <c r="J314" s="70"/>
      <c r="K314" s="70"/>
      <c r="L314" s="70"/>
      <c r="M314" s="70"/>
      <c r="N314" s="71"/>
      <c r="O314" s="71"/>
      <c r="P314" s="72"/>
      <c r="Q314" s="76"/>
      <c r="R314" s="76"/>
      <c r="S314" s="76"/>
      <c r="T314" s="69"/>
    </row>
    <row r="315" spans="1:20" ht="14.1" customHeight="1" x14ac:dyDescent="0.2">
      <c r="A315" s="61"/>
      <c r="B315" s="74"/>
      <c r="C315" s="74"/>
      <c r="D315" s="74"/>
      <c r="E315" s="70"/>
      <c r="F315" s="70"/>
      <c r="G315" s="70"/>
      <c r="H315" s="70"/>
      <c r="I315" s="70"/>
      <c r="J315" s="70"/>
      <c r="K315" s="70"/>
      <c r="L315" s="70"/>
      <c r="M315" s="70"/>
      <c r="N315" s="71"/>
      <c r="O315" s="71"/>
      <c r="P315" s="72"/>
      <c r="Q315" s="76"/>
      <c r="R315" s="76"/>
      <c r="S315" s="76"/>
      <c r="T315" s="69"/>
    </row>
    <row r="316" spans="1:20" ht="14.1" customHeight="1" x14ac:dyDescent="0.2">
      <c r="A316" s="61"/>
      <c r="B316" s="74"/>
      <c r="C316" s="74"/>
      <c r="D316" s="74"/>
      <c r="E316" s="70"/>
      <c r="F316" s="70"/>
      <c r="G316" s="70"/>
      <c r="H316" s="70"/>
      <c r="I316" s="70"/>
      <c r="J316" s="70"/>
      <c r="K316" s="70"/>
      <c r="L316" s="70"/>
      <c r="M316" s="70"/>
      <c r="N316" s="71"/>
      <c r="O316" s="71"/>
      <c r="P316" s="72"/>
      <c r="Q316" s="76"/>
      <c r="R316" s="76"/>
      <c r="S316" s="76"/>
      <c r="T316" s="69"/>
    </row>
    <row r="317" spans="1:20" ht="14.1" customHeight="1" x14ac:dyDescent="0.2">
      <c r="A317" s="61"/>
      <c r="B317" s="74"/>
      <c r="C317" s="74"/>
      <c r="D317" s="74"/>
      <c r="E317" s="70"/>
      <c r="F317" s="70"/>
      <c r="G317" s="70"/>
      <c r="H317" s="70"/>
      <c r="I317" s="70"/>
      <c r="J317" s="70"/>
      <c r="K317" s="70"/>
      <c r="L317" s="70"/>
      <c r="M317" s="70"/>
      <c r="N317" s="71"/>
      <c r="O317" s="71"/>
      <c r="P317" s="72"/>
      <c r="Q317" s="76"/>
      <c r="R317" s="76"/>
      <c r="S317" s="76"/>
      <c r="T317" s="69"/>
    </row>
    <row r="318" spans="1:20" ht="14.1" customHeight="1" x14ac:dyDescent="0.2">
      <c r="A318" s="61"/>
      <c r="B318" s="74"/>
      <c r="C318" s="74"/>
      <c r="D318" s="74"/>
      <c r="E318" s="70"/>
      <c r="F318" s="70"/>
      <c r="G318" s="70"/>
      <c r="H318" s="70"/>
      <c r="I318" s="70"/>
      <c r="J318" s="70"/>
      <c r="K318" s="70"/>
      <c r="L318" s="70"/>
      <c r="M318" s="70"/>
      <c r="N318" s="71"/>
      <c r="O318" s="71"/>
      <c r="P318" s="72"/>
      <c r="Q318" s="76"/>
      <c r="R318" s="76"/>
      <c r="S318" s="76"/>
      <c r="T318" s="69"/>
    </row>
    <row r="319" spans="1:20" ht="14.1" customHeight="1" x14ac:dyDescent="0.2">
      <c r="A319" s="61"/>
      <c r="B319" s="74"/>
      <c r="C319" s="74"/>
      <c r="D319" s="74"/>
      <c r="E319" s="70"/>
      <c r="F319" s="70"/>
      <c r="G319" s="70"/>
      <c r="H319" s="70"/>
      <c r="I319" s="70"/>
      <c r="J319" s="70"/>
      <c r="K319" s="70"/>
      <c r="L319" s="70"/>
      <c r="M319" s="70"/>
      <c r="N319" s="71"/>
      <c r="O319" s="71"/>
      <c r="P319" s="72"/>
      <c r="Q319" s="76"/>
      <c r="R319" s="76"/>
      <c r="S319" s="76"/>
      <c r="T319" s="69"/>
    </row>
    <row r="320" spans="1:20" ht="14.1" customHeight="1" x14ac:dyDescent="0.2">
      <c r="A320" s="61"/>
      <c r="B320" s="74"/>
      <c r="C320" s="74"/>
      <c r="D320" s="74"/>
      <c r="E320" s="70"/>
      <c r="F320" s="70"/>
      <c r="G320" s="70"/>
      <c r="H320" s="70"/>
      <c r="I320" s="70"/>
      <c r="J320" s="70"/>
      <c r="K320" s="70"/>
      <c r="L320" s="70"/>
      <c r="M320" s="70"/>
      <c r="N320" s="71"/>
      <c r="O320" s="71"/>
      <c r="P320" s="72"/>
      <c r="Q320" s="76"/>
      <c r="R320" s="76"/>
      <c r="S320" s="76"/>
      <c r="T320" s="69"/>
    </row>
    <row r="321" spans="1:20" ht="14.1" customHeight="1" x14ac:dyDescent="0.2">
      <c r="A321" s="61"/>
      <c r="B321" s="74"/>
      <c r="C321" s="74"/>
      <c r="D321" s="74"/>
      <c r="E321" s="70"/>
      <c r="F321" s="70"/>
      <c r="G321" s="70"/>
      <c r="H321" s="70"/>
      <c r="I321" s="70"/>
      <c r="J321" s="70"/>
      <c r="K321" s="70"/>
      <c r="L321" s="70"/>
      <c r="M321" s="70"/>
      <c r="N321" s="71"/>
      <c r="O321" s="71"/>
      <c r="P321" s="72"/>
      <c r="Q321" s="76"/>
      <c r="R321" s="76"/>
      <c r="S321" s="76"/>
      <c r="T321" s="69"/>
    </row>
    <row r="322" spans="1:20" ht="14.1" customHeight="1" x14ac:dyDescent="0.2">
      <c r="A322" s="61"/>
      <c r="B322" s="74"/>
      <c r="C322" s="74"/>
      <c r="D322" s="74"/>
      <c r="E322" s="70"/>
      <c r="F322" s="70"/>
      <c r="G322" s="70"/>
      <c r="H322" s="70"/>
      <c r="I322" s="70"/>
      <c r="J322" s="70"/>
      <c r="K322" s="70"/>
      <c r="L322" s="70"/>
      <c r="M322" s="70"/>
      <c r="N322" s="71"/>
      <c r="O322" s="71"/>
      <c r="P322" s="72"/>
      <c r="Q322" s="76"/>
      <c r="R322" s="76"/>
      <c r="S322" s="76"/>
      <c r="T322" s="69"/>
    </row>
    <row r="323" spans="1:20" ht="14.1" customHeight="1" x14ac:dyDescent="0.2">
      <c r="A323" s="61"/>
      <c r="B323" s="74"/>
      <c r="C323" s="74"/>
      <c r="D323" s="74"/>
      <c r="E323" s="70"/>
      <c r="F323" s="70"/>
      <c r="G323" s="70"/>
      <c r="H323" s="70"/>
      <c r="I323" s="70"/>
      <c r="J323" s="70"/>
      <c r="K323" s="70"/>
      <c r="L323" s="70"/>
      <c r="M323" s="70"/>
      <c r="N323" s="71"/>
      <c r="O323" s="71"/>
      <c r="P323" s="72"/>
      <c r="Q323" s="76"/>
      <c r="R323" s="76"/>
      <c r="S323" s="76"/>
      <c r="T323" s="69"/>
    </row>
    <row r="324" spans="1:20" ht="14.1" customHeight="1" x14ac:dyDescent="0.2">
      <c r="A324" s="61"/>
      <c r="B324" s="74"/>
      <c r="C324" s="74"/>
      <c r="D324" s="74"/>
      <c r="E324" s="70"/>
      <c r="F324" s="70"/>
      <c r="G324" s="70"/>
      <c r="H324" s="70"/>
      <c r="I324" s="70"/>
      <c r="J324" s="70"/>
      <c r="K324" s="70"/>
      <c r="L324" s="70"/>
      <c r="M324" s="70"/>
      <c r="N324" s="71"/>
      <c r="O324" s="71"/>
      <c r="P324" s="72"/>
      <c r="Q324" s="76"/>
      <c r="R324" s="76"/>
      <c r="S324" s="76"/>
      <c r="T324" s="69"/>
    </row>
    <row r="325" spans="1:20" ht="14.1" customHeight="1" x14ac:dyDescent="0.2">
      <c r="A325" s="61"/>
      <c r="B325" s="74"/>
      <c r="C325" s="74"/>
      <c r="D325" s="74"/>
      <c r="E325" s="70"/>
      <c r="F325" s="70"/>
      <c r="G325" s="70"/>
      <c r="H325" s="70"/>
      <c r="I325" s="70"/>
      <c r="J325" s="70"/>
      <c r="K325" s="70"/>
      <c r="L325" s="70"/>
      <c r="M325" s="70"/>
      <c r="N325" s="71"/>
      <c r="O325" s="71"/>
      <c r="P325" s="72"/>
      <c r="Q325" s="76"/>
      <c r="R325" s="76"/>
      <c r="S325" s="76"/>
      <c r="T325" s="69"/>
    </row>
    <row r="326" spans="1:20" ht="14.1" customHeight="1" x14ac:dyDescent="0.2">
      <c r="A326" s="61"/>
      <c r="B326" s="74"/>
      <c r="C326" s="74"/>
      <c r="D326" s="74"/>
      <c r="E326" s="70"/>
      <c r="F326" s="70"/>
      <c r="G326" s="70"/>
      <c r="H326" s="70"/>
      <c r="I326" s="70"/>
      <c r="J326" s="70"/>
      <c r="K326" s="70"/>
      <c r="L326" s="70"/>
      <c r="M326" s="70"/>
      <c r="N326" s="71"/>
      <c r="O326" s="71"/>
      <c r="P326" s="72"/>
      <c r="Q326" s="76"/>
      <c r="R326" s="76"/>
      <c r="S326" s="76"/>
      <c r="T326" s="69"/>
    </row>
    <row r="327" spans="1:20" ht="14.1" customHeight="1" x14ac:dyDescent="0.2">
      <c r="A327" s="61"/>
      <c r="B327" s="74"/>
      <c r="C327" s="74"/>
      <c r="D327" s="74"/>
      <c r="E327" s="70"/>
      <c r="F327" s="70"/>
      <c r="G327" s="70"/>
      <c r="H327" s="70"/>
      <c r="I327" s="70"/>
      <c r="J327" s="70"/>
      <c r="K327" s="70"/>
      <c r="L327" s="70"/>
      <c r="M327" s="70"/>
      <c r="N327" s="71"/>
      <c r="O327" s="71"/>
      <c r="P327" s="72"/>
      <c r="Q327" s="76"/>
      <c r="R327" s="76"/>
      <c r="S327" s="76"/>
      <c r="T327" s="69"/>
    </row>
    <row r="328" spans="1:20" ht="14.1" customHeight="1" x14ac:dyDescent="0.2">
      <c r="A328" s="61"/>
      <c r="B328" s="74"/>
      <c r="C328" s="74"/>
      <c r="D328" s="74"/>
      <c r="E328" s="70"/>
      <c r="F328" s="70"/>
      <c r="G328" s="70"/>
      <c r="H328" s="70"/>
      <c r="I328" s="70"/>
      <c r="J328" s="70"/>
      <c r="K328" s="70"/>
      <c r="L328" s="70"/>
      <c r="M328" s="70"/>
      <c r="N328" s="71"/>
      <c r="O328" s="71"/>
      <c r="P328" s="72"/>
      <c r="Q328" s="76"/>
      <c r="R328" s="76"/>
      <c r="S328" s="76"/>
      <c r="T328" s="69"/>
    </row>
    <row r="329" spans="1:20" ht="14.1" customHeight="1" x14ac:dyDescent="0.2">
      <c r="A329" s="61"/>
      <c r="B329" s="74"/>
      <c r="C329" s="74"/>
      <c r="D329" s="74"/>
      <c r="E329" s="70"/>
      <c r="F329" s="70"/>
      <c r="G329" s="70"/>
      <c r="H329" s="70"/>
      <c r="I329" s="70"/>
      <c r="J329" s="70"/>
      <c r="K329" s="70"/>
      <c r="L329" s="70"/>
      <c r="M329" s="70"/>
      <c r="N329" s="71"/>
      <c r="O329" s="71"/>
      <c r="P329" s="72"/>
      <c r="Q329" s="76"/>
      <c r="R329" s="76"/>
      <c r="S329" s="76"/>
      <c r="T329" s="69"/>
    </row>
    <row r="330" spans="1:20" ht="14.1" customHeight="1" x14ac:dyDescent="0.2">
      <c r="A330" s="61"/>
      <c r="B330" s="74"/>
      <c r="C330" s="74"/>
      <c r="D330" s="74"/>
      <c r="E330" s="70"/>
      <c r="F330" s="70"/>
      <c r="G330" s="70"/>
      <c r="H330" s="70"/>
      <c r="I330" s="70"/>
      <c r="J330" s="70"/>
      <c r="K330" s="70"/>
      <c r="L330" s="70"/>
      <c r="M330" s="70"/>
      <c r="N330" s="71"/>
      <c r="O330" s="71"/>
      <c r="P330" s="72"/>
      <c r="Q330" s="76"/>
      <c r="R330" s="76"/>
      <c r="S330" s="76"/>
      <c r="T330" s="69"/>
    </row>
    <row r="331" spans="1:20" ht="14.1" customHeight="1" x14ac:dyDescent="0.2">
      <c r="A331" s="61"/>
      <c r="B331" s="74"/>
      <c r="C331" s="74"/>
      <c r="D331" s="74"/>
      <c r="E331" s="70"/>
      <c r="F331" s="70"/>
      <c r="G331" s="70"/>
      <c r="H331" s="70"/>
      <c r="I331" s="70"/>
      <c r="J331" s="70"/>
      <c r="K331" s="70"/>
      <c r="L331" s="70"/>
      <c r="M331" s="70"/>
      <c r="N331" s="71"/>
      <c r="O331" s="71"/>
      <c r="P331" s="72"/>
      <c r="Q331" s="76"/>
      <c r="R331" s="76"/>
      <c r="S331" s="76"/>
      <c r="T331" s="69"/>
    </row>
    <row r="332" spans="1:20" ht="14.1" customHeight="1" x14ac:dyDescent="0.2">
      <c r="A332" s="61"/>
      <c r="B332" s="74"/>
      <c r="C332" s="74"/>
      <c r="D332" s="74"/>
      <c r="E332" s="70"/>
      <c r="F332" s="70"/>
      <c r="G332" s="70"/>
      <c r="H332" s="70"/>
      <c r="I332" s="70"/>
      <c r="J332" s="70"/>
      <c r="K332" s="70"/>
      <c r="L332" s="70"/>
      <c r="M332" s="70"/>
      <c r="N332" s="71"/>
      <c r="O332" s="71"/>
      <c r="P332" s="72"/>
      <c r="Q332" s="76"/>
      <c r="R332" s="76"/>
      <c r="S332" s="76"/>
      <c r="T332" s="69"/>
    </row>
    <row r="333" spans="1:20" ht="14.1" customHeight="1" x14ac:dyDescent="0.2">
      <c r="A333" s="61"/>
      <c r="B333" s="74"/>
      <c r="C333" s="74"/>
      <c r="D333" s="74"/>
      <c r="E333" s="70"/>
      <c r="F333" s="70"/>
      <c r="G333" s="70"/>
      <c r="H333" s="70"/>
      <c r="I333" s="70"/>
      <c r="J333" s="70"/>
      <c r="K333" s="70"/>
      <c r="L333" s="70"/>
      <c r="M333" s="70"/>
      <c r="N333" s="71"/>
      <c r="O333" s="71"/>
      <c r="P333" s="72"/>
      <c r="Q333" s="76"/>
      <c r="R333" s="76"/>
      <c r="S333" s="76"/>
      <c r="T333" s="69"/>
    </row>
    <row r="334" spans="1:20" ht="14.1" customHeight="1" x14ac:dyDescent="0.2">
      <c r="A334" s="61"/>
      <c r="B334" s="74"/>
      <c r="C334" s="74"/>
      <c r="D334" s="74"/>
      <c r="E334" s="70"/>
      <c r="F334" s="70"/>
      <c r="G334" s="70"/>
      <c r="H334" s="70"/>
      <c r="I334" s="70"/>
      <c r="J334" s="70"/>
      <c r="K334" s="70"/>
      <c r="L334" s="70"/>
      <c r="M334" s="70"/>
      <c r="N334" s="71"/>
      <c r="O334" s="71"/>
      <c r="P334" s="72"/>
      <c r="Q334" s="76"/>
      <c r="R334" s="76"/>
      <c r="S334" s="76"/>
      <c r="T334" s="69"/>
    </row>
    <row r="335" spans="1:20" ht="14.1" customHeight="1" x14ac:dyDescent="0.2">
      <c r="A335" s="61"/>
      <c r="B335" s="74"/>
      <c r="C335" s="74"/>
      <c r="D335" s="74"/>
      <c r="E335" s="70"/>
      <c r="F335" s="70"/>
      <c r="G335" s="70"/>
      <c r="H335" s="70"/>
      <c r="I335" s="70"/>
      <c r="J335" s="70"/>
      <c r="K335" s="70"/>
      <c r="L335" s="70"/>
      <c r="M335" s="70"/>
      <c r="N335" s="71"/>
      <c r="O335" s="71"/>
      <c r="P335" s="72"/>
      <c r="Q335" s="76"/>
      <c r="R335" s="76"/>
      <c r="S335" s="76"/>
      <c r="T335" s="69"/>
    </row>
    <row r="336" spans="1:20" ht="14.1" customHeight="1" x14ac:dyDescent="0.2">
      <c r="A336" s="61"/>
      <c r="B336" s="74"/>
      <c r="C336" s="74"/>
      <c r="D336" s="74"/>
      <c r="E336" s="70"/>
      <c r="F336" s="70"/>
      <c r="G336" s="70"/>
      <c r="H336" s="70"/>
      <c r="I336" s="70"/>
      <c r="J336" s="70"/>
      <c r="K336" s="70"/>
      <c r="L336" s="70"/>
      <c r="M336" s="70"/>
      <c r="N336" s="71"/>
      <c r="O336" s="71"/>
      <c r="P336" s="72"/>
      <c r="Q336" s="76"/>
      <c r="R336" s="76"/>
      <c r="S336" s="76"/>
      <c r="T336" s="69"/>
    </row>
    <row r="337" spans="1:20" ht="14.1" customHeight="1" x14ac:dyDescent="0.2">
      <c r="A337" s="61"/>
      <c r="B337" s="74"/>
      <c r="C337" s="74"/>
      <c r="D337" s="74"/>
      <c r="E337" s="70"/>
      <c r="F337" s="70"/>
      <c r="G337" s="70"/>
      <c r="H337" s="70"/>
      <c r="I337" s="70"/>
      <c r="J337" s="70"/>
      <c r="K337" s="70"/>
      <c r="L337" s="70"/>
      <c r="M337" s="70"/>
      <c r="N337" s="71"/>
      <c r="O337" s="71"/>
      <c r="P337" s="72"/>
      <c r="Q337" s="76"/>
      <c r="R337" s="76"/>
      <c r="S337" s="76"/>
      <c r="T337" s="69"/>
    </row>
    <row r="338" spans="1:20" ht="14.1" customHeight="1" x14ac:dyDescent="0.2">
      <c r="A338" s="61"/>
      <c r="B338" s="74"/>
      <c r="C338" s="74"/>
      <c r="D338" s="74"/>
      <c r="E338" s="70"/>
      <c r="F338" s="70"/>
      <c r="G338" s="70"/>
      <c r="H338" s="70"/>
      <c r="I338" s="70"/>
      <c r="J338" s="70"/>
      <c r="K338" s="70"/>
      <c r="L338" s="70"/>
      <c r="M338" s="70"/>
      <c r="N338" s="71"/>
      <c r="O338" s="71"/>
      <c r="P338" s="72"/>
      <c r="Q338" s="76"/>
      <c r="R338" s="76"/>
      <c r="S338" s="76"/>
      <c r="T338" s="69"/>
    </row>
    <row r="339" spans="1:20" ht="14.1" customHeight="1" x14ac:dyDescent="0.2">
      <c r="A339" s="61"/>
      <c r="B339" s="74"/>
      <c r="C339" s="74"/>
      <c r="D339" s="74"/>
      <c r="E339" s="70"/>
      <c r="F339" s="70"/>
      <c r="G339" s="70"/>
      <c r="H339" s="70"/>
      <c r="I339" s="70"/>
      <c r="J339" s="70"/>
      <c r="K339" s="70"/>
      <c r="L339" s="70"/>
      <c r="M339" s="70"/>
      <c r="N339" s="71"/>
      <c r="O339" s="71"/>
      <c r="P339" s="72"/>
      <c r="Q339" s="76"/>
      <c r="R339" s="76"/>
      <c r="S339" s="76"/>
      <c r="T339" s="69"/>
    </row>
    <row r="340" spans="1:20" ht="14.1" customHeight="1" x14ac:dyDescent="0.2">
      <c r="A340" s="61"/>
      <c r="B340" s="74"/>
      <c r="C340" s="74"/>
      <c r="D340" s="74"/>
      <c r="E340" s="70"/>
      <c r="F340" s="70"/>
      <c r="G340" s="70"/>
      <c r="H340" s="70"/>
      <c r="I340" s="70"/>
      <c r="J340" s="70"/>
      <c r="K340" s="70"/>
      <c r="L340" s="70"/>
      <c r="M340" s="70"/>
      <c r="N340" s="71"/>
      <c r="O340" s="71"/>
      <c r="P340" s="72"/>
      <c r="Q340" s="76"/>
      <c r="R340" s="76"/>
      <c r="S340" s="76"/>
      <c r="T340" s="69"/>
    </row>
    <row r="341" spans="1:20" ht="14.1" customHeight="1" x14ac:dyDescent="0.2">
      <c r="A341" s="61"/>
      <c r="B341" s="74"/>
      <c r="C341" s="74"/>
      <c r="D341" s="74"/>
      <c r="E341" s="70"/>
      <c r="F341" s="70"/>
      <c r="G341" s="70"/>
      <c r="H341" s="70"/>
      <c r="I341" s="70"/>
      <c r="J341" s="70"/>
      <c r="K341" s="70"/>
      <c r="L341" s="70"/>
      <c r="M341" s="70"/>
      <c r="N341" s="71"/>
      <c r="O341" s="71"/>
      <c r="P341" s="72"/>
      <c r="Q341" s="76"/>
      <c r="R341" s="76"/>
      <c r="S341" s="76"/>
      <c r="T341" s="69"/>
    </row>
    <row r="342" spans="1:20" ht="14.1" customHeight="1" x14ac:dyDescent="0.2">
      <c r="A342" s="61"/>
      <c r="B342" s="74"/>
      <c r="C342" s="74"/>
      <c r="D342" s="74"/>
      <c r="E342" s="70"/>
      <c r="F342" s="70"/>
      <c r="G342" s="70"/>
      <c r="H342" s="70"/>
      <c r="I342" s="70"/>
      <c r="J342" s="70"/>
      <c r="K342" s="70"/>
      <c r="L342" s="70"/>
      <c r="M342" s="70"/>
      <c r="N342" s="71"/>
      <c r="O342" s="71"/>
      <c r="P342" s="72"/>
      <c r="Q342" s="76"/>
      <c r="R342" s="76"/>
      <c r="S342" s="76"/>
      <c r="T342" s="69"/>
    </row>
    <row r="343" spans="1:20" ht="14.1" customHeight="1" x14ac:dyDescent="0.2">
      <c r="A343" s="61"/>
      <c r="B343" s="74"/>
      <c r="C343" s="74"/>
      <c r="D343" s="74"/>
      <c r="E343" s="70"/>
      <c r="F343" s="70"/>
      <c r="G343" s="70"/>
      <c r="H343" s="70"/>
      <c r="I343" s="70"/>
      <c r="J343" s="70"/>
      <c r="K343" s="70"/>
      <c r="L343" s="70"/>
      <c r="M343" s="70"/>
      <c r="N343" s="71"/>
      <c r="O343" s="71"/>
      <c r="P343" s="72"/>
      <c r="Q343" s="76"/>
      <c r="R343" s="76"/>
      <c r="S343" s="76"/>
      <c r="T343" s="69"/>
    </row>
    <row r="344" spans="1:20" ht="14.1" customHeight="1" x14ac:dyDescent="0.2">
      <c r="A344" s="61"/>
      <c r="B344" s="74"/>
      <c r="C344" s="74"/>
      <c r="D344" s="74"/>
      <c r="E344" s="70"/>
      <c r="F344" s="70"/>
      <c r="G344" s="70"/>
      <c r="H344" s="70"/>
      <c r="I344" s="70"/>
      <c r="J344" s="70"/>
      <c r="K344" s="70"/>
      <c r="L344" s="70"/>
      <c r="M344" s="70"/>
      <c r="N344" s="71"/>
      <c r="O344" s="71"/>
      <c r="P344" s="72"/>
      <c r="Q344" s="76"/>
      <c r="R344" s="76"/>
      <c r="S344" s="76"/>
      <c r="T344" s="69"/>
    </row>
    <row r="345" spans="1:20" ht="14.1" customHeight="1" x14ac:dyDescent="0.2">
      <c r="A345" s="61"/>
      <c r="B345" s="74"/>
      <c r="C345" s="74"/>
      <c r="D345" s="74"/>
      <c r="E345" s="70"/>
      <c r="F345" s="70"/>
      <c r="G345" s="70"/>
      <c r="H345" s="70"/>
      <c r="I345" s="70"/>
      <c r="J345" s="70"/>
      <c r="K345" s="70"/>
      <c r="L345" s="70"/>
      <c r="M345" s="70"/>
      <c r="N345" s="71"/>
      <c r="O345" s="71"/>
      <c r="P345" s="72"/>
      <c r="Q345" s="76"/>
      <c r="R345" s="76"/>
      <c r="S345" s="76"/>
      <c r="T345" s="69"/>
    </row>
    <row r="346" spans="1:20" ht="14.1" customHeight="1" x14ac:dyDescent="0.2">
      <c r="A346" s="61"/>
      <c r="B346" s="74"/>
      <c r="C346" s="74"/>
      <c r="D346" s="74"/>
      <c r="E346" s="70"/>
      <c r="F346" s="70"/>
      <c r="G346" s="70"/>
      <c r="H346" s="70"/>
      <c r="I346" s="70"/>
      <c r="J346" s="70"/>
      <c r="K346" s="70"/>
      <c r="L346" s="70"/>
      <c r="M346" s="70"/>
      <c r="N346" s="71"/>
      <c r="O346" s="71"/>
      <c r="P346" s="72"/>
      <c r="Q346" s="76"/>
      <c r="R346" s="76"/>
      <c r="S346" s="76"/>
      <c r="T346" s="69"/>
    </row>
    <row r="347" spans="1:20" ht="14.1" customHeight="1" x14ac:dyDescent="0.2">
      <c r="A347" s="61"/>
      <c r="B347" s="74"/>
      <c r="C347" s="74"/>
      <c r="D347" s="74"/>
      <c r="E347" s="70"/>
      <c r="F347" s="70"/>
      <c r="G347" s="70"/>
      <c r="H347" s="70"/>
      <c r="I347" s="70"/>
      <c r="J347" s="70"/>
      <c r="K347" s="70"/>
      <c r="L347" s="70"/>
      <c r="M347" s="70"/>
      <c r="N347" s="71"/>
      <c r="O347" s="71"/>
      <c r="P347" s="72"/>
      <c r="Q347" s="76"/>
      <c r="R347" s="76"/>
      <c r="S347" s="76"/>
      <c r="T347" s="69"/>
    </row>
    <row r="348" spans="1:20" ht="14.1" customHeight="1" x14ac:dyDescent="0.2">
      <c r="A348" s="61"/>
      <c r="B348" s="74"/>
      <c r="C348" s="74"/>
      <c r="D348" s="74"/>
      <c r="E348" s="70"/>
      <c r="F348" s="70"/>
      <c r="G348" s="70"/>
      <c r="H348" s="70"/>
      <c r="I348" s="70"/>
      <c r="J348" s="70"/>
      <c r="K348" s="70"/>
      <c r="L348" s="70"/>
      <c r="M348" s="70"/>
      <c r="N348" s="71"/>
      <c r="O348" s="71"/>
      <c r="P348" s="72"/>
      <c r="Q348" s="76"/>
      <c r="R348" s="76"/>
      <c r="S348" s="76"/>
      <c r="T348" s="69"/>
    </row>
    <row r="349" spans="1:20" ht="14.1" customHeight="1" x14ac:dyDescent="0.2">
      <c r="A349" s="61"/>
      <c r="B349" s="74"/>
      <c r="C349" s="74"/>
      <c r="D349" s="74"/>
      <c r="E349" s="70"/>
      <c r="F349" s="70"/>
      <c r="G349" s="70"/>
      <c r="H349" s="70"/>
      <c r="I349" s="70"/>
      <c r="J349" s="70"/>
      <c r="K349" s="70"/>
      <c r="L349" s="70"/>
      <c r="M349" s="70"/>
      <c r="N349" s="71"/>
      <c r="O349" s="71"/>
      <c r="P349" s="72"/>
      <c r="Q349" s="76"/>
      <c r="R349" s="76"/>
      <c r="S349" s="76"/>
      <c r="T349" s="69"/>
    </row>
    <row r="350" spans="1:20" ht="14.1" customHeight="1" x14ac:dyDescent="0.2">
      <c r="A350" s="61"/>
      <c r="B350" s="74"/>
      <c r="C350" s="74"/>
      <c r="D350" s="74"/>
      <c r="E350" s="70"/>
      <c r="F350" s="70"/>
      <c r="G350" s="70"/>
      <c r="H350" s="70"/>
      <c r="I350" s="70"/>
      <c r="J350" s="70"/>
      <c r="K350" s="70"/>
      <c r="L350" s="70"/>
      <c r="M350" s="70"/>
      <c r="N350" s="71"/>
      <c r="O350" s="71"/>
      <c r="P350" s="72"/>
      <c r="Q350" s="76"/>
      <c r="R350" s="76"/>
      <c r="S350" s="76"/>
      <c r="T350" s="69"/>
    </row>
    <row r="351" spans="1:20" ht="14.1" customHeight="1" x14ac:dyDescent="0.2">
      <c r="A351" s="61"/>
      <c r="B351" s="74"/>
      <c r="C351" s="74"/>
      <c r="D351" s="74"/>
      <c r="E351" s="70"/>
      <c r="F351" s="70"/>
      <c r="G351" s="70"/>
      <c r="H351" s="70"/>
      <c r="I351" s="70"/>
      <c r="J351" s="70"/>
      <c r="K351" s="70"/>
      <c r="L351" s="70"/>
      <c r="M351" s="70"/>
      <c r="N351" s="71"/>
      <c r="O351" s="71"/>
      <c r="P351" s="72"/>
      <c r="Q351" s="76"/>
      <c r="R351" s="76"/>
      <c r="S351" s="76"/>
      <c r="T351" s="69"/>
    </row>
    <row r="352" spans="1:20" ht="14.1" customHeight="1" x14ac:dyDescent="0.2">
      <c r="A352" s="61"/>
      <c r="B352" s="74"/>
      <c r="C352" s="74"/>
      <c r="D352" s="74"/>
      <c r="E352" s="70"/>
      <c r="F352" s="70"/>
      <c r="G352" s="70"/>
      <c r="H352" s="70"/>
      <c r="I352" s="70"/>
      <c r="J352" s="70"/>
      <c r="K352" s="70"/>
      <c r="L352" s="70"/>
      <c r="M352" s="70"/>
      <c r="N352" s="71"/>
      <c r="O352" s="71"/>
      <c r="P352" s="72"/>
      <c r="Q352" s="76"/>
      <c r="R352" s="76"/>
      <c r="S352" s="76"/>
      <c r="T352" s="69"/>
    </row>
    <row r="353" spans="1:20" ht="14.1" customHeight="1" x14ac:dyDescent="0.2">
      <c r="A353" s="61"/>
      <c r="B353" s="74"/>
      <c r="C353" s="74"/>
      <c r="D353" s="74"/>
      <c r="E353" s="70"/>
      <c r="F353" s="70"/>
      <c r="G353" s="70"/>
      <c r="H353" s="70"/>
      <c r="I353" s="70"/>
      <c r="J353" s="70"/>
      <c r="K353" s="70"/>
      <c r="L353" s="70"/>
      <c r="M353" s="70"/>
      <c r="N353" s="71"/>
      <c r="O353" s="71"/>
      <c r="P353" s="72"/>
      <c r="Q353" s="76"/>
      <c r="R353" s="76"/>
      <c r="S353" s="76"/>
      <c r="T353" s="69"/>
    </row>
    <row r="354" spans="1:20" ht="14.1" customHeight="1" x14ac:dyDescent="0.2">
      <c r="A354" s="61"/>
      <c r="B354" s="74"/>
      <c r="C354" s="74"/>
      <c r="D354" s="74"/>
      <c r="E354" s="70"/>
      <c r="F354" s="70"/>
      <c r="G354" s="70"/>
      <c r="H354" s="70"/>
      <c r="I354" s="70"/>
      <c r="J354" s="70"/>
      <c r="K354" s="70"/>
      <c r="L354" s="70"/>
      <c r="M354" s="70"/>
      <c r="N354" s="71"/>
      <c r="O354" s="71"/>
      <c r="P354" s="72"/>
      <c r="Q354" s="76"/>
      <c r="R354" s="76"/>
      <c r="S354" s="76"/>
      <c r="T354" s="69"/>
    </row>
    <row r="355" spans="1:20" ht="14.1" customHeight="1" x14ac:dyDescent="0.2">
      <c r="A355" s="61"/>
      <c r="B355" s="74"/>
      <c r="C355" s="74"/>
      <c r="D355" s="74"/>
      <c r="E355" s="70"/>
      <c r="F355" s="70"/>
      <c r="G355" s="70"/>
      <c r="H355" s="70"/>
      <c r="I355" s="70"/>
      <c r="J355" s="70"/>
      <c r="K355" s="70"/>
      <c r="L355" s="70"/>
      <c r="M355" s="70"/>
      <c r="N355" s="71"/>
      <c r="O355" s="71"/>
      <c r="P355" s="72"/>
      <c r="Q355" s="76"/>
      <c r="R355" s="76"/>
      <c r="S355" s="76"/>
      <c r="T355" s="69"/>
    </row>
    <row r="356" spans="1:20" ht="14.1" customHeight="1" x14ac:dyDescent="0.2">
      <c r="A356" s="61"/>
      <c r="B356" s="74"/>
      <c r="C356" s="74"/>
      <c r="D356" s="74"/>
      <c r="E356" s="70"/>
      <c r="F356" s="70"/>
      <c r="G356" s="70"/>
      <c r="H356" s="70"/>
      <c r="I356" s="70"/>
      <c r="J356" s="70"/>
      <c r="K356" s="70"/>
      <c r="L356" s="70"/>
      <c r="M356" s="70"/>
      <c r="N356" s="71"/>
      <c r="O356" s="71"/>
      <c r="P356" s="72"/>
      <c r="Q356" s="76"/>
      <c r="R356" s="76"/>
      <c r="S356" s="76"/>
      <c r="T356" s="69"/>
    </row>
    <row r="357" spans="1:20" ht="14.1" customHeight="1" x14ac:dyDescent="0.2">
      <c r="A357" s="61"/>
      <c r="B357" s="74"/>
      <c r="C357" s="74"/>
      <c r="D357" s="74"/>
      <c r="E357" s="70"/>
      <c r="F357" s="70"/>
      <c r="G357" s="70"/>
      <c r="H357" s="70"/>
      <c r="I357" s="70"/>
      <c r="J357" s="70"/>
      <c r="K357" s="70"/>
      <c r="L357" s="70"/>
      <c r="M357" s="70"/>
      <c r="N357" s="71"/>
      <c r="O357" s="71"/>
      <c r="P357" s="72"/>
      <c r="Q357" s="76"/>
      <c r="R357" s="76"/>
      <c r="S357" s="76"/>
      <c r="T357" s="69"/>
    </row>
    <row r="358" spans="1:20" ht="14.1" customHeight="1" x14ac:dyDescent="0.2">
      <c r="A358" s="61"/>
      <c r="B358" s="74"/>
      <c r="C358" s="74"/>
      <c r="D358" s="74"/>
      <c r="E358" s="70"/>
      <c r="F358" s="70"/>
      <c r="G358" s="70"/>
      <c r="H358" s="70"/>
      <c r="I358" s="70"/>
      <c r="J358" s="70"/>
      <c r="K358" s="70"/>
      <c r="L358" s="70"/>
      <c r="M358" s="70"/>
      <c r="N358" s="71"/>
      <c r="O358" s="71"/>
      <c r="P358" s="72"/>
      <c r="Q358" s="76"/>
      <c r="R358" s="76"/>
      <c r="S358" s="76"/>
      <c r="T358" s="69"/>
    </row>
    <row r="359" spans="1:20" ht="14.1" customHeight="1" x14ac:dyDescent="0.2">
      <c r="A359" s="61"/>
      <c r="B359" s="74"/>
      <c r="C359" s="74"/>
      <c r="D359" s="74"/>
      <c r="E359" s="70"/>
      <c r="F359" s="70"/>
      <c r="G359" s="70"/>
      <c r="H359" s="70"/>
      <c r="I359" s="70"/>
      <c r="J359" s="70"/>
      <c r="K359" s="70"/>
      <c r="L359" s="70"/>
      <c r="M359" s="70"/>
      <c r="N359" s="71"/>
      <c r="O359" s="71"/>
      <c r="P359" s="72"/>
      <c r="Q359" s="76"/>
      <c r="R359" s="76"/>
      <c r="S359" s="76"/>
      <c r="T359" s="69"/>
    </row>
    <row r="360" spans="1:20" ht="14.1" customHeight="1" x14ac:dyDescent="0.2">
      <c r="A360" s="61"/>
      <c r="B360" s="74"/>
      <c r="C360" s="74"/>
      <c r="D360" s="74"/>
      <c r="E360" s="70"/>
      <c r="F360" s="70"/>
      <c r="G360" s="70"/>
      <c r="H360" s="70"/>
      <c r="I360" s="70"/>
      <c r="J360" s="70"/>
      <c r="K360" s="70"/>
      <c r="L360" s="70"/>
      <c r="M360" s="70"/>
      <c r="N360" s="71"/>
      <c r="O360" s="71"/>
      <c r="P360" s="72"/>
      <c r="Q360" s="76"/>
      <c r="R360" s="76"/>
      <c r="S360" s="76"/>
      <c r="T360" s="69"/>
    </row>
    <row r="361" spans="1:20" ht="14.1" customHeight="1" x14ac:dyDescent="0.2">
      <c r="A361" s="61"/>
      <c r="B361" s="74"/>
      <c r="C361" s="74"/>
      <c r="D361" s="74"/>
      <c r="E361" s="70"/>
      <c r="F361" s="70"/>
      <c r="G361" s="70"/>
      <c r="H361" s="70"/>
      <c r="I361" s="70"/>
      <c r="J361" s="70"/>
      <c r="K361" s="70"/>
      <c r="L361" s="70"/>
      <c r="M361" s="70"/>
      <c r="N361" s="71"/>
      <c r="O361" s="71"/>
      <c r="P361" s="72"/>
      <c r="Q361" s="76"/>
      <c r="R361" s="76"/>
      <c r="S361" s="76"/>
      <c r="T361" s="69"/>
    </row>
    <row r="362" spans="1:20" ht="14.1" customHeight="1" x14ac:dyDescent="0.2">
      <c r="A362" s="61"/>
      <c r="B362" s="74"/>
      <c r="C362" s="74"/>
      <c r="D362" s="74"/>
      <c r="E362" s="70"/>
      <c r="F362" s="70"/>
      <c r="G362" s="70"/>
      <c r="H362" s="70"/>
      <c r="I362" s="70"/>
      <c r="J362" s="70"/>
      <c r="K362" s="70"/>
      <c r="L362" s="70"/>
      <c r="M362" s="70"/>
      <c r="N362" s="71"/>
      <c r="O362" s="71"/>
      <c r="P362" s="72"/>
      <c r="Q362" s="76"/>
      <c r="R362" s="76"/>
      <c r="S362" s="76"/>
      <c r="T362" s="69"/>
    </row>
    <row r="363" spans="1:20" ht="14.1" customHeight="1" x14ac:dyDescent="0.2">
      <c r="A363" s="61"/>
      <c r="B363" s="74"/>
      <c r="C363" s="74"/>
      <c r="D363" s="74"/>
      <c r="E363" s="70"/>
      <c r="F363" s="70"/>
      <c r="G363" s="70"/>
      <c r="H363" s="70"/>
      <c r="I363" s="70"/>
      <c r="J363" s="70"/>
      <c r="K363" s="70"/>
      <c r="L363" s="70"/>
      <c r="M363" s="70"/>
      <c r="N363" s="71"/>
      <c r="O363" s="71"/>
      <c r="P363" s="72"/>
      <c r="Q363" s="76"/>
      <c r="R363" s="76"/>
      <c r="S363" s="76"/>
      <c r="T363" s="69"/>
    </row>
    <row r="364" spans="1:20" ht="14.1" customHeight="1" x14ac:dyDescent="0.2">
      <c r="A364" s="61"/>
      <c r="B364" s="74"/>
      <c r="C364" s="74"/>
      <c r="D364" s="74"/>
      <c r="E364" s="70"/>
      <c r="F364" s="70"/>
      <c r="G364" s="70"/>
      <c r="H364" s="70"/>
      <c r="I364" s="70"/>
      <c r="J364" s="70"/>
      <c r="K364" s="70"/>
      <c r="L364" s="70"/>
      <c r="M364" s="70"/>
      <c r="N364" s="71"/>
      <c r="O364" s="71"/>
      <c r="P364" s="72"/>
      <c r="Q364" s="76"/>
      <c r="R364" s="76"/>
      <c r="S364" s="76"/>
      <c r="T364" s="69"/>
    </row>
    <row r="365" spans="1:20" ht="14.1" customHeight="1" x14ac:dyDescent="0.2">
      <c r="A365" s="61"/>
      <c r="B365" s="74"/>
      <c r="C365" s="74"/>
      <c r="D365" s="74"/>
      <c r="E365" s="70"/>
      <c r="F365" s="70"/>
      <c r="G365" s="70"/>
      <c r="H365" s="70"/>
      <c r="I365" s="70"/>
      <c r="J365" s="70"/>
      <c r="K365" s="70"/>
      <c r="L365" s="70"/>
      <c r="M365" s="70"/>
      <c r="N365" s="71"/>
      <c r="O365" s="71"/>
      <c r="P365" s="72"/>
      <c r="Q365" s="76"/>
      <c r="R365" s="76"/>
      <c r="S365" s="76"/>
      <c r="T365" s="69"/>
    </row>
    <row r="366" spans="1:20" ht="14.1" customHeight="1" x14ac:dyDescent="0.2">
      <c r="A366" s="61"/>
      <c r="B366" s="74"/>
      <c r="C366" s="74"/>
      <c r="D366" s="74"/>
      <c r="E366" s="70"/>
      <c r="F366" s="70"/>
      <c r="G366" s="70"/>
      <c r="H366" s="70"/>
      <c r="I366" s="70"/>
      <c r="J366" s="70"/>
      <c r="K366" s="70"/>
      <c r="L366" s="70"/>
      <c r="M366" s="70"/>
      <c r="N366" s="71"/>
      <c r="O366" s="71"/>
      <c r="P366" s="72"/>
      <c r="Q366" s="76"/>
      <c r="R366" s="76"/>
      <c r="S366" s="76"/>
      <c r="T366" s="69"/>
    </row>
    <row r="367" spans="1:20" ht="14.1" customHeight="1" x14ac:dyDescent="0.2">
      <c r="A367" s="61"/>
      <c r="B367" s="74"/>
      <c r="C367" s="74"/>
      <c r="D367" s="74"/>
      <c r="E367" s="70"/>
      <c r="F367" s="70"/>
      <c r="G367" s="70"/>
      <c r="H367" s="70"/>
      <c r="I367" s="70"/>
      <c r="J367" s="70"/>
      <c r="K367" s="70"/>
      <c r="L367" s="70"/>
      <c r="M367" s="70"/>
      <c r="N367" s="71"/>
      <c r="O367" s="71"/>
      <c r="P367" s="72"/>
      <c r="Q367" s="76"/>
      <c r="R367" s="76"/>
      <c r="S367" s="76"/>
      <c r="T367" s="69"/>
    </row>
    <row r="368" spans="1:20" ht="14.1" customHeight="1" x14ac:dyDescent="0.2">
      <c r="A368" s="61"/>
      <c r="B368" s="74"/>
      <c r="C368" s="74"/>
      <c r="D368" s="74"/>
      <c r="E368" s="70"/>
      <c r="F368" s="70"/>
      <c r="G368" s="70"/>
      <c r="H368" s="70"/>
      <c r="I368" s="70"/>
      <c r="J368" s="70"/>
      <c r="K368" s="70"/>
      <c r="L368" s="70"/>
      <c r="M368" s="70"/>
      <c r="N368" s="71"/>
      <c r="O368" s="71"/>
      <c r="P368" s="72"/>
      <c r="Q368" s="76"/>
      <c r="R368" s="76"/>
      <c r="S368" s="76"/>
      <c r="T368" s="69"/>
    </row>
    <row r="369" spans="1:20" ht="14.1" customHeight="1" x14ac:dyDescent="0.2">
      <c r="A369" s="61"/>
      <c r="B369" s="74"/>
      <c r="C369" s="74"/>
      <c r="D369" s="74"/>
      <c r="E369" s="70"/>
      <c r="F369" s="70"/>
      <c r="G369" s="70"/>
      <c r="H369" s="70"/>
      <c r="I369" s="70"/>
      <c r="J369" s="70"/>
      <c r="K369" s="70"/>
      <c r="L369" s="70"/>
      <c r="M369" s="70"/>
      <c r="N369" s="71"/>
      <c r="O369" s="71"/>
      <c r="P369" s="72"/>
      <c r="Q369" s="76"/>
      <c r="R369" s="76"/>
      <c r="S369" s="76"/>
      <c r="T369" s="69"/>
    </row>
    <row r="370" spans="1:20" ht="14.1" customHeight="1" x14ac:dyDescent="0.2">
      <c r="A370" s="61"/>
      <c r="B370" s="74"/>
      <c r="C370" s="74"/>
      <c r="D370" s="74"/>
      <c r="E370" s="70"/>
      <c r="F370" s="70"/>
      <c r="G370" s="70"/>
      <c r="H370" s="70"/>
      <c r="I370" s="70"/>
      <c r="J370" s="70"/>
      <c r="K370" s="70"/>
      <c r="L370" s="70"/>
      <c r="M370" s="70"/>
      <c r="N370" s="71"/>
      <c r="O370" s="71"/>
      <c r="P370" s="72"/>
      <c r="Q370" s="76"/>
      <c r="R370" s="76"/>
      <c r="S370" s="76"/>
      <c r="T370" s="69"/>
    </row>
    <row r="371" spans="1:20" ht="14.1" customHeight="1" x14ac:dyDescent="0.2">
      <c r="A371" s="61"/>
      <c r="B371" s="74"/>
      <c r="C371" s="74"/>
      <c r="D371" s="74"/>
      <c r="E371" s="70"/>
      <c r="F371" s="70"/>
      <c r="G371" s="70"/>
      <c r="H371" s="70"/>
      <c r="I371" s="70"/>
      <c r="J371" s="70"/>
      <c r="K371" s="70"/>
      <c r="L371" s="70"/>
      <c r="M371" s="70"/>
      <c r="N371" s="71"/>
      <c r="O371" s="71"/>
      <c r="P371" s="72"/>
      <c r="Q371" s="76"/>
      <c r="R371" s="76"/>
      <c r="S371" s="76"/>
      <c r="T371" s="69"/>
    </row>
    <row r="372" spans="1:20" ht="14.1" customHeight="1" x14ac:dyDescent="0.2">
      <c r="A372" s="61"/>
      <c r="B372" s="74"/>
      <c r="C372" s="74"/>
      <c r="D372" s="74"/>
      <c r="E372" s="70"/>
      <c r="F372" s="70"/>
      <c r="G372" s="70"/>
      <c r="H372" s="70"/>
      <c r="I372" s="70"/>
      <c r="J372" s="70"/>
      <c r="K372" s="70"/>
      <c r="L372" s="70"/>
      <c r="M372" s="70"/>
      <c r="N372" s="71"/>
      <c r="O372" s="71"/>
      <c r="P372" s="72"/>
      <c r="Q372" s="76"/>
      <c r="R372" s="76"/>
      <c r="S372" s="76"/>
      <c r="T372" s="69"/>
    </row>
    <row r="373" spans="1:20" ht="14.1" customHeight="1" x14ac:dyDescent="0.2">
      <c r="A373" s="61"/>
      <c r="B373" s="74"/>
      <c r="C373" s="74"/>
      <c r="D373" s="74"/>
      <c r="E373" s="70"/>
      <c r="F373" s="70"/>
      <c r="G373" s="70"/>
      <c r="H373" s="70"/>
      <c r="I373" s="70"/>
      <c r="J373" s="70"/>
      <c r="K373" s="70"/>
      <c r="L373" s="70"/>
      <c r="M373" s="70"/>
      <c r="N373" s="71"/>
      <c r="O373" s="71"/>
      <c r="P373" s="72"/>
      <c r="Q373" s="76"/>
      <c r="R373" s="76"/>
      <c r="S373" s="76"/>
      <c r="T373" s="69"/>
    </row>
    <row r="374" spans="1:20" ht="14.1" customHeight="1" x14ac:dyDescent="0.2">
      <c r="A374" s="61"/>
      <c r="B374" s="74"/>
      <c r="C374" s="74"/>
      <c r="D374" s="74"/>
      <c r="E374" s="70"/>
      <c r="F374" s="70"/>
      <c r="G374" s="70"/>
      <c r="H374" s="70"/>
      <c r="I374" s="70"/>
      <c r="J374" s="70"/>
      <c r="K374" s="70"/>
      <c r="L374" s="70"/>
      <c r="M374" s="70"/>
      <c r="N374" s="71"/>
      <c r="O374" s="71"/>
      <c r="P374" s="72"/>
      <c r="Q374" s="76"/>
      <c r="R374" s="76"/>
      <c r="S374" s="76"/>
      <c r="T374" s="69"/>
    </row>
    <row r="375" spans="1:20" ht="14.1" customHeight="1" x14ac:dyDescent="0.2">
      <c r="A375" s="61"/>
      <c r="B375" s="74"/>
      <c r="C375" s="74"/>
      <c r="D375" s="74"/>
      <c r="E375" s="70"/>
      <c r="F375" s="70"/>
      <c r="G375" s="70"/>
      <c r="H375" s="70"/>
      <c r="I375" s="70"/>
      <c r="J375" s="70"/>
      <c r="K375" s="70"/>
      <c r="L375" s="70"/>
      <c r="M375" s="70"/>
      <c r="N375" s="71"/>
      <c r="O375" s="71"/>
      <c r="P375" s="72"/>
      <c r="Q375" s="76"/>
      <c r="R375" s="76"/>
      <c r="S375" s="76"/>
      <c r="T375" s="69"/>
    </row>
    <row r="376" spans="1:20" ht="14.1" customHeight="1" x14ac:dyDescent="0.2">
      <c r="A376" s="61"/>
      <c r="B376" s="74"/>
      <c r="C376" s="74"/>
      <c r="D376" s="74"/>
      <c r="E376" s="70"/>
      <c r="F376" s="70"/>
      <c r="G376" s="70"/>
      <c r="H376" s="70"/>
      <c r="I376" s="70"/>
      <c r="J376" s="70"/>
      <c r="K376" s="70"/>
      <c r="L376" s="70"/>
      <c r="M376" s="70"/>
      <c r="N376" s="71"/>
      <c r="O376" s="71"/>
      <c r="P376" s="72"/>
      <c r="Q376" s="76"/>
      <c r="R376" s="76"/>
      <c r="S376" s="76"/>
      <c r="T376" s="69"/>
    </row>
    <row r="377" spans="1:20" ht="14.1" customHeight="1" x14ac:dyDescent="0.2">
      <c r="A377" s="61"/>
      <c r="B377" s="74"/>
      <c r="C377" s="74"/>
      <c r="D377" s="74"/>
      <c r="E377" s="70"/>
      <c r="F377" s="70"/>
      <c r="G377" s="70"/>
      <c r="H377" s="70"/>
      <c r="I377" s="70"/>
      <c r="J377" s="70"/>
      <c r="K377" s="70"/>
      <c r="L377" s="70"/>
      <c r="M377" s="70"/>
      <c r="N377" s="71"/>
      <c r="O377" s="71"/>
      <c r="P377" s="72"/>
      <c r="Q377" s="76"/>
      <c r="R377" s="76"/>
      <c r="S377" s="76"/>
      <c r="T377" s="69"/>
    </row>
    <row r="378" spans="1:20" ht="14.1" customHeight="1" x14ac:dyDescent="0.2">
      <c r="A378" s="61"/>
      <c r="B378" s="74"/>
      <c r="C378" s="74"/>
      <c r="D378" s="74"/>
      <c r="E378" s="70"/>
      <c r="F378" s="70"/>
      <c r="G378" s="70"/>
      <c r="H378" s="70"/>
      <c r="I378" s="70"/>
      <c r="J378" s="70"/>
      <c r="K378" s="70"/>
      <c r="L378" s="70"/>
      <c r="M378" s="70"/>
      <c r="N378" s="71"/>
      <c r="O378" s="71"/>
      <c r="P378" s="72"/>
      <c r="Q378" s="76"/>
      <c r="R378" s="76"/>
      <c r="S378" s="76"/>
      <c r="T378" s="69"/>
    </row>
    <row r="379" spans="1:20" ht="14.1" customHeight="1" x14ac:dyDescent="0.2">
      <c r="A379" s="61"/>
      <c r="B379" s="74"/>
      <c r="C379" s="74"/>
      <c r="D379" s="74"/>
      <c r="E379" s="70"/>
      <c r="F379" s="70"/>
      <c r="G379" s="70"/>
      <c r="H379" s="70"/>
      <c r="I379" s="70"/>
      <c r="J379" s="70"/>
      <c r="K379" s="70"/>
      <c r="L379" s="70"/>
      <c r="M379" s="70"/>
      <c r="N379" s="71"/>
      <c r="O379" s="71"/>
      <c r="P379" s="72"/>
      <c r="Q379" s="76"/>
      <c r="R379" s="76"/>
      <c r="S379" s="76"/>
      <c r="T379" s="69"/>
    </row>
    <row r="380" spans="1:20" ht="14.1" customHeight="1" x14ac:dyDescent="0.2">
      <c r="A380" s="61"/>
      <c r="B380" s="74"/>
      <c r="C380" s="74"/>
      <c r="D380" s="74"/>
      <c r="E380" s="70"/>
      <c r="F380" s="70"/>
      <c r="G380" s="70"/>
      <c r="H380" s="70"/>
      <c r="I380" s="70"/>
      <c r="J380" s="70"/>
      <c r="K380" s="70"/>
      <c r="L380" s="70"/>
      <c r="M380" s="70"/>
      <c r="N380" s="71"/>
      <c r="O380" s="71"/>
      <c r="P380" s="72"/>
      <c r="Q380" s="76"/>
      <c r="R380" s="76"/>
      <c r="S380" s="76"/>
      <c r="T380" s="69"/>
    </row>
    <row r="381" spans="1:20" ht="14.1" customHeight="1" x14ac:dyDescent="0.2">
      <c r="A381" s="61"/>
      <c r="B381" s="74"/>
      <c r="C381" s="74"/>
      <c r="D381" s="74"/>
      <c r="E381" s="70"/>
      <c r="F381" s="70"/>
      <c r="G381" s="70"/>
      <c r="H381" s="70"/>
      <c r="I381" s="70"/>
      <c r="J381" s="70"/>
      <c r="K381" s="70"/>
      <c r="L381" s="70"/>
      <c r="M381" s="70"/>
      <c r="N381" s="71"/>
      <c r="O381" s="71"/>
      <c r="P381" s="72"/>
      <c r="Q381" s="76"/>
      <c r="R381" s="76"/>
      <c r="S381" s="76"/>
      <c r="T381" s="69"/>
    </row>
    <row r="382" spans="1:20" ht="14.1" customHeight="1" x14ac:dyDescent="0.2">
      <c r="A382" s="61"/>
      <c r="B382" s="74"/>
      <c r="C382" s="74"/>
      <c r="D382" s="74"/>
      <c r="E382" s="70"/>
      <c r="F382" s="70"/>
      <c r="G382" s="70"/>
      <c r="H382" s="70"/>
      <c r="I382" s="70"/>
      <c r="J382" s="70"/>
      <c r="K382" s="70"/>
      <c r="L382" s="70"/>
      <c r="M382" s="70"/>
      <c r="N382" s="71"/>
      <c r="O382" s="71"/>
      <c r="P382" s="72"/>
      <c r="Q382" s="76"/>
      <c r="R382" s="76"/>
      <c r="S382" s="76"/>
      <c r="T382" s="69"/>
    </row>
    <row r="383" spans="1:20" ht="14.1" customHeight="1" x14ac:dyDescent="0.2">
      <c r="A383" s="61"/>
      <c r="B383" s="74"/>
      <c r="C383" s="74"/>
      <c r="D383" s="74"/>
      <c r="E383" s="70"/>
      <c r="F383" s="70"/>
      <c r="G383" s="70"/>
      <c r="H383" s="70"/>
      <c r="I383" s="70"/>
      <c r="J383" s="70"/>
      <c r="K383" s="70"/>
      <c r="L383" s="70"/>
      <c r="M383" s="70"/>
      <c r="N383" s="71"/>
      <c r="O383" s="71"/>
      <c r="P383" s="72"/>
      <c r="Q383" s="76"/>
      <c r="R383" s="76"/>
      <c r="S383" s="76"/>
      <c r="T383" s="69"/>
    </row>
    <row r="384" spans="1:20" ht="14.1" customHeight="1" x14ac:dyDescent="0.2">
      <c r="A384" s="61"/>
      <c r="B384" s="74"/>
      <c r="C384" s="74"/>
      <c r="D384" s="74"/>
      <c r="E384" s="70"/>
      <c r="F384" s="70"/>
      <c r="G384" s="70"/>
      <c r="H384" s="70"/>
      <c r="I384" s="70"/>
      <c r="J384" s="70"/>
      <c r="K384" s="70"/>
      <c r="L384" s="70"/>
      <c r="M384" s="70"/>
      <c r="N384" s="71"/>
      <c r="O384" s="71"/>
      <c r="P384" s="72"/>
      <c r="Q384" s="76"/>
      <c r="R384" s="76"/>
      <c r="S384" s="76"/>
      <c r="T384" s="69"/>
    </row>
    <row r="385" spans="1:20" ht="14.1" customHeight="1" x14ac:dyDescent="0.2">
      <c r="A385" s="61"/>
      <c r="B385" s="74"/>
      <c r="C385" s="74"/>
      <c r="D385" s="74"/>
      <c r="E385" s="70"/>
      <c r="F385" s="70"/>
      <c r="G385" s="70"/>
      <c r="H385" s="70"/>
      <c r="I385" s="70"/>
      <c r="J385" s="70"/>
      <c r="K385" s="70"/>
      <c r="L385" s="70"/>
      <c r="M385" s="70"/>
      <c r="N385" s="71"/>
      <c r="O385" s="71"/>
      <c r="P385" s="72"/>
      <c r="Q385" s="76"/>
      <c r="R385" s="76"/>
      <c r="S385" s="76"/>
      <c r="T385" s="69"/>
    </row>
    <row r="386" spans="1:20" ht="14.1" customHeight="1" x14ac:dyDescent="0.2">
      <c r="A386" s="61"/>
      <c r="B386" s="74"/>
      <c r="C386" s="74"/>
      <c r="D386" s="74"/>
      <c r="E386" s="70"/>
      <c r="F386" s="70"/>
      <c r="G386" s="70"/>
      <c r="H386" s="70"/>
      <c r="I386" s="70"/>
      <c r="J386" s="70"/>
      <c r="K386" s="70"/>
      <c r="L386" s="70"/>
      <c r="M386" s="70"/>
      <c r="N386" s="71"/>
      <c r="O386" s="71"/>
      <c r="P386" s="72"/>
      <c r="Q386" s="76"/>
      <c r="R386" s="76"/>
      <c r="S386" s="76"/>
      <c r="T386" s="69"/>
    </row>
    <row r="387" spans="1:20" ht="14.1" customHeight="1" x14ac:dyDescent="0.2">
      <c r="A387" s="61"/>
      <c r="B387" s="74"/>
      <c r="C387" s="74"/>
      <c r="D387" s="74"/>
      <c r="E387" s="70"/>
      <c r="F387" s="70"/>
      <c r="G387" s="70"/>
      <c r="H387" s="70"/>
      <c r="I387" s="70"/>
      <c r="J387" s="70"/>
      <c r="K387" s="70"/>
      <c r="L387" s="70"/>
      <c r="M387" s="70"/>
      <c r="N387" s="71"/>
      <c r="O387" s="71"/>
      <c r="P387" s="72"/>
      <c r="Q387" s="76"/>
      <c r="R387" s="76"/>
      <c r="S387" s="76"/>
      <c r="T387" s="69"/>
    </row>
    <row r="388" spans="1:20" ht="14.1" customHeight="1" x14ac:dyDescent="0.2">
      <c r="A388" s="61"/>
      <c r="B388" s="74"/>
      <c r="C388" s="74"/>
      <c r="D388" s="74"/>
      <c r="E388" s="70"/>
      <c r="F388" s="70"/>
      <c r="G388" s="70"/>
      <c r="H388" s="70"/>
      <c r="I388" s="70"/>
      <c r="J388" s="70"/>
      <c r="K388" s="70"/>
      <c r="L388" s="70"/>
      <c r="M388" s="70"/>
      <c r="N388" s="71"/>
      <c r="O388" s="71"/>
      <c r="P388" s="72"/>
      <c r="Q388" s="76"/>
      <c r="R388" s="76"/>
      <c r="S388" s="76"/>
      <c r="T388" s="69"/>
    </row>
    <row r="389" spans="1:20" ht="14.1" customHeight="1" x14ac:dyDescent="0.2">
      <c r="A389" s="61"/>
      <c r="B389" s="74"/>
      <c r="C389" s="74"/>
      <c r="D389" s="74"/>
      <c r="E389" s="70"/>
      <c r="F389" s="70"/>
      <c r="G389" s="70"/>
      <c r="H389" s="70"/>
      <c r="I389" s="70"/>
      <c r="J389" s="70"/>
      <c r="K389" s="70"/>
      <c r="L389" s="70"/>
      <c r="M389" s="70"/>
      <c r="N389" s="71"/>
      <c r="O389" s="71"/>
      <c r="P389" s="72"/>
      <c r="Q389" s="76"/>
      <c r="R389" s="76"/>
      <c r="S389" s="76"/>
      <c r="T389" s="69"/>
    </row>
    <row r="390" spans="1:20" ht="14.1" customHeight="1" x14ac:dyDescent="0.2">
      <c r="A390" s="61"/>
      <c r="B390" s="74"/>
      <c r="C390" s="74"/>
      <c r="D390" s="74"/>
      <c r="E390" s="70"/>
      <c r="F390" s="70"/>
      <c r="G390" s="70"/>
      <c r="H390" s="70"/>
      <c r="I390" s="70"/>
      <c r="J390" s="70"/>
      <c r="K390" s="70"/>
      <c r="L390" s="70"/>
      <c r="M390" s="70"/>
      <c r="N390" s="71"/>
      <c r="O390" s="71"/>
      <c r="P390" s="72"/>
      <c r="Q390" s="76"/>
      <c r="R390" s="76"/>
      <c r="S390" s="76"/>
      <c r="T390" s="69"/>
    </row>
    <row r="391" spans="1:20" ht="14.1" customHeight="1" x14ac:dyDescent="0.2">
      <c r="A391" s="61"/>
      <c r="B391" s="74"/>
      <c r="C391" s="74"/>
      <c r="D391" s="74"/>
      <c r="E391" s="70"/>
      <c r="F391" s="70"/>
      <c r="G391" s="70"/>
      <c r="H391" s="70"/>
      <c r="I391" s="70"/>
      <c r="J391" s="70"/>
      <c r="K391" s="70"/>
      <c r="L391" s="70"/>
      <c r="M391" s="70"/>
      <c r="N391" s="71"/>
      <c r="O391" s="71"/>
      <c r="P391" s="72"/>
      <c r="Q391" s="76"/>
      <c r="R391" s="76"/>
      <c r="S391" s="76"/>
      <c r="T391" s="69"/>
    </row>
    <row r="392" spans="1:20" ht="14.1" customHeight="1" x14ac:dyDescent="0.2">
      <c r="A392" s="61"/>
      <c r="B392" s="74"/>
      <c r="C392" s="74"/>
      <c r="D392" s="74"/>
      <c r="E392" s="70"/>
      <c r="F392" s="70"/>
      <c r="G392" s="70"/>
      <c r="H392" s="70"/>
      <c r="I392" s="70"/>
      <c r="J392" s="70"/>
      <c r="K392" s="70"/>
      <c r="L392" s="70"/>
      <c r="M392" s="70"/>
      <c r="N392" s="71"/>
      <c r="O392" s="71"/>
      <c r="P392" s="72"/>
      <c r="Q392" s="76"/>
      <c r="R392" s="76"/>
      <c r="S392" s="76"/>
      <c r="T392" s="69"/>
    </row>
    <row r="393" spans="1:20" ht="14.1" customHeight="1" x14ac:dyDescent="0.2">
      <c r="A393" s="61"/>
      <c r="B393" s="74"/>
      <c r="C393" s="74"/>
      <c r="D393" s="74"/>
      <c r="E393" s="70"/>
      <c r="F393" s="70"/>
      <c r="G393" s="70"/>
      <c r="H393" s="70"/>
      <c r="I393" s="70"/>
      <c r="J393" s="70"/>
      <c r="K393" s="70"/>
      <c r="L393" s="70"/>
      <c r="M393" s="70"/>
      <c r="N393" s="71"/>
      <c r="O393" s="71"/>
      <c r="P393" s="72"/>
      <c r="Q393" s="76"/>
      <c r="R393" s="76"/>
      <c r="S393" s="76"/>
      <c r="T393" s="69"/>
    </row>
    <row r="394" spans="1:20" ht="14.1" customHeight="1" x14ac:dyDescent="0.2">
      <c r="A394" s="61"/>
      <c r="B394" s="74"/>
      <c r="C394" s="74"/>
      <c r="D394" s="74"/>
      <c r="E394" s="70"/>
      <c r="F394" s="70"/>
      <c r="G394" s="70"/>
      <c r="H394" s="70"/>
      <c r="I394" s="70"/>
      <c r="J394" s="70"/>
      <c r="K394" s="70"/>
      <c r="L394" s="70"/>
      <c r="M394" s="70"/>
      <c r="N394" s="71"/>
      <c r="O394" s="71"/>
      <c r="P394" s="72"/>
      <c r="Q394" s="76"/>
      <c r="R394" s="76"/>
      <c r="S394" s="76"/>
      <c r="T394" s="69"/>
    </row>
    <row r="395" spans="1:20" ht="14.1" customHeight="1" x14ac:dyDescent="0.2">
      <c r="A395" s="61"/>
      <c r="B395" s="74"/>
      <c r="C395" s="74"/>
      <c r="D395" s="74"/>
      <c r="E395" s="70"/>
      <c r="F395" s="70"/>
      <c r="G395" s="70"/>
      <c r="H395" s="70"/>
      <c r="I395" s="70"/>
      <c r="J395" s="70"/>
      <c r="K395" s="70"/>
      <c r="L395" s="70"/>
      <c r="M395" s="70"/>
      <c r="N395" s="71"/>
      <c r="O395" s="71"/>
      <c r="P395" s="72"/>
      <c r="Q395" s="76"/>
      <c r="R395" s="76"/>
      <c r="S395" s="76"/>
      <c r="T395" s="69"/>
    </row>
    <row r="396" spans="1:20" ht="14.1" customHeight="1" x14ac:dyDescent="0.2">
      <c r="A396" s="61"/>
      <c r="B396" s="74"/>
      <c r="C396" s="74"/>
      <c r="D396" s="74"/>
      <c r="E396" s="70"/>
      <c r="F396" s="70"/>
      <c r="G396" s="70"/>
      <c r="H396" s="70"/>
      <c r="I396" s="70"/>
      <c r="J396" s="70"/>
      <c r="K396" s="70"/>
      <c r="L396" s="70"/>
      <c r="M396" s="70"/>
      <c r="N396" s="71"/>
      <c r="O396" s="71"/>
      <c r="P396" s="72"/>
      <c r="Q396" s="76"/>
      <c r="R396" s="76"/>
      <c r="S396" s="76"/>
      <c r="T396" s="69"/>
    </row>
    <row r="397" spans="1:20" ht="14.1" customHeight="1" x14ac:dyDescent="0.2">
      <c r="A397" s="61"/>
      <c r="B397" s="74"/>
      <c r="C397" s="74"/>
      <c r="D397" s="74"/>
      <c r="E397" s="70"/>
      <c r="F397" s="70"/>
      <c r="G397" s="70"/>
      <c r="H397" s="70"/>
      <c r="I397" s="70"/>
      <c r="J397" s="70"/>
      <c r="K397" s="70"/>
      <c r="L397" s="70"/>
      <c r="M397" s="70"/>
      <c r="N397" s="71"/>
      <c r="O397" s="71"/>
      <c r="P397" s="72"/>
      <c r="Q397" s="76"/>
      <c r="R397" s="76"/>
      <c r="S397" s="76"/>
      <c r="T397" s="69"/>
    </row>
    <row r="398" spans="1:20" ht="14.1" customHeight="1" x14ac:dyDescent="0.2">
      <c r="A398" s="61"/>
      <c r="B398" s="74"/>
      <c r="C398" s="74"/>
      <c r="D398" s="74"/>
      <c r="E398" s="70"/>
      <c r="F398" s="70"/>
      <c r="G398" s="70"/>
      <c r="H398" s="70"/>
      <c r="I398" s="70"/>
      <c r="J398" s="70"/>
      <c r="K398" s="70"/>
      <c r="L398" s="70"/>
      <c r="M398" s="70"/>
      <c r="N398" s="71"/>
      <c r="O398" s="71"/>
      <c r="P398" s="72"/>
      <c r="Q398" s="76"/>
      <c r="R398" s="76"/>
      <c r="S398" s="76"/>
      <c r="T398" s="69"/>
    </row>
    <row r="399" spans="1:20" ht="14.1" customHeight="1" x14ac:dyDescent="0.2">
      <c r="A399" s="61"/>
      <c r="B399" s="74"/>
      <c r="C399" s="74"/>
      <c r="D399" s="74"/>
      <c r="E399" s="70"/>
      <c r="F399" s="70"/>
      <c r="G399" s="70"/>
      <c r="H399" s="70"/>
      <c r="I399" s="70"/>
      <c r="J399" s="70"/>
      <c r="K399" s="70"/>
      <c r="L399" s="70"/>
      <c r="M399" s="70"/>
      <c r="N399" s="71"/>
      <c r="O399" s="71"/>
      <c r="P399" s="72"/>
      <c r="Q399" s="76"/>
      <c r="R399" s="76"/>
      <c r="S399" s="76"/>
      <c r="T399" s="69"/>
    </row>
    <row r="400" spans="1:20" ht="14.1" customHeight="1" x14ac:dyDescent="0.2">
      <c r="A400" s="61"/>
      <c r="B400" s="74"/>
      <c r="C400" s="74"/>
      <c r="D400" s="74"/>
      <c r="E400" s="70"/>
      <c r="F400" s="70"/>
      <c r="G400" s="70"/>
      <c r="H400" s="70"/>
      <c r="I400" s="70"/>
      <c r="J400" s="70"/>
      <c r="K400" s="70"/>
      <c r="L400" s="70"/>
      <c r="M400" s="70"/>
      <c r="N400" s="71"/>
      <c r="O400" s="71"/>
      <c r="P400" s="72"/>
      <c r="Q400" s="76"/>
      <c r="R400" s="76"/>
      <c r="S400" s="76"/>
      <c r="T400" s="69"/>
    </row>
    <row r="401" spans="1:20" ht="14.1" customHeight="1" x14ac:dyDescent="0.2">
      <c r="A401" s="61"/>
      <c r="B401" s="74"/>
      <c r="C401" s="74"/>
      <c r="D401" s="74"/>
      <c r="E401" s="70"/>
      <c r="F401" s="70"/>
      <c r="G401" s="70"/>
      <c r="H401" s="70"/>
      <c r="I401" s="70"/>
      <c r="J401" s="70"/>
      <c r="K401" s="70"/>
      <c r="L401" s="70"/>
      <c r="M401" s="70"/>
      <c r="N401" s="71"/>
      <c r="O401" s="71"/>
      <c r="P401" s="72"/>
      <c r="Q401" s="76"/>
      <c r="R401" s="76"/>
      <c r="S401" s="76"/>
      <c r="T401" s="69"/>
    </row>
    <row r="402" spans="1:20" ht="14.1" customHeight="1" x14ac:dyDescent="0.2">
      <c r="A402" s="61"/>
      <c r="B402" s="74"/>
      <c r="C402" s="74"/>
      <c r="D402" s="74"/>
      <c r="E402" s="70"/>
      <c r="F402" s="70"/>
      <c r="G402" s="70"/>
      <c r="H402" s="70"/>
      <c r="I402" s="70"/>
      <c r="J402" s="70"/>
      <c r="K402" s="70"/>
      <c r="L402" s="70"/>
      <c r="M402" s="70"/>
      <c r="N402" s="71"/>
      <c r="O402" s="71"/>
      <c r="P402" s="72"/>
      <c r="Q402" s="76"/>
      <c r="R402" s="76"/>
      <c r="S402" s="76"/>
      <c r="T402" s="69"/>
    </row>
    <row r="403" spans="1:20" ht="14.1" customHeight="1" x14ac:dyDescent="0.2">
      <c r="A403" s="61"/>
      <c r="B403" s="74"/>
      <c r="C403" s="74"/>
      <c r="D403" s="74"/>
      <c r="E403" s="70"/>
      <c r="F403" s="70"/>
      <c r="G403" s="70"/>
      <c r="H403" s="70"/>
      <c r="I403" s="70"/>
      <c r="J403" s="70"/>
      <c r="K403" s="70"/>
      <c r="L403" s="70"/>
      <c r="M403" s="70"/>
      <c r="N403" s="71"/>
      <c r="O403" s="71"/>
      <c r="P403" s="72"/>
      <c r="Q403" s="76"/>
      <c r="R403" s="76"/>
      <c r="S403" s="76"/>
      <c r="T403" s="69"/>
    </row>
    <row r="404" spans="1:20" ht="14.1" customHeight="1" x14ac:dyDescent="0.2">
      <c r="A404" s="61"/>
      <c r="B404" s="74"/>
      <c r="C404" s="74"/>
      <c r="D404" s="74"/>
      <c r="E404" s="70"/>
      <c r="F404" s="70"/>
      <c r="G404" s="70"/>
      <c r="H404" s="70"/>
      <c r="I404" s="70"/>
      <c r="J404" s="70"/>
      <c r="K404" s="70"/>
      <c r="L404" s="70"/>
      <c r="M404" s="70"/>
      <c r="N404" s="71"/>
      <c r="O404" s="71"/>
      <c r="P404" s="72"/>
      <c r="Q404" s="76"/>
      <c r="R404" s="76"/>
      <c r="S404" s="76"/>
      <c r="T404" s="69"/>
    </row>
    <row r="405" spans="1:20" ht="14.1" customHeight="1" x14ac:dyDescent="0.2">
      <c r="A405" s="61"/>
      <c r="B405" s="74"/>
      <c r="C405" s="74"/>
      <c r="D405" s="74"/>
      <c r="E405" s="70"/>
      <c r="F405" s="70"/>
      <c r="G405" s="70"/>
      <c r="H405" s="70"/>
      <c r="I405" s="70"/>
      <c r="J405" s="70"/>
      <c r="K405" s="70"/>
      <c r="L405" s="70"/>
      <c r="M405" s="70"/>
      <c r="N405" s="71"/>
      <c r="O405" s="71"/>
      <c r="P405" s="72"/>
      <c r="Q405" s="76"/>
      <c r="R405" s="76"/>
      <c r="S405" s="76"/>
      <c r="T405" s="69"/>
    </row>
    <row r="406" spans="1:20" ht="14.1" customHeight="1" x14ac:dyDescent="0.2">
      <c r="A406" s="61"/>
      <c r="B406" s="74"/>
      <c r="C406" s="74"/>
      <c r="D406" s="74"/>
      <c r="E406" s="70"/>
      <c r="F406" s="70"/>
      <c r="G406" s="70"/>
      <c r="H406" s="70"/>
      <c r="I406" s="70"/>
      <c r="J406" s="70"/>
      <c r="K406" s="70"/>
      <c r="L406" s="70"/>
      <c r="M406" s="70"/>
      <c r="N406" s="71"/>
      <c r="O406" s="71"/>
      <c r="P406" s="72"/>
      <c r="Q406" s="76"/>
      <c r="R406" s="76"/>
      <c r="S406" s="76"/>
      <c r="T406" s="69"/>
    </row>
    <row r="407" spans="1:20" ht="14.1" customHeight="1" x14ac:dyDescent="0.2">
      <c r="A407" s="61"/>
      <c r="B407" s="74"/>
      <c r="C407" s="74"/>
      <c r="D407" s="74"/>
      <c r="E407" s="70"/>
      <c r="F407" s="70"/>
      <c r="G407" s="70"/>
      <c r="H407" s="70"/>
      <c r="I407" s="70"/>
      <c r="J407" s="70"/>
      <c r="K407" s="70"/>
      <c r="L407" s="70"/>
      <c r="M407" s="70"/>
      <c r="N407" s="71"/>
      <c r="O407" s="71"/>
      <c r="P407" s="72"/>
      <c r="Q407" s="76"/>
      <c r="R407" s="76"/>
      <c r="S407" s="76"/>
      <c r="T407" s="69"/>
    </row>
    <row r="408" spans="1:20" ht="14.1" customHeight="1" x14ac:dyDescent="0.2">
      <c r="A408" s="61"/>
      <c r="B408" s="74"/>
      <c r="C408" s="74"/>
      <c r="D408" s="74"/>
      <c r="E408" s="70"/>
      <c r="F408" s="70"/>
      <c r="G408" s="70"/>
      <c r="H408" s="70"/>
      <c r="I408" s="70"/>
      <c r="J408" s="70"/>
      <c r="K408" s="70"/>
      <c r="L408" s="70"/>
      <c r="M408" s="70"/>
      <c r="N408" s="71"/>
      <c r="O408" s="71"/>
      <c r="P408" s="72"/>
      <c r="Q408" s="76"/>
      <c r="R408" s="76"/>
      <c r="S408" s="76"/>
      <c r="T408" s="69"/>
    </row>
    <row r="409" spans="1:20" ht="14.1" customHeight="1" x14ac:dyDescent="0.2">
      <c r="A409" s="61"/>
      <c r="B409" s="74"/>
      <c r="C409" s="74"/>
      <c r="D409" s="74"/>
      <c r="E409" s="70"/>
      <c r="F409" s="70"/>
      <c r="G409" s="70"/>
      <c r="H409" s="70"/>
      <c r="I409" s="70"/>
      <c r="J409" s="70"/>
      <c r="K409" s="70"/>
      <c r="L409" s="70"/>
      <c r="M409" s="70"/>
      <c r="N409" s="71"/>
      <c r="O409" s="71"/>
      <c r="P409" s="72"/>
      <c r="Q409" s="76"/>
      <c r="R409" s="76"/>
      <c r="S409" s="76"/>
      <c r="T409" s="69"/>
    </row>
    <row r="410" spans="1:20" ht="14.1" customHeight="1" x14ac:dyDescent="0.2">
      <c r="A410" s="61"/>
      <c r="B410" s="74"/>
      <c r="C410" s="74"/>
      <c r="D410" s="74"/>
      <c r="E410" s="70"/>
      <c r="F410" s="70"/>
      <c r="G410" s="70"/>
      <c r="H410" s="70"/>
      <c r="I410" s="70"/>
      <c r="J410" s="70"/>
      <c r="K410" s="70"/>
      <c r="L410" s="70"/>
      <c r="M410" s="70"/>
      <c r="N410" s="71"/>
      <c r="O410" s="71"/>
      <c r="P410" s="72"/>
      <c r="Q410" s="76"/>
      <c r="R410" s="76"/>
      <c r="S410" s="76"/>
      <c r="T410" s="69"/>
    </row>
    <row r="411" spans="1:20" ht="14.1" customHeight="1" x14ac:dyDescent="0.2">
      <c r="A411" s="61"/>
      <c r="B411" s="74"/>
      <c r="C411" s="74"/>
      <c r="D411" s="74"/>
      <c r="E411" s="70"/>
      <c r="F411" s="70"/>
      <c r="G411" s="70"/>
      <c r="H411" s="70"/>
      <c r="I411" s="70"/>
      <c r="J411" s="70"/>
      <c r="K411" s="70"/>
      <c r="L411" s="70"/>
      <c r="M411" s="70"/>
      <c r="N411" s="71"/>
      <c r="O411" s="71"/>
      <c r="P411" s="72"/>
      <c r="Q411" s="76"/>
      <c r="R411" s="76"/>
      <c r="S411" s="76"/>
      <c r="T411" s="69"/>
    </row>
    <row r="412" spans="1:20" ht="14.1" customHeight="1" x14ac:dyDescent="0.2">
      <c r="A412" s="61"/>
      <c r="B412" s="74"/>
      <c r="C412" s="74"/>
      <c r="D412" s="74"/>
      <c r="E412" s="70"/>
      <c r="F412" s="70"/>
      <c r="G412" s="70"/>
      <c r="H412" s="70"/>
      <c r="I412" s="70"/>
      <c r="J412" s="70"/>
      <c r="K412" s="70"/>
      <c r="L412" s="70"/>
      <c r="M412" s="70"/>
      <c r="N412" s="71"/>
      <c r="O412" s="71"/>
      <c r="P412" s="72"/>
      <c r="Q412" s="76"/>
      <c r="R412" s="76"/>
      <c r="S412" s="76"/>
      <c r="T412" s="69"/>
    </row>
    <row r="413" spans="1:20" ht="14.1" customHeight="1" x14ac:dyDescent="0.2">
      <c r="A413" s="61"/>
      <c r="B413" s="74"/>
      <c r="C413" s="74"/>
      <c r="D413" s="74"/>
      <c r="E413" s="70"/>
      <c r="F413" s="70"/>
      <c r="G413" s="70"/>
      <c r="H413" s="70"/>
      <c r="I413" s="70"/>
      <c r="J413" s="70"/>
      <c r="K413" s="70"/>
      <c r="L413" s="70"/>
      <c r="M413" s="70"/>
      <c r="N413" s="71"/>
      <c r="O413" s="71"/>
      <c r="P413" s="72"/>
      <c r="Q413" s="76"/>
      <c r="R413" s="76"/>
      <c r="S413" s="76"/>
      <c r="T413" s="69"/>
    </row>
    <row r="414" spans="1:20" ht="14.1" customHeight="1" x14ac:dyDescent="0.2">
      <c r="A414" s="61"/>
      <c r="B414" s="74"/>
      <c r="C414" s="74"/>
      <c r="D414" s="74"/>
      <c r="E414" s="70"/>
      <c r="F414" s="70"/>
      <c r="G414" s="70"/>
      <c r="H414" s="70"/>
      <c r="I414" s="70"/>
      <c r="J414" s="70"/>
      <c r="K414" s="70"/>
      <c r="L414" s="70"/>
      <c r="M414" s="70"/>
      <c r="N414" s="71"/>
      <c r="O414" s="71"/>
      <c r="P414" s="72"/>
      <c r="Q414" s="76"/>
      <c r="R414" s="76"/>
      <c r="S414" s="76"/>
      <c r="T414" s="69"/>
    </row>
    <row r="415" spans="1:20" ht="14.1" customHeight="1" x14ac:dyDescent="0.2">
      <c r="A415" s="61"/>
      <c r="B415" s="74"/>
      <c r="C415" s="74"/>
      <c r="D415" s="74"/>
      <c r="E415" s="70"/>
      <c r="F415" s="70"/>
      <c r="G415" s="70"/>
      <c r="H415" s="70"/>
      <c r="I415" s="70"/>
      <c r="J415" s="70"/>
      <c r="K415" s="70"/>
      <c r="L415" s="70"/>
      <c r="M415" s="70"/>
      <c r="N415" s="71"/>
      <c r="O415" s="71"/>
      <c r="P415" s="72"/>
      <c r="Q415" s="76"/>
      <c r="R415" s="76"/>
      <c r="S415" s="76"/>
      <c r="T415" s="69"/>
    </row>
    <row r="416" spans="1:20" ht="14.1" customHeight="1" x14ac:dyDescent="0.2">
      <c r="A416" s="61"/>
      <c r="B416" s="74"/>
      <c r="C416" s="74"/>
      <c r="D416" s="74"/>
      <c r="E416" s="70"/>
      <c r="F416" s="70"/>
      <c r="G416" s="70"/>
      <c r="H416" s="70"/>
      <c r="I416" s="70"/>
      <c r="J416" s="70"/>
      <c r="K416" s="70"/>
      <c r="L416" s="70"/>
      <c r="M416" s="70"/>
      <c r="N416" s="71"/>
      <c r="O416" s="71"/>
      <c r="P416" s="72"/>
      <c r="Q416" s="76"/>
      <c r="R416" s="76"/>
      <c r="S416" s="76"/>
      <c r="T416" s="69"/>
    </row>
    <row r="417" spans="1:20" ht="14.1" customHeight="1" x14ac:dyDescent="0.2">
      <c r="A417" s="61"/>
      <c r="B417" s="74"/>
      <c r="C417" s="74"/>
      <c r="D417" s="74"/>
      <c r="E417" s="70"/>
      <c r="F417" s="70"/>
      <c r="G417" s="70"/>
      <c r="H417" s="70"/>
      <c r="I417" s="70"/>
      <c r="J417" s="70"/>
      <c r="K417" s="70"/>
      <c r="L417" s="70"/>
      <c r="M417" s="70"/>
      <c r="N417" s="71"/>
      <c r="O417" s="71"/>
      <c r="P417" s="72"/>
      <c r="Q417" s="76"/>
      <c r="R417" s="76"/>
      <c r="S417" s="76"/>
      <c r="T417" s="69"/>
    </row>
    <row r="418" spans="1:20" ht="14.1" customHeight="1" x14ac:dyDescent="0.2">
      <c r="A418" s="61"/>
      <c r="B418" s="74"/>
      <c r="C418" s="74"/>
      <c r="D418" s="74"/>
      <c r="E418" s="70"/>
      <c r="F418" s="70"/>
      <c r="G418" s="70"/>
      <c r="H418" s="70"/>
      <c r="I418" s="70"/>
      <c r="J418" s="70"/>
      <c r="K418" s="70"/>
      <c r="L418" s="70"/>
      <c r="M418" s="70"/>
      <c r="N418" s="71"/>
      <c r="O418" s="71"/>
      <c r="P418" s="72"/>
      <c r="Q418" s="76"/>
      <c r="R418" s="76"/>
      <c r="S418" s="76"/>
      <c r="T418" s="69"/>
    </row>
    <row r="419" spans="1:20" ht="14.1" customHeight="1" x14ac:dyDescent="0.2">
      <c r="A419" s="61"/>
      <c r="B419" s="74"/>
      <c r="C419" s="74"/>
      <c r="D419" s="74"/>
      <c r="E419" s="70"/>
      <c r="F419" s="70"/>
      <c r="G419" s="70"/>
      <c r="H419" s="70"/>
      <c r="I419" s="70"/>
      <c r="J419" s="70"/>
      <c r="K419" s="70"/>
      <c r="L419" s="70"/>
      <c r="M419" s="70"/>
      <c r="N419" s="71"/>
      <c r="O419" s="71"/>
      <c r="P419" s="72"/>
      <c r="Q419" s="76"/>
      <c r="R419" s="76"/>
      <c r="S419" s="76"/>
      <c r="T419" s="69"/>
    </row>
    <row r="420" spans="1:20" ht="14.1" customHeight="1" x14ac:dyDescent="0.2">
      <c r="A420" s="61"/>
      <c r="B420" s="74"/>
      <c r="C420" s="74"/>
      <c r="D420" s="74"/>
      <c r="E420" s="70"/>
      <c r="F420" s="70"/>
      <c r="G420" s="70"/>
      <c r="H420" s="70"/>
      <c r="I420" s="70"/>
      <c r="J420" s="70"/>
      <c r="K420" s="70"/>
      <c r="L420" s="70"/>
      <c r="M420" s="70"/>
      <c r="N420" s="71"/>
      <c r="O420" s="71"/>
      <c r="P420" s="72"/>
      <c r="Q420" s="76"/>
      <c r="R420" s="76"/>
      <c r="S420" s="76"/>
      <c r="T420" s="69"/>
    </row>
    <row r="421" spans="1:20" ht="14.1" customHeight="1" x14ac:dyDescent="0.2">
      <c r="A421" s="61"/>
      <c r="B421" s="74"/>
      <c r="C421" s="74"/>
      <c r="D421" s="74"/>
      <c r="E421" s="70"/>
      <c r="F421" s="70"/>
      <c r="G421" s="70"/>
      <c r="H421" s="70"/>
      <c r="I421" s="70"/>
      <c r="J421" s="70"/>
      <c r="K421" s="70"/>
      <c r="L421" s="70"/>
      <c r="M421" s="70"/>
      <c r="N421" s="71"/>
      <c r="O421" s="71"/>
      <c r="P421" s="72"/>
      <c r="Q421" s="76"/>
      <c r="R421" s="76"/>
      <c r="S421" s="76"/>
      <c r="T421" s="69"/>
    </row>
    <row r="422" spans="1:20" ht="14.1" customHeight="1" x14ac:dyDescent="0.2">
      <c r="A422" s="61"/>
      <c r="B422" s="74"/>
      <c r="C422" s="74"/>
      <c r="D422" s="74"/>
      <c r="E422" s="70"/>
      <c r="F422" s="70"/>
      <c r="G422" s="70"/>
      <c r="H422" s="70"/>
      <c r="I422" s="70"/>
      <c r="J422" s="70"/>
      <c r="K422" s="70"/>
      <c r="L422" s="70"/>
      <c r="M422" s="70"/>
      <c r="N422" s="71"/>
      <c r="O422" s="71"/>
      <c r="P422" s="72"/>
      <c r="Q422" s="76"/>
      <c r="R422" s="76"/>
      <c r="S422" s="76"/>
      <c r="T422" s="69"/>
    </row>
    <row r="423" spans="1:20" ht="14.1" customHeight="1" x14ac:dyDescent="0.2">
      <c r="A423" s="61"/>
      <c r="B423" s="74"/>
      <c r="C423" s="74"/>
      <c r="D423" s="74"/>
      <c r="E423" s="70"/>
      <c r="F423" s="70"/>
      <c r="G423" s="70"/>
      <c r="H423" s="70"/>
      <c r="I423" s="70"/>
      <c r="J423" s="70"/>
      <c r="K423" s="70"/>
      <c r="L423" s="70"/>
      <c r="M423" s="70"/>
      <c r="N423" s="71"/>
      <c r="O423" s="71"/>
      <c r="P423" s="72"/>
      <c r="Q423" s="76"/>
      <c r="R423" s="76"/>
      <c r="S423" s="76"/>
      <c r="T423" s="69"/>
    </row>
    <row r="424" spans="1:20" ht="14.1" customHeight="1" x14ac:dyDescent="0.2">
      <c r="A424" s="61"/>
      <c r="B424" s="74"/>
      <c r="C424" s="74"/>
      <c r="D424" s="74"/>
      <c r="E424" s="70"/>
      <c r="F424" s="70"/>
      <c r="G424" s="70"/>
      <c r="H424" s="70"/>
      <c r="I424" s="70"/>
      <c r="J424" s="70"/>
      <c r="K424" s="70"/>
      <c r="L424" s="70"/>
      <c r="M424" s="70"/>
      <c r="N424" s="71"/>
      <c r="O424" s="71"/>
      <c r="P424" s="72"/>
      <c r="Q424" s="76"/>
      <c r="R424" s="76"/>
      <c r="S424" s="76"/>
      <c r="T424" s="69"/>
    </row>
    <row r="425" spans="1:20" ht="14.1" customHeight="1" x14ac:dyDescent="0.2">
      <c r="A425" s="61"/>
      <c r="B425" s="74"/>
      <c r="C425" s="74"/>
      <c r="D425" s="74"/>
      <c r="E425" s="70"/>
      <c r="F425" s="70"/>
      <c r="G425" s="70"/>
      <c r="H425" s="70"/>
      <c r="I425" s="70"/>
      <c r="J425" s="70"/>
      <c r="K425" s="70"/>
      <c r="L425" s="70"/>
      <c r="M425" s="70"/>
      <c r="N425" s="71"/>
      <c r="O425" s="71"/>
      <c r="P425" s="72"/>
      <c r="Q425" s="76"/>
      <c r="R425" s="76"/>
      <c r="S425" s="76"/>
      <c r="T425" s="69"/>
    </row>
    <row r="426" spans="1:20" ht="14.1" customHeight="1" x14ac:dyDescent="0.2">
      <c r="A426" s="61"/>
      <c r="B426" s="74"/>
      <c r="C426" s="74"/>
      <c r="D426" s="74"/>
      <c r="E426" s="70"/>
      <c r="F426" s="70"/>
      <c r="G426" s="70"/>
      <c r="H426" s="70"/>
      <c r="I426" s="70"/>
      <c r="J426" s="70"/>
      <c r="K426" s="70"/>
      <c r="L426" s="70"/>
      <c r="M426" s="70"/>
      <c r="N426" s="71"/>
      <c r="O426" s="71"/>
      <c r="P426" s="72"/>
      <c r="Q426" s="76"/>
      <c r="R426" s="76"/>
      <c r="S426" s="76"/>
      <c r="T426" s="69"/>
    </row>
    <row r="427" spans="1:20" ht="14.1" customHeight="1" x14ac:dyDescent="0.2">
      <c r="A427" s="61"/>
      <c r="B427" s="74"/>
      <c r="C427" s="74"/>
      <c r="D427" s="74"/>
      <c r="E427" s="70"/>
      <c r="F427" s="70"/>
      <c r="G427" s="70"/>
      <c r="H427" s="70"/>
      <c r="I427" s="70"/>
      <c r="J427" s="70"/>
      <c r="K427" s="70"/>
      <c r="L427" s="70"/>
      <c r="M427" s="70"/>
      <c r="N427" s="71"/>
      <c r="O427" s="71"/>
      <c r="P427" s="72"/>
      <c r="Q427" s="76"/>
      <c r="R427" s="76"/>
      <c r="S427" s="76"/>
      <c r="T427" s="69"/>
    </row>
    <row r="428" spans="1:20" ht="14.1" customHeight="1" x14ac:dyDescent="0.2">
      <c r="A428" s="61"/>
      <c r="B428" s="74"/>
      <c r="C428" s="74"/>
      <c r="D428" s="74"/>
      <c r="E428" s="70"/>
      <c r="F428" s="70"/>
      <c r="G428" s="70"/>
      <c r="H428" s="70"/>
      <c r="I428" s="70"/>
      <c r="J428" s="70"/>
      <c r="K428" s="70"/>
      <c r="L428" s="70"/>
      <c r="M428" s="70"/>
      <c r="N428" s="71"/>
      <c r="O428" s="71"/>
      <c r="P428" s="72"/>
      <c r="Q428" s="76"/>
      <c r="R428" s="76"/>
      <c r="S428" s="76"/>
      <c r="T428" s="69"/>
    </row>
    <row r="429" spans="1:20" ht="14.1" customHeight="1" x14ac:dyDescent="0.2">
      <c r="A429" s="61"/>
      <c r="B429" s="74"/>
      <c r="C429" s="74"/>
      <c r="D429" s="74"/>
      <c r="E429" s="70"/>
      <c r="F429" s="70"/>
      <c r="G429" s="70"/>
      <c r="H429" s="70"/>
      <c r="I429" s="70"/>
      <c r="J429" s="70"/>
      <c r="K429" s="70"/>
      <c r="L429" s="70"/>
      <c r="M429" s="70"/>
      <c r="N429" s="71"/>
      <c r="O429" s="71"/>
      <c r="P429" s="72"/>
      <c r="Q429" s="76"/>
      <c r="R429" s="76"/>
      <c r="S429" s="76"/>
      <c r="T429" s="69"/>
    </row>
    <row r="430" spans="1:20" ht="14.1" customHeight="1" x14ac:dyDescent="0.2">
      <c r="A430" s="61"/>
      <c r="B430" s="74"/>
      <c r="C430" s="74"/>
      <c r="D430" s="74"/>
      <c r="E430" s="70"/>
      <c r="F430" s="70"/>
      <c r="G430" s="70"/>
      <c r="H430" s="70"/>
      <c r="I430" s="70"/>
      <c r="J430" s="70"/>
      <c r="K430" s="70"/>
      <c r="L430" s="70"/>
      <c r="M430" s="70"/>
      <c r="N430" s="71"/>
      <c r="O430" s="71"/>
      <c r="P430" s="72"/>
      <c r="Q430" s="76"/>
      <c r="R430" s="76"/>
      <c r="S430" s="76"/>
      <c r="T430" s="69"/>
    </row>
    <row r="431" spans="1:20" ht="14.1" customHeight="1" x14ac:dyDescent="0.2">
      <c r="A431" s="61"/>
      <c r="B431" s="74"/>
      <c r="C431" s="74"/>
      <c r="D431" s="74"/>
      <c r="E431" s="70"/>
      <c r="F431" s="70"/>
      <c r="G431" s="70"/>
      <c r="H431" s="70"/>
      <c r="I431" s="70"/>
      <c r="J431" s="70"/>
      <c r="K431" s="70"/>
      <c r="L431" s="70"/>
      <c r="M431" s="70"/>
      <c r="N431" s="71"/>
      <c r="O431" s="71"/>
      <c r="P431" s="72"/>
      <c r="Q431" s="76"/>
      <c r="R431" s="76"/>
      <c r="S431" s="76"/>
      <c r="T431" s="69"/>
    </row>
    <row r="432" spans="1:20" ht="14.1" customHeight="1" x14ac:dyDescent="0.2">
      <c r="A432" s="61"/>
      <c r="B432" s="74"/>
      <c r="C432" s="74"/>
      <c r="D432" s="74"/>
      <c r="E432" s="70"/>
      <c r="F432" s="70"/>
      <c r="G432" s="70"/>
      <c r="H432" s="70"/>
      <c r="I432" s="70"/>
      <c r="J432" s="70"/>
      <c r="K432" s="70"/>
      <c r="L432" s="70"/>
      <c r="M432" s="70"/>
      <c r="N432" s="71"/>
      <c r="O432" s="71"/>
      <c r="P432" s="72"/>
      <c r="Q432" s="76"/>
      <c r="R432" s="76"/>
      <c r="S432" s="76"/>
      <c r="T432" s="69"/>
    </row>
    <row r="433" spans="1:20" ht="14.1" customHeight="1" x14ac:dyDescent="0.2">
      <c r="A433" s="61"/>
      <c r="B433" s="74"/>
      <c r="C433" s="74"/>
      <c r="D433" s="74"/>
      <c r="E433" s="70"/>
      <c r="F433" s="70"/>
      <c r="G433" s="70"/>
      <c r="H433" s="70"/>
      <c r="I433" s="70"/>
      <c r="J433" s="70"/>
      <c r="K433" s="70"/>
      <c r="L433" s="70"/>
      <c r="M433" s="70"/>
      <c r="N433" s="71"/>
      <c r="O433" s="71"/>
      <c r="P433" s="72"/>
      <c r="Q433" s="76"/>
      <c r="R433" s="76"/>
      <c r="S433" s="76"/>
      <c r="T433" s="69"/>
    </row>
    <row r="434" spans="1:20" ht="14.1" customHeight="1" x14ac:dyDescent="0.2">
      <c r="A434" s="61"/>
      <c r="B434" s="74"/>
      <c r="C434" s="74"/>
      <c r="D434" s="74"/>
      <c r="E434" s="70"/>
      <c r="F434" s="70"/>
      <c r="G434" s="70"/>
      <c r="H434" s="70"/>
      <c r="I434" s="70"/>
      <c r="J434" s="70"/>
      <c r="K434" s="70"/>
      <c r="L434" s="70"/>
      <c r="M434" s="70"/>
      <c r="N434" s="71"/>
      <c r="O434" s="71"/>
      <c r="P434" s="72"/>
      <c r="Q434" s="76"/>
      <c r="R434" s="76"/>
      <c r="S434" s="76"/>
      <c r="T434" s="69"/>
    </row>
    <row r="435" spans="1:20" ht="14.1" customHeight="1" x14ac:dyDescent="0.2">
      <c r="A435" s="61"/>
      <c r="B435" s="74"/>
      <c r="C435" s="74"/>
      <c r="D435" s="74"/>
      <c r="E435" s="70"/>
      <c r="F435" s="70"/>
      <c r="G435" s="70"/>
      <c r="H435" s="70"/>
      <c r="I435" s="70"/>
      <c r="J435" s="70"/>
      <c r="K435" s="70"/>
      <c r="L435" s="70"/>
      <c r="M435" s="70"/>
      <c r="N435" s="71"/>
      <c r="O435" s="71"/>
      <c r="P435" s="72"/>
      <c r="Q435" s="76"/>
      <c r="R435" s="76"/>
      <c r="S435" s="76"/>
      <c r="T435" s="69"/>
    </row>
    <row r="436" spans="1:20" ht="14.1" customHeight="1" x14ac:dyDescent="0.2">
      <c r="A436" s="61"/>
      <c r="B436" s="74"/>
      <c r="C436" s="74"/>
      <c r="D436" s="74"/>
      <c r="E436" s="70"/>
      <c r="F436" s="70"/>
      <c r="G436" s="70"/>
      <c r="H436" s="70"/>
      <c r="I436" s="70"/>
      <c r="J436" s="70"/>
      <c r="K436" s="70"/>
      <c r="L436" s="70"/>
      <c r="M436" s="70"/>
      <c r="N436" s="71"/>
      <c r="O436" s="71"/>
      <c r="P436" s="72"/>
      <c r="Q436" s="76"/>
      <c r="R436" s="76"/>
      <c r="S436" s="76"/>
      <c r="T436" s="69"/>
    </row>
    <row r="437" spans="1:20" ht="14.1" customHeight="1" x14ac:dyDescent="0.2">
      <c r="A437" s="61"/>
      <c r="B437" s="74"/>
      <c r="C437" s="74"/>
      <c r="D437" s="74"/>
      <c r="E437" s="70"/>
      <c r="F437" s="70"/>
      <c r="G437" s="70"/>
      <c r="H437" s="70"/>
      <c r="I437" s="70"/>
      <c r="J437" s="70"/>
      <c r="K437" s="70"/>
      <c r="L437" s="70"/>
      <c r="M437" s="70"/>
      <c r="N437" s="71"/>
      <c r="O437" s="71"/>
      <c r="P437" s="72"/>
      <c r="Q437" s="76"/>
      <c r="R437" s="76"/>
      <c r="S437" s="76"/>
      <c r="T437" s="69"/>
    </row>
    <row r="438" spans="1:20" ht="14.1" customHeight="1" x14ac:dyDescent="0.2">
      <c r="A438" s="61"/>
      <c r="B438" s="74"/>
      <c r="C438" s="74"/>
      <c r="D438" s="74"/>
      <c r="E438" s="70"/>
      <c r="F438" s="70"/>
      <c r="G438" s="70"/>
      <c r="H438" s="70"/>
      <c r="I438" s="70"/>
      <c r="J438" s="70"/>
      <c r="K438" s="70"/>
      <c r="L438" s="70"/>
      <c r="M438" s="70"/>
      <c r="N438" s="71"/>
      <c r="O438" s="71"/>
      <c r="P438" s="72"/>
      <c r="Q438" s="76"/>
      <c r="R438" s="76"/>
      <c r="S438" s="76"/>
      <c r="T438" s="69"/>
    </row>
    <row r="439" spans="1:20" ht="14.1" customHeight="1" x14ac:dyDescent="0.2">
      <c r="A439" s="61"/>
      <c r="B439" s="74"/>
      <c r="C439" s="74"/>
      <c r="D439" s="74"/>
      <c r="E439" s="70"/>
      <c r="F439" s="70"/>
      <c r="G439" s="70"/>
      <c r="H439" s="70"/>
      <c r="I439" s="70"/>
      <c r="J439" s="70"/>
      <c r="K439" s="70"/>
      <c r="L439" s="70"/>
      <c r="M439" s="70"/>
      <c r="N439" s="71"/>
      <c r="O439" s="71"/>
      <c r="P439" s="72"/>
      <c r="Q439" s="76"/>
      <c r="R439" s="76"/>
      <c r="S439" s="76"/>
      <c r="T439" s="69"/>
    </row>
    <row r="440" spans="1:20" ht="14.1" customHeight="1" x14ac:dyDescent="0.2">
      <c r="A440" s="61"/>
      <c r="B440" s="74"/>
      <c r="C440" s="74"/>
      <c r="D440" s="74"/>
      <c r="E440" s="70"/>
      <c r="F440" s="70"/>
      <c r="G440" s="70"/>
      <c r="H440" s="70"/>
      <c r="I440" s="70"/>
      <c r="J440" s="70"/>
      <c r="K440" s="70"/>
      <c r="L440" s="70"/>
      <c r="M440" s="70"/>
      <c r="N440" s="71"/>
      <c r="O440" s="71"/>
      <c r="P440" s="72"/>
      <c r="Q440" s="76"/>
      <c r="R440" s="76"/>
      <c r="S440" s="76"/>
      <c r="T440" s="69"/>
    </row>
    <row r="441" spans="1:20" ht="14.1" customHeight="1" x14ac:dyDescent="0.2">
      <c r="A441" s="61"/>
      <c r="B441" s="74"/>
      <c r="C441" s="74"/>
      <c r="D441" s="74"/>
      <c r="E441" s="70"/>
      <c r="F441" s="70"/>
      <c r="G441" s="70"/>
      <c r="H441" s="70"/>
      <c r="I441" s="70"/>
      <c r="J441" s="70"/>
      <c r="K441" s="70"/>
      <c r="L441" s="70"/>
      <c r="M441" s="70"/>
      <c r="N441" s="71"/>
      <c r="O441" s="71"/>
      <c r="P441" s="72"/>
      <c r="Q441" s="76"/>
      <c r="R441" s="76"/>
      <c r="S441" s="76"/>
      <c r="T441" s="69"/>
    </row>
    <row r="442" spans="1:20" ht="14.1" customHeight="1" x14ac:dyDescent="0.2">
      <c r="A442" s="61"/>
      <c r="B442" s="74"/>
      <c r="C442" s="74"/>
      <c r="D442" s="74"/>
      <c r="E442" s="70"/>
      <c r="F442" s="70"/>
      <c r="G442" s="70"/>
      <c r="H442" s="70"/>
      <c r="I442" s="70"/>
      <c r="J442" s="70"/>
      <c r="K442" s="70"/>
      <c r="L442" s="70"/>
      <c r="M442" s="70"/>
      <c r="N442" s="71"/>
      <c r="O442" s="71"/>
      <c r="P442" s="72"/>
      <c r="Q442" s="76"/>
      <c r="R442" s="76"/>
      <c r="S442" s="76"/>
      <c r="T442" s="69"/>
    </row>
    <row r="443" spans="1:20" ht="14.1" customHeight="1" x14ac:dyDescent="0.2">
      <c r="A443" s="61"/>
      <c r="B443" s="74"/>
      <c r="C443" s="74"/>
      <c r="D443" s="74"/>
      <c r="E443" s="70"/>
      <c r="F443" s="70"/>
      <c r="G443" s="70"/>
      <c r="H443" s="70"/>
      <c r="I443" s="70"/>
      <c r="J443" s="70"/>
      <c r="K443" s="70"/>
      <c r="L443" s="70"/>
      <c r="M443" s="70"/>
      <c r="N443" s="71"/>
      <c r="O443" s="71"/>
      <c r="P443" s="72"/>
      <c r="Q443" s="76"/>
      <c r="R443" s="76"/>
      <c r="S443" s="76"/>
      <c r="T443" s="69"/>
    </row>
    <row r="444" spans="1:20" ht="14.1" customHeight="1" x14ac:dyDescent="0.2">
      <c r="A444" s="61"/>
      <c r="B444" s="74"/>
      <c r="C444" s="74"/>
      <c r="D444" s="74"/>
      <c r="E444" s="70"/>
      <c r="F444" s="70"/>
      <c r="G444" s="70"/>
      <c r="H444" s="70"/>
      <c r="I444" s="70"/>
      <c r="J444" s="70"/>
      <c r="K444" s="70"/>
      <c r="L444" s="70"/>
      <c r="M444" s="70"/>
      <c r="N444" s="71"/>
      <c r="O444" s="71"/>
      <c r="P444" s="72"/>
      <c r="Q444" s="76"/>
      <c r="R444" s="76"/>
      <c r="S444" s="76"/>
      <c r="T444" s="69"/>
    </row>
    <row r="445" spans="1:20" ht="14.1" customHeight="1" x14ac:dyDescent="0.2">
      <c r="A445" s="61"/>
      <c r="B445" s="74"/>
      <c r="C445" s="74"/>
      <c r="D445" s="74"/>
      <c r="E445" s="70"/>
      <c r="F445" s="70"/>
      <c r="G445" s="70"/>
      <c r="H445" s="70"/>
      <c r="I445" s="70"/>
      <c r="J445" s="70"/>
      <c r="K445" s="70"/>
      <c r="L445" s="70"/>
      <c r="M445" s="70"/>
      <c r="N445" s="71"/>
      <c r="O445" s="71"/>
      <c r="P445" s="72"/>
      <c r="Q445" s="76"/>
      <c r="R445" s="76"/>
      <c r="S445" s="76"/>
      <c r="T445" s="69"/>
    </row>
    <row r="446" spans="1:20" ht="14.1" customHeight="1" x14ac:dyDescent="0.2">
      <c r="A446" s="61"/>
      <c r="B446" s="74"/>
      <c r="C446" s="74"/>
      <c r="D446" s="74"/>
      <c r="E446" s="70"/>
      <c r="F446" s="70"/>
      <c r="G446" s="70"/>
      <c r="H446" s="70"/>
      <c r="I446" s="70"/>
      <c r="J446" s="70"/>
      <c r="K446" s="70"/>
      <c r="L446" s="70"/>
      <c r="M446" s="70"/>
      <c r="N446" s="71"/>
      <c r="O446" s="71"/>
      <c r="P446" s="72"/>
      <c r="Q446" s="76"/>
      <c r="R446" s="76"/>
      <c r="S446" s="76"/>
      <c r="T446" s="69"/>
    </row>
    <row r="447" spans="1:20" ht="14.1" customHeight="1" x14ac:dyDescent="0.2">
      <c r="A447" s="61"/>
      <c r="B447" s="74"/>
      <c r="C447" s="74"/>
      <c r="D447" s="74"/>
      <c r="E447" s="70"/>
      <c r="F447" s="70"/>
      <c r="G447" s="70"/>
      <c r="H447" s="70"/>
      <c r="I447" s="70"/>
      <c r="J447" s="70"/>
      <c r="K447" s="70"/>
      <c r="L447" s="70"/>
      <c r="M447" s="70"/>
      <c r="N447" s="71"/>
      <c r="O447" s="71"/>
      <c r="P447" s="72"/>
      <c r="Q447" s="76"/>
      <c r="R447" s="76"/>
      <c r="S447" s="76"/>
      <c r="T447" s="69"/>
    </row>
    <row r="448" spans="1:20" ht="14.1" customHeight="1" x14ac:dyDescent="0.2">
      <c r="A448" s="61"/>
      <c r="B448" s="74"/>
      <c r="C448" s="74"/>
      <c r="D448" s="74"/>
      <c r="E448" s="70"/>
      <c r="F448" s="70"/>
      <c r="G448" s="70"/>
      <c r="H448" s="70"/>
      <c r="I448" s="70"/>
      <c r="J448" s="70"/>
      <c r="K448" s="70"/>
      <c r="L448" s="70"/>
      <c r="M448" s="70"/>
      <c r="N448" s="71"/>
      <c r="O448" s="71"/>
      <c r="P448" s="72"/>
      <c r="Q448" s="76"/>
      <c r="R448" s="76"/>
      <c r="S448" s="76"/>
      <c r="T448" s="69"/>
    </row>
    <row r="449" spans="1:20" ht="14.1" customHeight="1" x14ac:dyDescent="0.2">
      <c r="A449" s="61"/>
      <c r="B449" s="74"/>
      <c r="C449" s="74"/>
      <c r="D449" s="74"/>
      <c r="E449" s="70"/>
      <c r="F449" s="70"/>
      <c r="G449" s="70"/>
      <c r="H449" s="70"/>
      <c r="I449" s="70"/>
      <c r="J449" s="70"/>
      <c r="K449" s="70"/>
      <c r="L449" s="70"/>
      <c r="M449" s="70"/>
      <c r="N449" s="71"/>
      <c r="O449" s="71"/>
      <c r="P449" s="72"/>
      <c r="Q449" s="76"/>
      <c r="R449" s="76"/>
      <c r="S449" s="76"/>
      <c r="T449" s="69"/>
    </row>
    <row r="450" spans="1:20" ht="14.1" customHeight="1" x14ac:dyDescent="0.2">
      <c r="A450" s="61"/>
      <c r="B450" s="74"/>
      <c r="C450" s="74"/>
      <c r="D450" s="74"/>
      <c r="E450" s="70"/>
      <c r="F450" s="70"/>
      <c r="G450" s="70"/>
      <c r="H450" s="70"/>
      <c r="I450" s="70"/>
      <c r="J450" s="70"/>
      <c r="K450" s="70"/>
      <c r="L450" s="70"/>
      <c r="M450" s="70"/>
      <c r="N450" s="71"/>
      <c r="O450" s="71"/>
      <c r="P450" s="72"/>
      <c r="Q450" s="76"/>
      <c r="R450" s="76"/>
      <c r="S450" s="76"/>
      <c r="T450" s="69"/>
    </row>
    <row r="451" spans="1:20" ht="14.1" customHeight="1" x14ac:dyDescent="0.2">
      <c r="A451" s="61"/>
      <c r="B451" s="74"/>
      <c r="C451" s="74"/>
      <c r="D451" s="74"/>
      <c r="E451" s="70"/>
      <c r="F451" s="70"/>
      <c r="G451" s="70"/>
      <c r="H451" s="70"/>
      <c r="I451" s="70"/>
      <c r="J451" s="70"/>
      <c r="K451" s="70"/>
      <c r="L451" s="70"/>
      <c r="M451" s="70"/>
      <c r="N451" s="71"/>
      <c r="O451" s="71"/>
      <c r="P451" s="72"/>
      <c r="Q451" s="76"/>
      <c r="R451" s="76"/>
      <c r="S451" s="76"/>
      <c r="T451" s="69"/>
    </row>
    <row r="452" spans="1:20" ht="14.1" customHeight="1" x14ac:dyDescent="0.2">
      <c r="A452" s="61"/>
      <c r="B452" s="74"/>
      <c r="C452" s="74"/>
      <c r="D452" s="74"/>
      <c r="E452" s="70"/>
      <c r="F452" s="70"/>
      <c r="G452" s="70"/>
      <c r="H452" s="70"/>
      <c r="I452" s="70"/>
      <c r="J452" s="70"/>
      <c r="K452" s="70"/>
      <c r="L452" s="70"/>
      <c r="M452" s="70"/>
      <c r="N452" s="71"/>
      <c r="O452" s="71"/>
      <c r="P452" s="72"/>
      <c r="Q452" s="76"/>
      <c r="R452" s="76"/>
      <c r="S452" s="76"/>
      <c r="T452" s="69"/>
    </row>
    <row r="453" spans="1:20" ht="14.1" customHeight="1" x14ac:dyDescent="0.2">
      <c r="A453" s="61"/>
      <c r="B453" s="74"/>
      <c r="C453" s="74"/>
      <c r="D453" s="74"/>
      <c r="E453" s="70"/>
      <c r="F453" s="70"/>
      <c r="G453" s="70"/>
      <c r="H453" s="70"/>
      <c r="I453" s="70"/>
      <c r="J453" s="70"/>
      <c r="K453" s="70"/>
      <c r="L453" s="70"/>
      <c r="M453" s="70"/>
      <c r="N453" s="71"/>
      <c r="O453" s="71"/>
      <c r="P453" s="72"/>
      <c r="Q453" s="76"/>
      <c r="R453" s="76"/>
      <c r="S453" s="76"/>
      <c r="T453" s="69"/>
    </row>
    <row r="454" spans="1:20" ht="14.1" customHeight="1" x14ac:dyDescent="0.2">
      <c r="A454" s="61"/>
      <c r="B454" s="74"/>
      <c r="C454" s="74"/>
      <c r="D454" s="74"/>
      <c r="E454" s="70"/>
      <c r="F454" s="70"/>
      <c r="G454" s="70"/>
      <c r="H454" s="70"/>
      <c r="I454" s="70"/>
      <c r="J454" s="70"/>
      <c r="K454" s="70"/>
      <c r="L454" s="70"/>
      <c r="M454" s="70"/>
      <c r="N454" s="71"/>
      <c r="O454" s="71"/>
      <c r="P454" s="72"/>
      <c r="Q454" s="76"/>
      <c r="R454" s="76"/>
      <c r="S454" s="76"/>
      <c r="T454" s="69"/>
    </row>
    <row r="455" spans="1:20" ht="14.1" customHeight="1" x14ac:dyDescent="0.2">
      <c r="A455" s="61"/>
      <c r="B455" s="74"/>
      <c r="C455" s="74"/>
      <c r="D455" s="74"/>
      <c r="E455" s="70"/>
      <c r="F455" s="70"/>
      <c r="G455" s="70"/>
      <c r="H455" s="70"/>
      <c r="I455" s="70"/>
      <c r="J455" s="70"/>
      <c r="K455" s="70"/>
      <c r="L455" s="70"/>
      <c r="M455" s="70"/>
      <c r="N455" s="71"/>
      <c r="O455" s="71"/>
      <c r="P455" s="72"/>
      <c r="Q455" s="76"/>
      <c r="R455" s="76"/>
      <c r="S455" s="76"/>
      <c r="T455" s="69"/>
    </row>
    <row r="456" spans="1:20" ht="14.1" customHeight="1" x14ac:dyDescent="0.2">
      <c r="A456" s="61"/>
      <c r="B456" s="74"/>
      <c r="C456" s="74"/>
      <c r="D456" s="74"/>
      <c r="E456" s="70"/>
      <c r="F456" s="70"/>
      <c r="G456" s="70"/>
      <c r="H456" s="70"/>
      <c r="I456" s="70"/>
      <c r="J456" s="70"/>
      <c r="K456" s="70"/>
      <c r="L456" s="70"/>
      <c r="M456" s="70"/>
      <c r="N456" s="71"/>
      <c r="O456" s="71"/>
      <c r="P456" s="72"/>
      <c r="Q456" s="76"/>
      <c r="R456" s="76"/>
      <c r="S456" s="76"/>
      <c r="T456" s="69"/>
    </row>
    <row r="457" spans="1:20" ht="14.1" customHeight="1" x14ac:dyDescent="0.2">
      <c r="A457" s="61"/>
      <c r="B457" s="74"/>
      <c r="C457" s="74"/>
      <c r="D457" s="74"/>
      <c r="E457" s="70"/>
      <c r="F457" s="70"/>
      <c r="G457" s="70"/>
      <c r="H457" s="70"/>
      <c r="I457" s="70"/>
      <c r="J457" s="70"/>
      <c r="K457" s="70"/>
      <c r="L457" s="70"/>
      <c r="M457" s="70"/>
      <c r="N457" s="71"/>
      <c r="O457" s="71"/>
      <c r="P457" s="72"/>
      <c r="Q457" s="76"/>
      <c r="R457" s="76"/>
      <c r="S457" s="76"/>
      <c r="T457" s="69"/>
    </row>
    <row r="458" spans="1:20" ht="14.1" customHeight="1" x14ac:dyDescent="0.2">
      <c r="A458" s="61"/>
      <c r="B458" s="74"/>
      <c r="C458" s="74"/>
      <c r="D458" s="74"/>
      <c r="E458" s="70"/>
      <c r="F458" s="70"/>
      <c r="G458" s="70"/>
      <c r="H458" s="70"/>
      <c r="I458" s="70"/>
      <c r="J458" s="70"/>
      <c r="K458" s="70"/>
      <c r="L458" s="70"/>
      <c r="M458" s="70"/>
      <c r="N458" s="71"/>
      <c r="O458" s="71"/>
      <c r="P458" s="72"/>
      <c r="Q458" s="76"/>
      <c r="R458" s="76"/>
      <c r="S458" s="76"/>
      <c r="T458" s="69"/>
    </row>
    <row r="459" spans="1:20" ht="14.1" customHeight="1" x14ac:dyDescent="0.2">
      <c r="A459" s="61"/>
      <c r="B459" s="74"/>
      <c r="C459" s="74"/>
      <c r="D459" s="74"/>
      <c r="E459" s="70"/>
      <c r="F459" s="70"/>
      <c r="G459" s="70"/>
      <c r="H459" s="70"/>
      <c r="I459" s="70"/>
      <c r="J459" s="70"/>
      <c r="K459" s="70"/>
      <c r="L459" s="70"/>
      <c r="M459" s="70"/>
      <c r="N459" s="71"/>
      <c r="O459" s="71"/>
      <c r="P459" s="72"/>
      <c r="Q459" s="76"/>
      <c r="R459" s="76"/>
      <c r="S459" s="76"/>
      <c r="T459" s="69"/>
    </row>
    <row r="460" spans="1:20" ht="14.1" customHeight="1" x14ac:dyDescent="0.2">
      <c r="A460" s="61"/>
      <c r="B460" s="74"/>
      <c r="C460" s="74"/>
      <c r="D460" s="74"/>
      <c r="E460" s="70"/>
      <c r="F460" s="70"/>
      <c r="G460" s="70"/>
      <c r="H460" s="70"/>
      <c r="I460" s="70"/>
      <c r="J460" s="70"/>
      <c r="K460" s="70"/>
      <c r="L460" s="70"/>
      <c r="M460" s="70"/>
      <c r="N460" s="71"/>
      <c r="O460" s="71"/>
      <c r="P460" s="72"/>
      <c r="Q460" s="76"/>
      <c r="R460" s="76"/>
      <c r="S460" s="76"/>
      <c r="T460" s="69"/>
    </row>
    <row r="461" spans="1:20" ht="14.1" customHeight="1" x14ac:dyDescent="0.2">
      <c r="A461" s="61"/>
      <c r="B461" s="74"/>
      <c r="C461" s="74"/>
      <c r="D461" s="74"/>
      <c r="E461" s="70"/>
      <c r="F461" s="70"/>
      <c r="G461" s="70"/>
      <c r="H461" s="70"/>
      <c r="I461" s="70"/>
      <c r="J461" s="70"/>
      <c r="K461" s="70"/>
      <c r="L461" s="70"/>
      <c r="M461" s="70"/>
      <c r="N461" s="71"/>
      <c r="O461" s="71"/>
      <c r="P461" s="72"/>
      <c r="Q461" s="76"/>
      <c r="R461" s="76"/>
      <c r="S461" s="76"/>
      <c r="T461" s="69"/>
    </row>
    <row r="462" spans="1:20" ht="14.1" customHeight="1" x14ac:dyDescent="0.2">
      <c r="A462" s="61"/>
      <c r="B462" s="74"/>
      <c r="C462" s="74"/>
      <c r="D462" s="74"/>
      <c r="E462" s="70"/>
      <c r="F462" s="70"/>
      <c r="G462" s="70"/>
      <c r="H462" s="70"/>
      <c r="I462" s="70"/>
      <c r="J462" s="70"/>
      <c r="K462" s="70"/>
      <c r="L462" s="70"/>
      <c r="M462" s="70"/>
      <c r="N462" s="71"/>
      <c r="O462" s="71"/>
      <c r="P462" s="72"/>
      <c r="Q462" s="76"/>
      <c r="R462" s="76"/>
      <c r="S462" s="76"/>
      <c r="T462" s="69"/>
    </row>
    <row r="463" spans="1:20" ht="14.1" customHeight="1" x14ac:dyDescent="0.2">
      <c r="A463" s="61"/>
      <c r="B463" s="74"/>
      <c r="C463" s="74"/>
      <c r="D463" s="74"/>
      <c r="E463" s="70"/>
      <c r="F463" s="70"/>
      <c r="G463" s="70"/>
      <c r="H463" s="70"/>
      <c r="I463" s="70"/>
      <c r="J463" s="70"/>
      <c r="K463" s="70"/>
      <c r="L463" s="70"/>
      <c r="M463" s="70"/>
      <c r="N463" s="71"/>
      <c r="O463" s="71"/>
      <c r="P463" s="72"/>
      <c r="Q463" s="76"/>
      <c r="R463" s="76"/>
      <c r="S463" s="76"/>
      <c r="T463" s="69"/>
    </row>
    <row r="464" spans="1:20" ht="14.1" customHeight="1" x14ac:dyDescent="0.2">
      <c r="A464" s="61"/>
      <c r="B464" s="74"/>
      <c r="C464" s="74"/>
      <c r="D464" s="74"/>
      <c r="E464" s="70"/>
      <c r="F464" s="70"/>
      <c r="G464" s="70"/>
      <c r="H464" s="70"/>
      <c r="I464" s="70"/>
      <c r="J464" s="70"/>
      <c r="K464" s="70"/>
      <c r="L464" s="70"/>
      <c r="M464" s="70"/>
      <c r="N464" s="71"/>
      <c r="O464" s="71"/>
      <c r="P464" s="72"/>
      <c r="Q464" s="76"/>
      <c r="R464" s="76"/>
      <c r="S464" s="76"/>
      <c r="T464" s="69"/>
    </row>
    <row r="465" spans="1:20" ht="14.1" customHeight="1" x14ac:dyDescent="0.2">
      <c r="A465" s="61"/>
      <c r="B465" s="74"/>
      <c r="C465" s="74"/>
      <c r="D465" s="74"/>
      <c r="E465" s="70"/>
      <c r="F465" s="70"/>
      <c r="G465" s="70"/>
      <c r="H465" s="70"/>
      <c r="I465" s="70"/>
      <c r="J465" s="70"/>
      <c r="K465" s="70"/>
      <c r="L465" s="70"/>
      <c r="M465" s="70"/>
      <c r="N465" s="71"/>
      <c r="O465" s="71"/>
      <c r="P465" s="72"/>
      <c r="Q465" s="76"/>
      <c r="R465" s="76"/>
      <c r="S465" s="76"/>
      <c r="T465" s="69"/>
    </row>
    <row r="466" spans="1:20" ht="14.1" customHeight="1" x14ac:dyDescent="0.2">
      <c r="A466" s="61"/>
      <c r="B466" s="74"/>
      <c r="C466" s="74"/>
      <c r="D466" s="74"/>
      <c r="E466" s="70"/>
      <c r="F466" s="70"/>
      <c r="G466" s="70"/>
      <c r="H466" s="70"/>
      <c r="I466" s="70"/>
      <c r="J466" s="70"/>
      <c r="K466" s="70"/>
      <c r="L466" s="70"/>
      <c r="M466" s="70"/>
      <c r="N466" s="71"/>
      <c r="O466" s="71"/>
      <c r="P466" s="72"/>
      <c r="Q466" s="76"/>
      <c r="R466" s="76"/>
      <c r="S466" s="76"/>
      <c r="T466" s="69"/>
    </row>
    <row r="467" spans="1:20" ht="14.1" customHeight="1" x14ac:dyDescent="0.2">
      <c r="A467" s="61"/>
      <c r="B467" s="74"/>
      <c r="C467" s="74"/>
      <c r="D467" s="74"/>
      <c r="E467" s="70"/>
      <c r="F467" s="70"/>
      <c r="G467" s="70"/>
      <c r="H467" s="70"/>
      <c r="I467" s="70"/>
      <c r="J467" s="70"/>
      <c r="K467" s="70"/>
      <c r="L467" s="70"/>
      <c r="M467" s="70"/>
      <c r="N467" s="71"/>
      <c r="O467" s="71"/>
      <c r="P467" s="72"/>
      <c r="Q467" s="76"/>
      <c r="R467" s="76"/>
      <c r="S467" s="76"/>
      <c r="T467" s="69"/>
    </row>
    <row r="468" spans="1:20" ht="14.1" customHeight="1" x14ac:dyDescent="0.2">
      <c r="A468" s="61"/>
      <c r="B468" s="74"/>
      <c r="C468" s="74"/>
      <c r="D468" s="74"/>
      <c r="E468" s="70"/>
      <c r="F468" s="70"/>
      <c r="G468" s="70"/>
      <c r="H468" s="70"/>
      <c r="I468" s="70"/>
      <c r="J468" s="70"/>
      <c r="K468" s="70"/>
      <c r="L468" s="70"/>
      <c r="M468" s="70"/>
      <c r="N468" s="71"/>
      <c r="O468" s="71"/>
      <c r="P468" s="72"/>
      <c r="Q468" s="76"/>
      <c r="R468" s="76"/>
      <c r="S468" s="76"/>
      <c r="T468" s="69"/>
    </row>
    <row r="469" spans="1:20" ht="14.1" customHeight="1" x14ac:dyDescent="0.2">
      <c r="A469" s="61"/>
      <c r="B469" s="74"/>
      <c r="C469" s="74"/>
      <c r="D469" s="74"/>
      <c r="E469" s="70"/>
      <c r="F469" s="70"/>
      <c r="G469" s="70"/>
      <c r="H469" s="70"/>
      <c r="I469" s="70"/>
      <c r="J469" s="70"/>
      <c r="K469" s="70"/>
      <c r="L469" s="70"/>
      <c r="M469" s="70"/>
      <c r="N469" s="71"/>
      <c r="O469" s="71"/>
      <c r="P469" s="72"/>
      <c r="Q469" s="76"/>
      <c r="R469" s="76"/>
      <c r="S469" s="76"/>
      <c r="T469" s="69"/>
    </row>
    <row r="470" spans="1:20" ht="14.1" customHeight="1" x14ac:dyDescent="0.2">
      <c r="A470" s="61"/>
      <c r="B470" s="74"/>
      <c r="C470" s="74"/>
      <c r="D470" s="74"/>
      <c r="E470" s="70"/>
      <c r="F470" s="70"/>
      <c r="G470" s="70"/>
      <c r="H470" s="70"/>
      <c r="I470" s="70"/>
      <c r="J470" s="70"/>
      <c r="K470" s="70"/>
      <c r="L470" s="70"/>
      <c r="M470" s="70"/>
      <c r="N470" s="71"/>
      <c r="O470" s="71"/>
      <c r="P470" s="72"/>
      <c r="Q470" s="76"/>
      <c r="R470" s="76"/>
      <c r="S470" s="76"/>
      <c r="T470" s="69"/>
    </row>
    <row r="471" spans="1:20" ht="14.1" customHeight="1" x14ac:dyDescent="0.2">
      <c r="A471" s="61"/>
      <c r="B471" s="74"/>
      <c r="C471" s="74"/>
      <c r="D471" s="74"/>
      <c r="E471" s="70"/>
      <c r="F471" s="70"/>
      <c r="G471" s="70"/>
      <c r="H471" s="70"/>
      <c r="I471" s="70"/>
      <c r="J471" s="70"/>
      <c r="K471" s="70"/>
      <c r="L471" s="70"/>
      <c r="M471" s="70"/>
      <c r="N471" s="71"/>
      <c r="O471" s="71"/>
      <c r="P471" s="72"/>
      <c r="Q471" s="76"/>
      <c r="R471" s="76"/>
      <c r="S471" s="76"/>
      <c r="T471" s="69"/>
    </row>
    <row r="472" spans="1:20" ht="14.1" customHeight="1" x14ac:dyDescent="0.2">
      <c r="A472" s="61"/>
      <c r="B472" s="74"/>
      <c r="C472" s="74"/>
      <c r="D472" s="74"/>
      <c r="E472" s="70"/>
      <c r="F472" s="70"/>
      <c r="G472" s="70"/>
      <c r="H472" s="70"/>
      <c r="I472" s="70"/>
      <c r="J472" s="70"/>
      <c r="K472" s="70"/>
      <c r="L472" s="70"/>
      <c r="M472" s="70"/>
      <c r="N472" s="71"/>
      <c r="O472" s="71"/>
      <c r="P472" s="72"/>
      <c r="Q472" s="76"/>
      <c r="R472" s="76"/>
      <c r="S472" s="76"/>
      <c r="T472" s="69"/>
    </row>
    <row r="473" spans="1:20" ht="14.1" customHeight="1" x14ac:dyDescent="0.2">
      <c r="A473" s="61"/>
      <c r="B473" s="74"/>
      <c r="C473" s="74"/>
      <c r="D473" s="74"/>
      <c r="E473" s="70"/>
      <c r="F473" s="70"/>
      <c r="G473" s="70"/>
      <c r="H473" s="70"/>
      <c r="I473" s="70"/>
      <c r="J473" s="70"/>
      <c r="K473" s="70"/>
      <c r="L473" s="70"/>
      <c r="M473" s="70"/>
      <c r="N473" s="71"/>
      <c r="O473" s="71"/>
      <c r="P473" s="72"/>
      <c r="Q473" s="76"/>
      <c r="R473" s="76"/>
      <c r="S473" s="76"/>
      <c r="T473" s="69"/>
    </row>
    <row r="474" spans="1:20" ht="14.1" customHeight="1" x14ac:dyDescent="0.2">
      <c r="A474" s="61"/>
      <c r="B474" s="74"/>
      <c r="C474" s="74"/>
      <c r="D474" s="74"/>
      <c r="E474" s="70"/>
      <c r="F474" s="70"/>
      <c r="G474" s="70"/>
      <c r="H474" s="70"/>
      <c r="I474" s="70"/>
      <c r="J474" s="70"/>
      <c r="K474" s="70"/>
      <c r="L474" s="70"/>
      <c r="M474" s="70"/>
      <c r="N474" s="71"/>
      <c r="O474" s="71"/>
      <c r="P474" s="72"/>
      <c r="Q474" s="76"/>
      <c r="R474" s="76"/>
      <c r="S474" s="76"/>
      <c r="T474" s="69"/>
    </row>
    <row r="475" spans="1:20" ht="14.1" customHeight="1" x14ac:dyDescent="0.2">
      <c r="A475" s="61"/>
      <c r="B475" s="74"/>
      <c r="C475" s="74"/>
      <c r="D475" s="74"/>
      <c r="E475" s="70"/>
      <c r="F475" s="70"/>
      <c r="G475" s="70"/>
      <c r="H475" s="70"/>
      <c r="I475" s="70"/>
      <c r="J475" s="70"/>
      <c r="K475" s="70"/>
      <c r="L475" s="70"/>
      <c r="M475" s="70"/>
      <c r="N475" s="71"/>
      <c r="O475" s="71"/>
      <c r="P475" s="72"/>
      <c r="Q475" s="76"/>
      <c r="R475" s="76"/>
      <c r="S475" s="76"/>
      <c r="T475" s="69"/>
    </row>
    <row r="476" spans="1:20" ht="14.1" customHeight="1" x14ac:dyDescent="0.2">
      <c r="A476" s="61"/>
      <c r="B476" s="74"/>
      <c r="C476" s="74"/>
      <c r="D476" s="74"/>
      <c r="E476" s="70"/>
      <c r="F476" s="70"/>
      <c r="G476" s="70"/>
      <c r="H476" s="70"/>
      <c r="I476" s="70"/>
      <c r="J476" s="70"/>
      <c r="K476" s="70"/>
      <c r="L476" s="70"/>
      <c r="M476" s="70"/>
      <c r="N476" s="71"/>
      <c r="O476" s="71"/>
      <c r="P476" s="72"/>
      <c r="Q476" s="76"/>
      <c r="R476" s="76"/>
      <c r="S476" s="76"/>
      <c r="T476" s="69"/>
    </row>
    <row r="477" spans="1:20" ht="14.1" customHeight="1" x14ac:dyDescent="0.2">
      <c r="A477" s="61"/>
      <c r="B477" s="74"/>
      <c r="C477" s="74"/>
      <c r="D477" s="74"/>
      <c r="E477" s="70"/>
      <c r="F477" s="70"/>
      <c r="G477" s="70"/>
      <c r="H477" s="70"/>
      <c r="I477" s="70"/>
      <c r="J477" s="70"/>
      <c r="K477" s="70"/>
      <c r="L477" s="70"/>
      <c r="M477" s="70"/>
      <c r="N477" s="71"/>
      <c r="O477" s="71"/>
      <c r="P477" s="72"/>
      <c r="Q477" s="76"/>
      <c r="R477" s="76"/>
      <c r="S477" s="76"/>
      <c r="T477" s="69"/>
    </row>
    <row r="478" spans="1:20" ht="14.1" customHeight="1" x14ac:dyDescent="0.2">
      <c r="A478" s="61"/>
      <c r="B478" s="74"/>
      <c r="C478" s="74"/>
      <c r="D478" s="74"/>
      <c r="E478" s="70"/>
      <c r="F478" s="70"/>
      <c r="G478" s="70"/>
      <c r="H478" s="70"/>
      <c r="I478" s="70"/>
      <c r="J478" s="70"/>
      <c r="K478" s="70"/>
      <c r="L478" s="70"/>
      <c r="M478" s="70"/>
      <c r="N478" s="71"/>
      <c r="O478" s="71"/>
      <c r="P478" s="72"/>
      <c r="Q478" s="76"/>
      <c r="R478" s="76"/>
      <c r="S478" s="76"/>
      <c r="T478" s="69"/>
    </row>
    <row r="479" spans="1:20" ht="14.1" customHeight="1" x14ac:dyDescent="0.2">
      <c r="A479" s="61"/>
      <c r="B479" s="74"/>
      <c r="C479" s="74"/>
      <c r="D479" s="74"/>
      <c r="E479" s="70"/>
      <c r="F479" s="70"/>
      <c r="G479" s="70"/>
      <c r="H479" s="70"/>
      <c r="I479" s="70"/>
      <c r="J479" s="70"/>
      <c r="K479" s="70"/>
      <c r="L479" s="70"/>
      <c r="M479" s="70"/>
      <c r="N479" s="71"/>
      <c r="O479" s="71"/>
      <c r="P479" s="72"/>
      <c r="Q479" s="76"/>
      <c r="R479" s="76"/>
      <c r="S479" s="76"/>
      <c r="T479" s="69"/>
    </row>
    <row r="480" spans="1:20" ht="14.1" customHeight="1" x14ac:dyDescent="0.2">
      <c r="A480" s="61"/>
      <c r="B480" s="74"/>
      <c r="C480" s="74"/>
      <c r="D480" s="74"/>
      <c r="E480" s="70"/>
      <c r="F480" s="70"/>
      <c r="G480" s="70"/>
      <c r="H480" s="70"/>
      <c r="I480" s="70"/>
      <c r="J480" s="70"/>
      <c r="K480" s="70"/>
      <c r="L480" s="70"/>
      <c r="M480" s="70"/>
      <c r="N480" s="71"/>
      <c r="O480" s="71"/>
      <c r="P480" s="72"/>
      <c r="Q480" s="76"/>
      <c r="R480" s="76"/>
      <c r="S480" s="76"/>
      <c r="T480" s="69"/>
    </row>
    <row r="481" spans="1:20" ht="14.1" customHeight="1" x14ac:dyDescent="0.2">
      <c r="A481" s="61"/>
      <c r="B481" s="74"/>
      <c r="C481" s="74"/>
      <c r="D481" s="74"/>
      <c r="E481" s="70"/>
      <c r="F481" s="70"/>
      <c r="G481" s="70"/>
      <c r="H481" s="70"/>
      <c r="I481" s="70"/>
      <c r="J481" s="70"/>
      <c r="K481" s="70"/>
      <c r="L481" s="70"/>
      <c r="M481" s="70"/>
      <c r="N481" s="71"/>
      <c r="O481" s="71"/>
      <c r="P481" s="72"/>
      <c r="Q481" s="76"/>
      <c r="R481" s="76"/>
      <c r="S481" s="76"/>
      <c r="T481" s="69"/>
    </row>
    <row r="482" spans="1:20" ht="14.1" customHeight="1" x14ac:dyDescent="0.2">
      <c r="A482" s="61"/>
      <c r="B482" s="74"/>
      <c r="C482" s="74"/>
      <c r="D482" s="74"/>
      <c r="E482" s="70"/>
      <c r="F482" s="70"/>
      <c r="G482" s="70"/>
      <c r="H482" s="70"/>
      <c r="I482" s="70"/>
      <c r="J482" s="70"/>
      <c r="K482" s="70"/>
      <c r="L482" s="70"/>
      <c r="M482" s="70"/>
      <c r="N482" s="71"/>
      <c r="O482" s="71"/>
      <c r="P482" s="72"/>
      <c r="Q482" s="76"/>
      <c r="R482" s="76"/>
      <c r="S482" s="76"/>
      <c r="T482" s="69"/>
    </row>
    <row r="483" spans="1:20" ht="14.1" customHeight="1" x14ac:dyDescent="0.2">
      <c r="A483" s="61"/>
      <c r="B483" s="74"/>
      <c r="C483" s="74"/>
      <c r="D483" s="74"/>
      <c r="E483" s="70"/>
      <c r="F483" s="70"/>
      <c r="G483" s="70"/>
      <c r="H483" s="70"/>
      <c r="I483" s="70"/>
      <c r="J483" s="70"/>
      <c r="K483" s="70"/>
      <c r="L483" s="70"/>
      <c r="M483" s="70"/>
      <c r="N483" s="71"/>
      <c r="O483" s="71"/>
      <c r="P483" s="72"/>
      <c r="Q483" s="76"/>
      <c r="R483" s="76"/>
      <c r="S483" s="76"/>
      <c r="T483" s="69"/>
    </row>
    <row r="484" spans="1:20" ht="14.1" customHeight="1" x14ac:dyDescent="0.2">
      <c r="A484" s="61"/>
      <c r="B484" s="74"/>
      <c r="C484" s="74"/>
      <c r="D484" s="74"/>
      <c r="E484" s="70"/>
      <c r="F484" s="70"/>
      <c r="G484" s="70"/>
      <c r="H484" s="70"/>
      <c r="I484" s="70"/>
      <c r="J484" s="70"/>
      <c r="K484" s="70"/>
      <c r="L484" s="70"/>
      <c r="M484" s="70"/>
      <c r="N484" s="71"/>
      <c r="O484" s="71"/>
      <c r="P484" s="72"/>
      <c r="Q484" s="76"/>
      <c r="R484" s="76"/>
      <c r="S484" s="76"/>
      <c r="T484" s="69"/>
    </row>
    <row r="485" spans="1:20" ht="14.1" customHeight="1" x14ac:dyDescent="0.2">
      <c r="A485" s="61"/>
      <c r="B485" s="74"/>
      <c r="C485" s="74"/>
      <c r="D485" s="74"/>
      <c r="E485" s="70"/>
      <c r="F485" s="70"/>
      <c r="G485" s="70"/>
      <c r="H485" s="70"/>
      <c r="I485" s="70"/>
      <c r="J485" s="70"/>
      <c r="K485" s="70"/>
      <c r="L485" s="70"/>
      <c r="M485" s="70"/>
      <c r="N485" s="71"/>
      <c r="O485" s="71"/>
      <c r="P485" s="72"/>
      <c r="Q485" s="76"/>
      <c r="R485" s="76"/>
      <c r="S485" s="76"/>
      <c r="T485" s="69"/>
    </row>
    <row r="486" spans="1:20" ht="14.1" customHeight="1" x14ac:dyDescent="0.2">
      <c r="A486" s="61"/>
      <c r="B486" s="74"/>
      <c r="C486" s="74"/>
      <c r="D486" s="74"/>
      <c r="E486" s="70"/>
      <c r="F486" s="70"/>
      <c r="G486" s="70"/>
      <c r="H486" s="70"/>
      <c r="I486" s="70"/>
      <c r="J486" s="70"/>
      <c r="K486" s="70"/>
      <c r="L486" s="70"/>
      <c r="M486" s="70"/>
      <c r="N486" s="71"/>
      <c r="O486" s="71"/>
      <c r="P486" s="72"/>
      <c r="Q486" s="76"/>
      <c r="R486" s="76"/>
      <c r="S486" s="76"/>
      <c r="T486" s="69"/>
    </row>
    <row r="487" spans="1:20" ht="14.1" customHeight="1" x14ac:dyDescent="0.2">
      <c r="A487" s="61"/>
      <c r="B487" s="74"/>
      <c r="C487" s="74"/>
      <c r="D487" s="74"/>
      <c r="E487" s="70"/>
      <c r="F487" s="70"/>
      <c r="G487" s="70"/>
      <c r="H487" s="70"/>
      <c r="I487" s="70"/>
      <c r="J487" s="70"/>
      <c r="K487" s="70"/>
      <c r="L487" s="70"/>
      <c r="M487" s="70"/>
      <c r="N487" s="71"/>
      <c r="O487" s="71"/>
      <c r="P487" s="72"/>
      <c r="Q487" s="76"/>
      <c r="R487" s="76"/>
      <c r="S487" s="76"/>
      <c r="T487" s="69"/>
    </row>
    <row r="488" spans="1:20" ht="14.1" customHeight="1" x14ac:dyDescent="0.2">
      <c r="A488" s="61"/>
      <c r="B488" s="74"/>
      <c r="C488" s="74"/>
      <c r="D488" s="74"/>
      <c r="E488" s="70"/>
      <c r="F488" s="70"/>
      <c r="G488" s="70"/>
      <c r="H488" s="70"/>
      <c r="I488" s="70"/>
      <c r="J488" s="70"/>
      <c r="K488" s="70"/>
      <c r="L488" s="70"/>
      <c r="M488" s="70"/>
      <c r="N488" s="71"/>
      <c r="O488" s="71"/>
      <c r="P488" s="72"/>
      <c r="Q488" s="76"/>
      <c r="R488" s="76"/>
      <c r="S488" s="76"/>
      <c r="T488" s="69"/>
    </row>
    <row r="489" spans="1:20" ht="14.1" customHeight="1" x14ac:dyDescent="0.2">
      <c r="A489" s="61"/>
      <c r="B489" s="74"/>
      <c r="C489" s="74"/>
      <c r="D489" s="74"/>
      <c r="E489" s="70"/>
      <c r="F489" s="70"/>
      <c r="G489" s="70"/>
      <c r="H489" s="70"/>
      <c r="I489" s="70"/>
      <c r="J489" s="70"/>
      <c r="K489" s="70"/>
      <c r="L489" s="70"/>
      <c r="M489" s="70"/>
      <c r="N489" s="71"/>
      <c r="O489" s="71"/>
      <c r="P489" s="72"/>
      <c r="Q489" s="76"/>
      <c r="R489" s="76"/>
      <c r="S489" s="76"/>
      <c r="T489" s="69"/>
    </row>
    <row r="490" spans="1:20" ht="14.1" customHeight="1" x14ac:dyDescent="0.2">
      <c r="A490" s="61"/>
      <c r="B490" s="74"/>
      <c r="C490" s="74"/>
      <c r="D490" s="74"/>
      <c r="E490" s="70"/>
      <c r="F490" s="70"/>
      <c r="G490" s="70"/>
      <c r="H490" s="70"/>
      <c r="I490" s="70"/>
      <c r="J490" s="70"/>
      <c r="K490" s="70"/>
      <c r="L490" s="70"/>
      <c r="M490" s="70"/>
      <c r="N490" s="71"/>
      <c r="O490" s="71"/>
      <c r="P490" s="72"/>
      <c r="Q490" s="76"/>
      <c r="R490" s="76"/>
      <c r="S490" s="76"/>
      <c r="T490" s="69"/>
    </row>
    <row r="491" spans="1:20" ht="14.1" customHeight="1" x14ac:dyDescent="0.2">
      <c r="A491" s="61"/>
      <c r="B491" s="74"/>
      <c r="C491" s="74"/>
      <c r="D491" s="74"/>
      <c r="E491" s="70"/>
      <c r="F491" s="70"/>
      <c r="G491" s="70"/>
      <c r="H491" s="70"/>
      <c r="I491" s="70"/>
      <c r="J491" s="70"/>
      <c r="K491" s="70"/>
      <c r="L491" s="70"/>
      <c r="M491" s="70"/>
      <c r="N491" s="71"/>
      <c r="O491" s="71"/>
      <c r="P491" s="72"/>
      <c r="Q491" s="76"/>
      <c r="R491" s="76"/>
      <c r="S491" s="76"/>
      <c r="T491" s="69"/>
    </row>
    <row r="492" spans="1:20" ht="14.1" customHeight="1" x14ac:dyDescent="0.2">
      <c r="A492" s="61"/>
      <c r="B492" s="74"/>
      <c r="C492" s="74"/>
      <c r="D492" s="74"/>
      <c r="E492" s="70"/>
      <c r="F492" s="70"/>
      <c r="G492" s="70"/>
      <c r="H492" s="70"/>
      <c r="I492" s="70"/>
      <c r="J492" s="70"/>
      <c r="K492" s="70"/>
      <c r="L492" s="70"/>
      <c r="M492" s="70"/>
      <c r="N492" s="71"/>
      <c r="O492" s="71"/>
      <c r="P492" s="72"/>
      <c r="Q492" s="76"/>
      <c r="R492" s="76"/>
      <c r="S492" s="76"/>
      <c r="T492" s="69"/>
    </row>
    <row r="493" spans="1:20" ht="14.1" customHeight="1" x14ac:dyDescent="0.2">
      <c r="A493" s="61"/>
      <c r="B493" s="74"/>
      <c r="C493" s="74"/>
      <c r="D493" s="74"/>
      <c r="E493" s="70"/>
      <c r="F493" s="70"/>
      <c r="G493" s="70"/>
      <c r="H493" s="70"/>
      <c r="I493" s="70"/>
      <c r="J493" s="70"/>
      <c r="K493" s="70"/>
      <c r="L493" s="70"/>
      <c r="M493" s="70"/>
      <c r="N493" s="71"/>
      <c r="O493" s="71"/>
      <c r="P493" s="72"/>
      <c r="Q493" s="76"/>
      <c r="R493" s="76"/>
      <c r="S493" s="76"/>
      <c r="T493" s="69"/>
    </row>
    <row r="494" spans="1:20" ht="14.1" customHeight="1" x14ac:dyDescent="0.2">
      <c r="A494" s="61"/>
      <c r="B494" s="74"/>
      <c r="C494" s="74"/>
      <c r="D494" s="74"/>
      <c r="E494" s="70"/>
      <c r="F494" s="70"/>
      <c r="G494" s="70"/>
      <c r="H494" s="70"/>
      <c r="I494" s="70"/>
      <c r="J494" s="70"/>
      <c r="K494" s="70"/>
      <c r="L494" s="70"/>
      <c r="M494" s="70"/>
      <c r="N494" s="71"/>
      <c r="O494" s="71"/>
      <c r="P494" s="72"/>
      <c r="Q494" s="76"/>
      <c r="R494" s="76"/>
      <c r="S494" s="76"/>
      <c r="T494" s="69"/>
    </row>
    <row r="495" spans="1:20" ht="14.1" customHeight="1" x14ac:dyDescent="0.2">
      <c r="A495" s="61"/>
      <c r="B495" s="74"/>
      <c r="C495" s="74"/>
      <c r="D495" s="74"/>
      <c r="E495" s="70"/>
      <c r="F495" s="70"/>
      <c r="G495" s="70"/>
      <c r="H495" s="70"/>
      <c r="I495" s="70"/>
      <c r="J495" s="70"/>
      <c r="K495" s="70"/>
      <c r="L495" s="70"/>
      <c r="M495" s="70"/>
      <c r="N495" s="71"/>
      <c r="O495" s="71"/>
      <c r="P495" s="72"/>
      <c r="Q495" s="76"/>
      <c r="R495" s="76"/>
      <c r="S495" s="76"/>
      <c r="T495" s="69"/>
    </row>
    <row r="496" spans="1:20" ht="14.1" customHeight="1" x14ac:dyDescent="0.2">
      <c r="A496" s="61"/>
      <c r="B496" s="74"/>
      <c r="C496" s="74"/>
      <c r="D496" s="74"/>
      <c r="E496" s="70"/>
      <c r="F496" s="70"/>
      <c r="G496" s="70"/>
      <c r="H496" s="70"/>
      <c r="I496" s="70"/>
      <c r="J496" s="70"/>
      <c r="K496" s="70"/>
      <c r="L496" s="70"/>
      <c r="M496" s="70"/>
      <c r="N496" s="71"/>
      <c r="O496" s="71"/>
      <c r="P496" s="72"/>
      <c r="Q496" s="76"/>
      <c r="R496" s="76"/>
      <c r="S496" s="76"/>
      <c r="T496" s="69"/>
    </row>
    <row r="497" spans="1:20" ht="14.1" customHeight="1" x14ac:dyDescent="0.2">
      <c r="A497" s="61"/>
      <c r="B497" s="74"/>
      <c r="C497" s="74"/>
      <c r="D497" s="74"/>
      <c r="E497" s="70"/>
      <c r="F497" s="70"/>
      <c r="G497" s="70"/>
      <c r="H497" s="70"/>
      <c r="I497" s="70"/>
      <c r="J497" s="70"/>
      <c r="K497" s="70"/>
      <c r="L497" s="70"/>
      <c r="M497" s="70"/>
      <c r="N497" s="71"/>
      <c r="O497" s="71"/>
      <c r="P497" s="72"/>
      <c r="Q497" s="76"/>
      <c r="R497" s="76"/>
      <c r="S497" s="76"/>
      <c r="T497" s="69"/>
    </row>
    <row r="498" spans="1:20" ht="14.1" customHeight="1" x14ac:dyDescent="0.2">
      <c r="A498" s="61"/>
      <c r="B498" s="74"/>
      <c r="C498" s="74"/>
      <c r="D498" s="74"/>
      <c r="E498" s="70"/>
      <c r="F498" s="70"/>
      <c r="G498" s="70"/>
      <c r="H498" s="70"/>
      <c r="I498" s="70"/>
      <c r="J498" s="70"/>
      <c r="K498" s="70"/>
      <c r="L498" s="70"/>
      <c r="M498" s="70"/>
      <c r="N498" s="71"/>
      <c r="O498" s="71"/>
      <c r="P498" s="72"/>
      <c r="Q498" s="76"/>
      <c r="R498" s="76"/>
      <c r="S498" s="76"/>
      <c r="T498" s="69"/>
    </row>
    <row r="499" spans="1:20" ht="14.1" customHeight="1" x14ac:dyDescent="0.2">
      <c r="A499" s="61"/>
      <c r="B499" s="74"/>
      <c r="C499" s="74"/>
      <c r="D499" s="74"/>
      <c r="E499" s="70"/>
      <c r="F499" s="70"/>
      <c r="G499" s="70"/>
      <c r="H499" s="70"/>
      <c r="I499" s="70"/>
      <c r="J499" s="70"/>
      <c r="K499" s="70"/>
      <c r="L499" s="70"/>
      <c r="M499" s="70"/>
      <c r="N499" s="71"/>
      <c r="O499" s="71"/>
      <c r="P499" s="72"/>
      <c r="Q499" s="76"/>
      <c r="R499" s="76"/>
      <c r="S499" s="76"/>
      <c r="T499" s="69"/>
    </row>
    <row r="500" spans="1:20" ht="14.1" customHeight="1" x14ac:dyDescent="0.2">
      <c r="A500" s="61"/>
      <c r="B500" s="74"/>
      <c r="C500" s="74"/>
      <c r="D500" s="74"/>
      <c r="E500" s="70"/>
      <c r="F500" s="70"/>
      <c r="G500" s="70"/>
      <c r="H500" s="70"/>
      <c r="I500" s="70"/>
      <c r="J500" s="70"/>
      <c r="K500" s="70"/>
      <c r="L500" s="70"/>
      <c r="M500" s="70"/>
      <c r="N500" s="71"/>
      <c r="O500" s="71"/>
      <c r="P500" s="72"/>
      <c r="Q500" s="76"/>
      <c r="R500" s="76"/>
      <c r="S500" s="76"/>
      <c r="T500" s="69"/>
    </row>
    <row r="501" spans="1:20" ht="14.1" customHeight="1" x14ac:dyDescent="0.2">
      <c r="A501" s="61"/>
      <c r="B501" s="74"/>
      <c r="C501" s="74"/>
      <c r="D501" s="74"/>
      <c r="E501" s="70"/>
      <c r="F501" s="70"/>
      <c r="G501" s="70"/>
      <c r="H501" s="70"/>
      <c r="I501" s="70"/>
      <c r="J501" s="70"/>
      <c r="K501" s="70"/>
      <c r="L501" s="70"/>
      <c r="M501" s="70"/>
      <c r="N501" s="71"/>
      <c r="O501" s="71"/>
      <c r="P501" s="72"/>
      <c r="Q501" s="76"/>
      <c r="R501" s="76"/>
      <c r="S501" s="76"/>
      <c r="T501" s="69"/>
    </row>
    <row r="502" spans="1:20" ht="14.1" customHeight="1" x14ac:dyDescent="0.2">
      <c r="A502" s="61"/>
      <c r="B502" s="74"/>
      <c r="C502" s="74"/>
      <c r="D502" s="74"/>
      <c r="E502" s="70"/>
      <c r="F502" s="70"/>
      <c r="G502" s="70"/>
      <c r="H502" s="70"/>
      <c r="I502" s="70"/>
      <c r="J502" s="70"/>
      <c r="K502" s="70"/>
      <c r="L502" s="70"/>
      <c r="M502" s="70"/>
      <c r="N502" s="71"/>
      <c r="O502" s="71"/>
      <c r="P502" s="72"/>
      <c r="Q502" s="76"/>
      <c r="R502" s="76"/>
      <c r="S502" s="76"/>
      <c r="T502" s="69"/>
    </row>
    <row r="503" spans="1:20" ht="14.1" customHeight="1" x14ac:dyDescent="0.2">
      <c r="A503" s="61"/>
      <c r="B503" s="74"/>
      <c r="C503" s="74"/>
      <c r="D503" s="74"/>
      <c r="E503" s="70"/>
      <c r="F503" s="70"/>
      <c r="G503" s="70"/>
      <c r="H503" s="70"/>
      <c r="I503" s="70"/>
      <c r="J503" s="70"/>
      <c r="K503" s="70"/>
      <c r="L503" s="70"/>
      <c r="M503" s="70"/>
      <c r="N503" s="71"/>
      <c r="O503" s="71"/>
      <c r="P503" s="72"/>
      <c r="Q503" s="76"/>
      <c r="R503" s="76"/>
      <c r="S503" s="76"/>
      <c r="T503" s="69"/>
    </row>
    <row r="504" spans="1:20" ht="14.1" customHeight="1" x14ac:dyDescent="0.2">
      <c r="A504" s="61"/>
      <c r="B504" s="74"/>
      <c r="C504" s="74"/>
      <c r="D504" s="74"/>
      <c r="E504" s="70"/>
      <c r="F504" s="70"/>
      <c r="G504" s="70"/>
      <c r="H504" s="70"/>
      <c r="I504" s="70"/>
      <c r="J504" s="70"/>
      <c r="K504" s="70"/>
      <c r="L504" s="70"/>
      <c r="M504" s="70"/>
      <c r="N504" s="71"/>
      <c r="O504" s="71"/>
      <c r="P504" s="72"/>
      <c r="Q504" s="76"/>
      <c r="R504" s="76"/>
      <c r="S504" s="76"/>
      <c r="T504" s="69"/>
    </row>
    <row r="505" spans="1:20" ht="14.1" customHeight="1" x14ac:dyDescent="0.2">
      <c r="A505" s="61"/>
      <c r="B505" s="74"/>
      <c r="C505" s="74"/>
      <c r="D505" s="74"/>
      <c r="E505" s="70"/>
      <c r="F505" s="70"/>
      <c r="G505" s="70"/>
      <c r="H505" s="70"/>
      <c r="I505" s="70"/>
      <c r="J505" s="70"/>
      <c r="K505" s="70"/>
      <c r="L505" s="70"/>
      <c r="M505" s="70"/>
      <c r="N505" s="71"/>
      <c r="O505" s="71"/>
      <c r="P505" s="72"/>
      <c r="Q505" s="76"/>
      <c r="R505" s="76"/>
      <c r="S505" s="76"/>
      <c r="T505" s="69"/>
    </row>
    <row r="506" spans="1:20" ht="14.1" customHeight="1" x14ac:dyDescent="0.2">
      <c r="A506" s="61"/>
      <c r="B506" s="74"/>
      <c r="C506" s="74"/>
      <c r="D506" s="74"/>
      <c r="E506" s="70"/>
      <c r="F506" s="70"/>
      <c r="G506" s="70"/>
      <c r="H506" s="70"/>
      <c r="I506" s="70"/>
      <c r="J506" s="70"/>
      <c r="K506" s="70"/>
      <c r="L506" s="70"/>
      <c r="M506" s="70"/>
      <c r="N506" s="71"/>
      <c r="O506" s="71"/>
      <c r="P506" s="72"/>
      <c r="Q506" s="76"/>
      <c r="R506" s="76"/>
      <c r="S506" s="76"/>
      <c r="T506" s="69"/>
    </row>
    <row r="507" spans="1:20" ht="14.1" customHeight="1" x14ac:dyDescent="0.2">
      <c r="A507" s="61"/>
      <c r="B507" s="74"/>
      <c r="C507" s="74"/>
      <c r="D507" s="74"/>
      <c r="E507" s="70"/>
      <c r="F507" s="70"/>
      <c r="G507" s="70"/>
      <c r="H507" s="70"/>
      <c r="I507" s="70"/>
      <c r="J507" s="70"/>
      <c r="K507" s="70"/>
      <c r="L507" s="70"/>
      <c r="M507" s="70"/>
      <c r="N507" s="71"/>
      <c r="O507" s="71"/>
      <c r="P507" s="72"/>
      <c r="Q507" s="76"/>
      <c r="R507" s="76"/>
      <c r="S507" s="76"/>
      <c r="T507" s="69"/>
    </row>
    <row r="508" spans="1:20" ht="14.1" customHeight="1" x14ac:dyDescent="0.2">
      <c r="A508" s="61"/>
      <c r="B508" s="74"/>
      <c r="C508" s="74"/>
      <c r="D508" s="74"/>
      <c r="E508" s="70"/>
      <c r="F508" s="70"/>
      <c r="G508" s="70"/>
      <c r="H508" s="70"/>
      <c r="I508" s="70"/>
      <c r="J508" s="70"/>
      <c r="K508" s="70"/>
      <c r="L508" s="70"/>
      <c r="M508" s="70"/>
      <c r="N508" s="71"/>
      <c r="O508" s="71"/>
      <c r="P508" s="72"/>
      <c r="Q508" s="76"/>
      <c r="R508" s="76"/>
      <c r="S508" s="76"/>
      <c r="T508" s="69"/>
    </row>
    <row r="509" spans="1:20" ht="14.1" customHeight="1" x14ac:dyDescent="0.2">
      <c r="A509" s="61"/>
      <c r="B509" s="74"/>
      <c r="C509" s="74"/>
      <c r="D509" s="74"/>
      <c r="E509" s="70"/>
      <c r="F509" s="70"/>
      <c r="G509" s="70"/>
      <c r="H509" s="70"/>
      <c r="I509" s="70"/>
      <c r="J509" s="70"/>
      <c r="K509" s="70"/>
      <c r="L509" s="70"/>
      <c r="M509" s="70"/>
      <c r="N509" s="71"/>
      <c r="O509" s="71"/>
      <c r="P509" s="72"/>
      <c r="Q509" s="76"/>
      <c r="R509" s="76"/>
      <c r="S509" s="76"/>
      <c r="T509" s="69"/>
    </row>
    <row r="510" spans="1:20" ht="14.1" customHeight="1" x14ac:dyDescent="0.2">
      <c r="A510" s="61"/>
      <c r="B510" s="74"/>
      <c r="C510" s="74"/>
      <c r="D510" s="74"/>
      <c r="E510" s="70"/>
      <c r="F510" s="70"/>
      <c r="G510" s="70"/>
      <c r="H510" s="70"/>
      <c r="I510" s="70"/>
      <c r="J510" s="70"/>
      <c r="K510" s="70"/>
      <c r="L510" s="70"/>
      <c r="M510" s="70"/>
      <c r="N510" s="71"/>
      <c r="O510" s="71"/>
      <c r="P510" s="72"/>
      <c r="Q510" s="76"/>
      <c r="R510" s="76"/>
      <c r="S510" s="76"/>
      <c r="T510" s="69"/>
    </row>
    <row r="511" spans="1:20" ht="14.1" customHeight="1" x14ac:dyDescent="0.2">
      <c r="A511" s="61"/>
      <c r="B511" s="74"/>
      <c r="C511" s="74"/>
      <c r="D511" s="74"/>
      <c r="E511" s="70"/>
      <c r="F511" s="70"/>
      <c r="G511" s="70"/>
      <c r="H511" s="70"/>
      <c r="I511" s="70"/>
      <c r="J511" s="70"/>
      <c r="K511" s="70"/>
      <c r="L511" s="70"/>
      <c r="M511" s="70"/>
      <c r="N511" s="71"/>
      <c r="O511" s="71"/>
      <c r="P511" s="72"/>
      <c r="Q511" s="76"/>
      <c r="R511" s="76"/>
      <c r="S511" s="76"/>
      <c r="T511" s="69"/>
    </row>
    <row r="512" spans="1:20" ht="14.1" customHeight="1" x14ac:dyDescent="0.2">
      <c r="A512" s="61"/>
      <c r="B512" s="74"/>
      <c r="C512" s="74"/>
      <c r="D512" s="74"/>
      <c r="E512" s="70"/>
      <c r="F512" s="70"/>
      <c r="G512" s="70"/>
      <c r="H512" s="70"/>
      <c r="I512" s="70"/>
      <c r="J512" s="70"/>
      <c r="K512" s="70"/>
      <c r="L512" s="70"/>
      <c r="M512" s="70"/>
      <c r="N512" s="71"/>
      <c r="O512" s="71"/>
      <c r="P512" s="72"/>
      <c r="Q512" s="76"/>
      <c r="R512" s="76"/>
      <c r="S512" s="76"/>
      <c r="T512" s="69"/>
    </row>
    <row r="513" spans="1:20" ht="14.1" customHeight="1" x14ac:dyDescent="0.2">
      <c r="A513" s="61"/>
      <c r="B513" s="74"/>
      <c r="C513" s="74"/>
      <c r="D513" s="74"/>
      <c r="E513" s="70"/>
      <c r="F513" s="70"/>
      <c r="G513" s="70"/>
      <c r="H513" s="70"/>
      <c r="I513" s="70"/>
      <c r="J513" s="70"/>
      <c r="K513" s="70"/>
      <c r="L513" s="70"/>
      <c r="M513" s="70"/>
      <c r="N513" s="71"/>
      <c r="O513" s="71"/>
      <c r="P513" s="72"/>
      <c r="Q513" s="76"/>
      <c r="R513" s="76"/>
      <c r="S513" s="76"/>
      <c r="T513" s="69"/>
    </row>
    <row r="514" spans="1:20" ht="14.1" customHeight="1" x14ac:dyDescent="0.2">
      <c r="A514" s="61"/>
      <c r="B514" s="74"/>
      <c r="C514" s="74"/>
      <c r="D514" s="74"/>
      <c r="E514" s="70"/>
      <c r="F514" s="70"/>
      <c r="G514" s="70"/>
      <c r="H514" s="70"/>
      <c r="I514" s="70"/>
      <c r="J514" s="70"/>
      <c r="K514" s="70"/>
      <c r="L514" s="70"/>
      <c r="M514" s="70"/>
      <c r="N514" s="71"/>
      <c r="O514" s="71"/>
      <c r="P514" s="72"/>
      <c r="Q514" s="76"/>
      <c r="R514" s="76"/>
      <c r="S514" s="76"/>
      <c r="T514" s="69"/>
    </row>
    <row r="515" spans="1:20" ht="14.1" customHeight="1" x14ac:dyDescent="0.2">
      <c r="A515" s="61"/>
      <c r="B515" s="74"/>
      <c r="C515" s="74"/>
      <c r="D515" s="74"/>
      <c r="E515" s="70"/>
      <c r="F515" s="70"/>
      <c r="G515" s="70"/>
      <c r="H515" s="70"/>
      <c r="I515" s="70"/>
      <c r="J515" s="70"/>
      <c r="K515" s="70"/>
      <c r="L515" s="70"/>
      <c r="M515" s="70"/>
      <c r="N515" s="71"/>
      <c r="O515" s="71"/>
      <c r="P515" s="72"/>
      <c r="Q515" s="76"/>
      <c r="R515" s="76"/>
      <c r="S515" s="76"/>
      <c r="T515" s="69"/>
    </row>
    <row r="516" spans="1:20" ht="14.1" customHeight="1" x14ac:dyDescent="0.2">
      <c r="A516" s="61"/>
      <c r="B516" s="74"/>
      <c r="C516" s="74"/>
      <c r="D516" s="74"/>
      <c r="E516" s="70"/>
      <c r="F516" s="70"/>
      <c r="G516" s="70"/>
      <c r="H516" s="70"/>
      <c r="I516" s="70"/>
      <c r="J516" s="70"/>
      <c r="K516" s="70"/>
      <c r="L516" s="70"/>
      <c r="M516" s="70"/>
      <c r="N516" s="71"/>
      <c r="O516" s="71"/>
      <c r="P516" s="72"/>
      <c r="Q516" s="76"/>
      <c r="R516" s="76"/>
      <c r="S516" s="76"/>
      <c r="T516" s="69"/>
    </row>
    <row r="517" spans="1:20" ht="14.1" customHeight="1" x14ac:dyDescent="0.2">
      <c r="A517" s="61"/>
      <c r="B517" s="74"/>
      <c r="C517" s="74"/>
      <c r="D517" s="74"/>
      <c r="E517" s="70"/>
      <c r="F517" s="70"/>
      <c r="G517" s="70"/>
      <c r="H517" s="70"/>
      <c r="I517" s="70"/>
      <c r="J517" s="70"/>
      <c r="K517" s="70"/>
      <c r="L517" s="70"/>
      <c r="M517" s="70"/>
      <c r="N517" s="71"/>
      <c r="O517" s="71"/>
      <c r="P517" s="72"/>
      <c r="Q517" s="76"/>
      <c r="R517" s="76"/>
      <c r="S517" s="76"/>
      <c r="T517" s="69"/>
    </row>
    <row r="518" spans="1:20" ht="14.1" customHeight="1" x14ac:dyDescent="0.2">
      <c r="A518" s="61"/>
      <c r="B518" s="74"/>
      <c r="C518" s="74"/>
      <c r="D518" s="74"/>
      <c r="E518" s="70"/>
      <c r="F518" s="70"/>
      <c r="G518" s="70"/>
      <c r="H518" s="70"/>
      <c r="I518" s="70"/>
      <c r="J518" s="70"/>
      <c r="K518" s="70"/>
      <c r="L518" s="70"/>
      <c r="M518" s="70"/>
      <c r="N518" s="71"/>
      <c r="O518" s="71"/>
      <c r="P518" s="72"/>
      <c r="Q518" s="76"/>
      <c r="R518" s="76"/>
      <c r="S518" s="76"/>
      <c r="T518" s="69"/>
    </row>
    <row r="519" spans="1:20" ht="14.1" customHeight="1" x14ac:dyDescent="0.2">
      <c r="A519" s="61"/>
      <c r="B519" s="74"/>
      <c r="C519" s="74"/>
      <c r="D519" s="74"/>
      <c r="E519" s="70"/>
      <c r="F519" s="70"/>
      <c r="G519" s="70"/>
      <c r="H519" s="70"/>
      <c r="I519" s="70"/>
      <c r="J519" s="70"/>
      <c r="K519" s="70"/>
      <c r="L519" s="70"/>
      <c r="M519" s="70"/>
      <c r="N519" s="71"/>
      <c r="O519" s="71"/>
      <c r="P519" s="72"/>
      <c r="Q519" s="76"/>
      <c r="R519" s="76"/>
      <c r="S519" s="76"/>
      <c r="T519" s="69"/>
    </row>
    <row r="520" spans="1:20" ht="14.1" customHeight="1" x14ac:dyDescent="0.2">
      <c r="A520" s="61"/>
      <c r="B520" s="74"/>
      <c r="C520" s="74"/>
      <c r="D520" s="74"/>
      <c r="E520" s="70"/>
      <c r="F520" s="70"/>
      <c r="G520" s="70"/>
      <c r="H520" s="70"/>
      <c r="I520" s="70"/>
      <c r="J520" s="70"/>
      <c r="K520" s="70"/>
      <c r="L520" s="70"/>
      <c r="M520" s="70"/>
      <c r="N520" s="71"/>
      <c r="O520" s="71"/>
      <c r="P520" s="72"/>
      <c r="Q520" s="76"/>
      <c r="R520" s="76"/>
      <c r="S520" s="76"/>
      <c r="T520" s="69"/>
    </row>
    <row r="521" spans="1:20" ht="14.1" customHeight="1" x14ac:dyDescent="0.2">
      <c r="A521" s="61"/>
      <c r="B521" s="74"/>
      <c r="C521" s="74"/>
      <c r="D521" s="74"/>
      <c r="E521" s="70"/>
      <c r="F521" s="70"/>
      <c r="G521" s="70"/>
      <c r="H521" s="70"/>
      <c r="I521" s="70"/>
      <c r="J521" s="70"/>
      <c r="K521" s="70"/>
      <c r="L521" s="70"/>
      <c r="M521" s="70"/>
      <c r="N521" s="71"/>
      <c r="O521" s="71"/>
      <c r="P521" s="72"/>
      <c r="Q521" s="76"/>
      <c r="R521" s="76"/>
      <c r="S521" s="76"/>
      <c r="T521" s="69"/>
    </row>
    <row r="522" spans="1:20" ht="14.1" customHeight="1" x14ac:dyDescent="0.2">
      <c r="A522" s="61"/>
      <c r="B522" s="74"/>
      <c r="C522" s="74"/>
      <c r="D522" s="74"/>
      <c r="E522" s="70"/>
      <c r="F522" s="70"/>
      <c r="G522" s="70"/>
      <c r="H522" s="70"/>
      <c r="I522" s="70"/>
      <c r="J522" s="70"/>
      <c r="K522" s="70"/>
      <c r="L522" s="70"/>
      <c r="M522" s="70"/>
      <c r="N522" s="71"/>
      <c r="O522" s="71"/>
      <c r="P522" s="72"/>
      <c r="Q522" s="76"/>
      <c r="R522" s="76"/>
      <c r="S522" s="76"/>
      <c r="T522" s="69"/>
    </row>
    <row r="523" spans="1:20" ht="14.1" customHeight="1" x14ac:dyDescent="0.2">
      <c r="A523" s="61"/>
      <c r="B523" s="74"/>
      <c r="C523" s="74"/>
      <c r="D523" s="74"/>
      <c r="E523" s="70"/>
      <c r="F523" s="70"/>
      <c r="G523" s="70"/>
      <c r="H523" s="70"/>
      <c r="I523" s="70"/>
      <c r="J523" s="70"/>
      <c r="K523" s="70"/>
      <c r="L523" s="70"/>
      <c r="M523" s="70"/>
      <c r="N523" s="71"/>
      <c r="O523" s="71"/>
      <c r="P523" s="72"/>
      <c r="Q523" s="76"/>
      <c r="R523" s="76"/>
      <c r="S523" s="76"/>
      <c r="T523" s="69"/>
    </row>
    <row r="524" spans="1:20" ht="14.1" customHeight="1" x14ac:dyDescent="0.2">
      <c r="A524" s="61"/>
      <c r="B524" s="74"/>
      <c r="C524" s="74"/>
      <c r="D524" s="74"/>
      <c r="E524" s="70"/>
      <c r="F524" s="70"/>
      <c r="G524" s="70"/>
      <c r="H524" s="70"/>
      <c r="I524" s="70"/>
      <c r="J524" s="70"/>
      <c r="K524" s="70"/>
      <c r="L524" s="70"/>
      <c r="M524" s="70"/>
      <c r="N524" s="71"/>
      <c r="O524" s="71"/>
      <c r="P524" s="72"/>
      <c r="Q524" s="76"/>
      <c r="R524" s="76"/>
      <c r="S524" s="76"/>
      <c r="T524" s="69"/>
    </row>
    <row r="525" spans="1:20" ht="14.1" customHeight="1" x14ac:dyDescent="0.2">
      <c r="A525" s="61"/>
      <c r="B525" s="74"/>
      <c r="C525" s="74"/>
      <c r="D525" s="74"/>
      <c r="E525" s="70"/>
      <c r="F525" s="70"/>
      <c r="G525" s="70"/>
      <c r="H525" s="70"/>
      <c r="I525" s="70"/>
      <c r="J525" s="70"/>
      <c r="K525" s="70"/>
      <c r="L525" s="70"/>
      <c r="M525" s="70"/>
      <c r="N525" s="71"/>
      <c r="O525" s="71"/>
      <c r="P525" s="72"/>
      <c r="Q525" s="76"/>
      <c r="R525" s="76"/>
      <c r="S525" s="76"/>
      <c r="T525" s="69"/>
    </row>
    <row r="526" spans="1:20" ht="14.1" customHeight="1" x14ac:dyDescent="0.2">
      <c r="A526" s="61"/>
      <c r="B526" s="74"/>
      <c r="C526" s="74"/>
      <c r="D526" s="74"/>
      <c r="E526" s="70"/>
      <c r="F526" s="70"/>
      <c r="G526" s="70"/>
      <c r="H526" s="70"/>
      <c r="I526" s="70"/>
      <c r="J526" s="70"/>
      <c r="K526" s="70"/>
      <c r="L526" s="70"/>
      <c r="M526" s="70"/>
      <c r="N526" s="71"/>
      <c r="O526" s="71"/>
      <c r="P526" s="72"/>
      <c r="Q526" s="76"/>
      <c r="R526" s="76"/>
      <c r="S526" s="76"/>
      <c r="T526" s="69"/>
    </row>
    <row r="527" spans="1:20" ht="14.1" customHeight="1" x14ac:dyDescent="0.2">
      <c r="A527" s="61"/>
      <c r="B527" s="74"/>
      <c r="C527" s="74"/>
      <c r="D527" s="74"/>
      <c r="E527" s="70"/>
      <c r="F527" s="70"/>
      <c r="G527" s="70"/>
      <c r="H527" s="70"/>
      <c r="I527" s="70"/>
      <c r="J527" s="70"/>
      <c r="K527" s="70"/>
      <c r="L527" s="70"/>
      <c r="M527" s="70"/>
      <c r="N527" s="71"/>
      <c r="O527" s="71"/>
      <c r="P527" s="72"/>
      <c r="Q527" s="76"/>
      <c r="R527" s="76"/>
      <c r="S527" s="76"/>
      <c r="T527" s="69"/>
    </row>
    <row r="528" spans="1:20" ht="14.1" customHeight="1" x14ac:dyDescent="0.2">
      <c r="A528" s="61"/>
      <c r="B528" s="74"/>
      <c r="C528" s="74"/>
      <c r="D528" s="74"/>
      <c r="E528" s="70"/>
      <c r="F528" s="70"/>
      <c r="G528" s="70"/>
      <c r="H528" s="70"/>
      <c r="I528" s="70"/>
      <c r="J528" s="70"/>
      <c r="K528" s="70"/>
      <c r="L528" s="70"/>
      <c r="M528" s="70"/>
      <c r="N528" s="71"/>
      <c r="O528" s="71"/>
      <c r="P528" s="72"/>
      <c r="Q528" s="76"/>
      <c r="R528" s="76"/>
      <c r="S528" s="76"/>
      <c r="T528" s="69"/>
    </row>
    <row r="529" spans="1:20" ht="14.1" customHeight="1" x14ac:dyDescent="0.2">
      <c r="A529" s="61"/>
      <c r="B529" s="74"/>
      <c r="C529" s="74"/>
      <c r="D529" s="74"/>
      <c r="E529" s="70"/>
      <c r="F529" s="70"/>
      <c r="G529" s="70"/>
      <c r="H529" s="70"/>
      <c r="I529" s="70"/>
      <c r="J529" s="70"/>
      <c r="K529" s="70"/>
      <c r="L529" s="70"/>
      <c r="M529" s="70"/>
      <c r="N529" s="71"/>
      <c r="O529" s="71"/>
      <c r="P529" s="72"/>
      <c r="Q529" s="76"/>
      <c r="R529" s="76"/>
      <c r="S529" s="76"/>
      <c r="T529" s="69"/>
    </row>
    <row r="530" spans="1:20" ht="14.1" customHeight="1" x14ac:dyDescent="0.2">
      <c r="A530" s="61"/>
      <c r="B530" s="74"/>
      <c r="C530" s="74"/>
      <c r="D530" s="74"/>
      <c r="E530" s="70"/>
      <c r="F530" s="70"/>
      <c r="G530" s="70"/>
      <c r="H530" s="70"/>
      <c r="I530" s="70"/>
      <c r="J530" s="70"/>
      <c r="K530" s="70"/>
      <c r="L530" s="70"/>
      <c r="M530" s="70"/>
      <c r="N530" s="71"/>
      <c r="O530" s="71"/>
      <c r="P530" s="72"/>
      <c r="Q530" s="76"/>
      <c r="R530" s="76"/>
      <c r="S530" s="76"/>
      <c r="T530" s="69"/>
    </row>
    <row r="531" spans="1:20" ht="14.1" customHeight="1" x14ac:dyDescent="0.2">
      <c r="A531" s="61"/>
      <c r="B531" s="74"/>
      <c r="C531" s="74"/>
      <c r="D531" s="74"/>
      <c r="E531" s="70"/>
      <c r="F531" s="70"/>
      <c r="G531" s="70"/>
      <c r="H531" s="70"/>
      <c r="I531" s="70"/>
      <c r="J531" s="70"/>
      <c r="K531" s="70"/>
      <c r="L531" s="70"/>
      <c r="M531" s="70"/>
      <c r="N531" s="71"/>
      <c r="O531" s="71"/>
      <c r="P531" s="72"/>
      <c r="Q531" s="76"/>
      <c r="R531" s="76"/>
      <c r="S531" s="76"/>
      <c r="T531" s="69"/>
    </row>
    <row r="532" spans="1:20" ht="14.1" customHeight="1" x14ac:dyDescent="0.2">
      <c r="A532" s="61"/>
      <c r="B532" s="74"/>
      <c r="C532" s="74"/>
      <c r="D532" s="74"/>
      <c r="E532" s="70"/>
      <c r="F532" s="70"/>
      <c r="G532" s="70"/>
      <c r="H532" s="70"/>
      <c r="I532" s="70"/>
      <c r="J532" s="70"/>
      <c r="K532" s="70"/>
      <c r="L532" s="70"/>
      <c r="M532" s="70"/>
      <c r="N532" s="71"/>
      <c r="O532" s="71"/>
      <c r="P532" s="72"/>
      <c r="Q532" s="76"/>
      <c r="R532" s="76"/>
      <c r="S532" s="76"/>
      <c r="T532" s="69"/>
    </row>
    <row r="533" spans="1:20" ht="14.1" customHeight="1" x14ac:dyDescent="0.2">
      <c r="A533" s="61"/>
      <c r="B533" s="74"/>
      <c r="C533" s="74"/>
      <c r="D533" s="74"/>
      <c r="E533" s="70"/>
      <c r="F533" s="70"/>
      <c r="G533" s="70"/>
      <c r="H533" s="70"/>
      <c r="I533" s="70"/>
      <c r="J533" s="70"/>
      <c r="K533" s="70"/>
      <c r="L533" s="70"/>
      <c r="M533" s="70"/>
      <c r="N533" s="71"/>
      <c r="O533" s="71"/>
      <c r="P533" s="72"/>
      <c r="Q533" s="76"/>
      <c r="R533" s="76"/>
      <c r="S533" s="76"/>
      <c r="T533" s="69"/>
    </row>
    <row r="534" spans="1:20" ht="14.1" customHeight="1" x14ac:dyDescent="0.2">
      <c r="A534" s="61"/>
      <c r="B534" s="74"/>
      <c r="C534" s="74"/>
      <c r="D534" s="74"/>
      <c r="E534" s="70"/>
      <c r="F534" s="70"/>
      <c r="G534" s="70"/>
      <c r="H534" s="70"/>
      <c r="I534" s="70"/>
      <c r="J534" s="70"/>
      <c r="K534" s="70"/>
      <c r="L534" s="70"/>
      <c r="M534" s="70"/>
      <c r="N534" s="71"/>
      <c r="O534" s="71"/>
      <c r="P534" s="72"/>
      <c r="Q534" s="76"/>
      <c r="R534" s="76"/>
      <c r="S534" s="76"/>
      <c r="T534" s="69"/>
    </row>
    <row r="535" spans="1:20" ht="14.1" customHeight="1" x14ac:dyDescent="0.2">
      <c r="A535" s="61"/>
      <c r="B535" s="74"/>
      <c r="C535" s="74"/>
      <c r="D535" s="74"/>
      <c r="E535" s="70"/>
      <c r="F535" s="70"/>
      <c r="G535" s="70"/>
      <c r="H535" s="70"/>
      <c r="I535" s="70"/>
      <c r="J535" s="70"/>
      <c r="K535" s="70"/>
      <c r="L535" s="70"/>
      <c r="M535" s="70"/>
      <c r="N535" s="71"/>
      <c r="O535" s="71"/>
      <c r="P535" s="72"/>
      <c r="Q535" s="76"/>
      <c r="R535" s="76"/>
      <c r="S535" s="76"/>
      <c r="T535" s="69"/>
    </row>
    <row r="536" spans="1:20" ht="14.1" customHeight="1" x14ac:dyDescent="0.2">
      <c r="A536" s="61"/>
      <c r="B536" s="74"/>
      <c r="C536" s="74"/>
      <c r="D536" s="74"/>
      <c r="E536" s="70"/>
      <c r="F536" s="70"/>
      <c r="G536" s="70"/>
      <c r="H536" s="70"/>
      <c r="I536" s="70"/>
      <c r="J536" s="70"/>
      <c r="K536" s="70"/>
      <c r="L536" s="70"/>
      <c r="M536" s="70"/>
      <c r="N536" s="71"/>
      <c r="O536" s="71"/>
      <c r="P536" s="72"/>
      <c r="Q536" s="76"/>
      <c r="R536" s="76"/>
      <c r="S536" s="76"/>
      <c r="T536" s="69"/>
    </row>
    <row r="537" spans="1:20" ht="14.1" customHeight="1" x14ac:dyDescent="0.2">
      <c r="A537" s="61"/>
      <c r="B537" s="74"/>
      <c r="C537" s="74"/>
      <c r="D537" s="74"/>
      <c r="E537" s="70"/>
      <c r="F537" s="70"/>
      <c r="G537" s="70"/>
      <c r="H537" s="70"/>
      <c r="I537" s="70"/>
      <c r="J537" s="70"/>
      <c r="K537" s="70"/>
      <c r="L537" s="70"/>
      <c r="M537" s="70"/>
      <c r="N537" s="71"/>
      <c r="O537" s="71"/>
      <c r="P537" s="72"/>
      <c r="Q537" s="76"/>
      <c r="R537" s="76"/>
      <c r="S537" s="76"/>
      <c r="T537" s="69"/>
    </row>
    <row r="538" spans="1:20" ht="14.1" customHeight="1" x14ac:dyDescent="0.2">
      <c r="A538" s="61"/>
      <c r="B538" s="74"/>
      <c r="C538" s="74"/>
      <c r="D538" s="74"/>
      <c r="E538" s="70"/>
      <c r="F538" s="70"/>
      <c r="G538" s="70"/>
      <c r="H538" s="70"/>
      <c r="I538" s="70"/>
      <c r="J538" s="70"/>
      <c r="K538" s="70"/>
      <c r="L538" s="70"/>
      <c r="M538" s="70"/>
      <c r="N538" s="71"/>
      <c r="O538" s="71"/>
      <c r="P538" s="72"/>
      <c r="Q538" s="76"/>
      <c r="R538" s="76"/>
      <c r="S538" s="76"/>
      <c r="T538" s="69"/>
    </row>
    <row r="539" spans="1:20" ht="14.1" customHeight="1" x14ac:dyDescent="0.2">
      <c r="A539" s="61"/>
      <c r="B539" s="74"/>
      <c r="C539" s="74"/>
      <c r="D539" s="74"/>
      <c r="E539" s="70"/>
      <c r="F539" s="70"/>
      <c r="G539" s="70"/>
      <c r="H539" s="70"/>
      <c r="I539" s="70"/>
      <c r="J539" s="70"/>
      <c r="K539" s="70"/>
      <c r="L539" s="70"/>
      <c r="M539" s="70"/>
      <c r="N539" s="71"/>
      <c r="O539" s="71"/>
      <c r="P539" s="72"/>
      <c r="Q539" s="76"/>
      <c r="R539" s="76"/>
      <c r="S539" s="76"/>
      <c r="T539" s="69"/>
    </row>
    <row r="540" spans="1:20" ht="14.1" customHeight="1" x14ac:dyDescent="0.2">
      <c r="A540" s="61"/>
      <c r="B540" s="74"/>
      <c r="C540" s="74"/>
      <c r="D540" s="74"/>
      <c r="E540" s="70"/>
      <c r="F540" s="70"/>
      <c r="G540" s="70"/>
      <c r="H540" s="70"/>
      <c r="I540" s="70"/>
      <c r="J540" s="70"/>
      <c r="K540" s="70"/>
      <c r="L540" s="70"/>
      <c r="M540" s="70"/>
      <c r="N540" s="71"/>
      <c r="O540" s="71"/>
      <c r="P540" s="72"/>
      <c r="Q540" s="76"/>
      <c r="R540" s="76"/>
      <c r="S540" s="76"/>
      <c r="T540" s="69"/>
    </row>
    <row r="541" spans="1:20" ht="14.1" customHeight="1" x14ac:dyDescent="0.2">
      <c r="A541" s="61"/>
      <c r="B541" s="74"/>
      <c r="C541" s="74"/>
      <c r="D541" s="74"/>
      <c r="E541" s="70"/>
      <c r="F541" s="70"/>
      <c r="G541" s="70"/>
      <c r="H541" s="70"/>
      <c r="I541" s="70"/>
      <c r="J541" s="70"/>
      <c r="K541" s="70"/>
      <c r="L541" s="70"/>
      <c r="M541" s="70"/>
      <c r="N541" s="71"/>
      <c r="O541" s="71"/>
      <c r="P541" s="72"/>
      <c r="Q541" s="76"/>
      <c r="R541" s="76"/>
      <c r="S541" s="76"/>
      <c r="T541" s="69"/>
    </row>
    <row r="542" spans="1:20" ht="14.1" customHeight="1" x14ac:dyDescent="0.2">
      <c r="A542" s="61"/>
      <c r="B542" s="74"/>
      <c r="C542" s="74"/>
      <c r="D542" s="74"/>
      <c r="E542" s="70"/>
      <c r="F542" s="70"/>
      <c r="G542" s="70"/>
      <c r="H542" s="70"/>
      <c r="I542" s="70"/>
      <c r="J542" s="70"/>
      <c r="K542" s="70"/>
      <c r="L542" s="70"/>
      <c r="M542" s="70"/>
      <c r="N542" s="71"/>
      <c r="O542" s="71"/>
      <c r="P542" s="72"/>
      <c r="Q542" s="76"/>
      <c r="R542" s="76"/>
      <c r="S542" s="76"/>
      <c r="T542" s="69"/>
    </row>
    <row r="543" spans="1:20" ht="14.1" customHeight="1" x14ac:dyDescent="0.2">
      <c r="A543" s="61"/>
      <c r="B543" s="74"/>
      <c r="C543" s="74"/>
      <c r="D543" s="74"/>
      <c r="E543" s="70"/>
      <c r="F543" s="70"/>
      <c r="G543" s="70"/>
      <c r="H543" s="70"/>
      <c r="I543" s="70"/>
      <c r="J543" s="70"/>
      <c r="K543" s="70"/>
      <c r="L543" s="70"/>
      <c r="M543" s="70"/>
      <c r="N543" s="71"/>
      <c r="O543" s="71"/>
      <c r="P543" s="72"/>
      <c r="Q543" s="76"/>
      <c r="R543" s="76"/>
      <c r="S543" s="76"/>
      <c r="T543" s="69"/>
    </row>
    <row r="544" spans="1:20" ht="14.1" customHeight="1" x14ac:dyDescent="0.2">
      <c r="A544" s="61"/>
      <c r="B544" s="74"/>
      <c r="C544" s="74"/>
      <c r="D544" s="74"/>
      <c r="E544" s="70"/>
      <c r="F544" s="70"/>
      <c r="G544" s="70"/>
      <c r="H544" s="70"/>
      <c r="I544" s="70"/>
      <c r="J544" s="70"/>
      <c r="K544" s="70"/>
      <c r="L544" s="70"/>
      <c r="M544" s="70"/>
      <c r="N544" s="71"/>
      <c r="O544" s="71"/>
      <c r="P544" s="72"/>
      <c r="Q544" s="76"/>
      <c r="R544" s="76"/>
      <c r="S544" s="76"/>
      <c r="T544" s="69"/>
    </row>
    <row r="545" spans="1:20" ht="14.1" customHeight="1" x14ac:dyDescent="0.2">
      <c r="A545" s="61"/>
      <c r="B545" s="74"/>
      <c r="C545" s="74"/>
      <c r="D545" s="74"/>
      <c r="E545" s="70"/>
      <c r="F545" s="70"/>
      <c r="G545" s="70"/>
      <c r="H545" s="70"/>
      <c r="I545" s="70"/>
      <c r="J545" s="70"/>
      <c r="K545" s="70"/>
      <c r="L545" s="70"/>
      <c r="M545" s="70"/>
      <c r="N545" s="71"/>
      <c r="O545" s="71"/>
      <c r="P545" s="72"/>
      <c r="Q545" s="76"/>
      <c r="R545" s="76"/>
      <c r="S545" s="76"/>
      <c r="T545" s="69"/>
    </row>
    <row r="546" spans="1:20" ht="14.1" customHeight="1" x14ac:dyDescent="0.2">
      <c r="A546" s="61"/>
      <c r="B546" s="74"/>
      <c r="C546" s="74"/>
      <c r="D546" s="74"/>
      <c r="E546" s="70"/>
      <c r="F546" s="70"/>
      <c r="G546" s="70"/>
      <c r="H546" s="70"/>
      <c r="I546" s="70"/>
      <c r="J546" s="70"/>
      <c r="K546" s="70"/>
      <c r="L546" s="70"/>
      <c r="M546" s="70"/>
      <c r="N546" s="71"/>
      <c r="O546" s="71"/>
      <c r="P546" s="72"/>
      <c r="Q546" s="76"/>
      <c r="R546" s="76"/>
      <c r="S546" s="76"/>
      <c r="T546" s="69"/>
    </row>
    <row r="547" spans="1:20" ht="14.1" customHeight="1" x14ac:dyDescent="0.2">
      <c r="A547" s="61"/>
      <c r="B547" s="74"/>
      <c r="C547" s="74"/>
      <c r="D547" s="74"/>
      <c r="E547" s="70"/>
      <c r="F547" s="70"/>
      <c r="G547" s="70"/>
      <c r="H547" s="70"/>
      <c r="I547" s="70"/>
      <c r="J547" s="70"/>
      <c r="K547" s="70"/>
      <c r="L547" s="70"/>
      <c r="M547" s="70"/>
      <c r="N547" s="71"/>
      <c r="O547" s="71"/>
      <c r="P547" s="72"/>
      <c r="Q547" s="76"/>
      <c r="R547" s="76"/>
      <c r="S547" s="76"/>
      <c r="T547" s="69"/>
    </row>
    <row r="548" spans="1:20" ht="14.1" customHeight="1" x14ac:dyDescent="0.2">
      <c r="A548" s="61"/>
      <c r="B548" s="74"/>
      <c r="C548" s="74"/>
      <c r="D548" s="74"/>
      <c r="E548" s="70"/>
      <c r="F548" s="70"/>
      <c r="G548" s="70"/>
      <c r="H548" s="70"/>
      <c r="I548" s="70"/>
      <c r="J548" s="70"/>
      <c r="K548" s="70"/>
      <c r="L548" s="70"/>
      <c r="M548" s="70"/>
      <c r="N548" s="71"/>
      <c r="O548" s="71"/>
      <c r="P548" s="72"/>
      <c r="Q548" s="76"/>
      <c r="R548" s="76"/>
      <c r="S548" s="76"/>
      <c r="T548" s="69"/>
    </row>
    <row r="549" spans="1:20" ht="14.1" customHeight="1" x14ac:dyDescent="0.2">
      <c r="A549" s="61"/>
      <c r="B549" s="74"/>
      <c r="C549" s="74"/>
      <c r="D549" s="74"/>
      <c r="E549" s="70"/>
      <c r="F549" s="70"/>
      <c r="G549" s="70"/>
      <c r="H549" s="70"/>
      <c r="I549" s="70"/>
      <c r="J549" s="70"/>
      <c r="K549" s="70"/>
      <c r="L549" s="70"/>
      <c r="M549" s="70"/>
      <c r="N549" s="71"/>
      <c r="O549" s="71"/>
      <c r="P549" s="72"/>
      <c r="Q549" s="76"/>
      <c r="R549" s="76"/>
      <c r="S549" s="76"/>
      <c r="T549" s="69"/>
    </row>
    <row r="550" spans="1:20" ht="14.1" customHeight="1" x14ac:dyDescent="0.2">
      <c r="A550" s="61"/>
      <c r="B550" s="74"/>
      <c r="C550" s="74"/>
      <c r="D550" s="74"/>
      <c r="E550" s="70"/>
      <c r="F550" s="70"/>
      <c r="G550" s="70"/>
      <c r="H550" s="70"/>
      <c r="I550" s="70"/>
      <c r="J550" s="70"/>
      <c r="K550" s="70"/>
      <c r="L550" s="70"/>
      <c r="M550" s="70"/>
      <c r="N550" s="71"/>
      <c r="O550" s="71"/>
      <c r="P550" s="72"/>
      <c r="Q550" s="76"/>
      <c r="R550" s="76"/>
      <c r="S550" s="76"/>
      <c r="T550" s="69"/>
    </row>
    <row r="551" spans="1:20" ht="14.1" customHeight="1" x14ac:dyDescent="0.2">
      <c r="A551" s="61"/>
      <c r="B551" s="74"/>
      <c r="C551" s="74"/>
      <c r="D551" s="74"/>
      <c r="E551" s="70"/>
      <c r="F551" s="70"/>
      <c r="G551" s="70"/>
      <c r="H551" s="70"/>
      <c r="I551" s="70"/>
      <c r="J551" s="70"/>
      <c r="K551" s="70"/>
      <c r="L551" s="70"/>
      <c r="M551" s="70"/>
      <c r="N551" s="71"/>
      <c r="O551" s="71"/>
      <c r="P551" s="72"/>
      <c r="Q551" s="76"/>
      <c r="R551" s="76"/>
      <c r="S551" s="76"/>
      <c r="T551" s="69"/>
    </row>
    <row r="552" spans="1:20" ht="14.1" customHeight="1" x14ac:dyDescent="0.2">
      <c r="A552" s="61"/>
      <c r="B552" s="74"/>
      <c r="C552" s="74"/>
      <c r="D552" s="74"/>
      <c r="E552" s="70"/>
      <c r="F552" s="70"/>
      <c r="G552" s="70"/>
      <c r="H552" s="70"/>
      <c r="I552" s="70"/>
      <c r="J552" s="70"/>
      <c r="K552" s="70"/>
      <c r="L552" s="70"/>
      <c r="M552" s="70"/>
      <c r="N552" s="71"/>
      <c r="O552" s="71"/>
      <c r="P552" s="72"/>
      <c r="Q552" s="76"/>
      <c r="R552" s="76"/>
      <c r="S552" s="76"/>
      <c r="T552" s="69"/>
    </row>
    <row r="553" spans="1:20" ht="14.1" customHeight="1" x14ac:dyDescent="0.2">
      <c r="A553" s="61"/>
      <c r="B553" s="74"/>
      <c r="C553" s="74"/>
      <c r="D553" s="74"/>
      <c r="E553" s="70"/>
      <c r="F553" s="70"/>
      <c r="G553" s="70"/>
      <c r="H553" s="70"/>
      <c r="I553" s="70"/>
      <c r="J553" s="70"/>
      <c r="K553" s="70"/>
      <c r="L553" s="70"/>
      <c r="M553" s="70"/>
      <c r="N553" s="71"/>
      <c r="O553" s="71"/>
      <c r="P553" s="72"/>
      <c r="Q553" s="76"/>
      <c r="R553" s="76"/>
      <c r="S553" s="76"/>
      <c r="T553" s="69"/>
    </row>
    <row r="554" spans="1:20" ht="14.1" customHeight="1" x14ac:dyDescent="0.2">
      <c r="A554" s="61"/>
      <c r="B554" s="74"/>
      <c r="C554" s="74"/>
      <c r="D554" s="74"/>
      <c r="E554" s="70"/>
      <c r="F554" s="70"/>
      <c r="G554" s="70"/>
      <c r="H554" s="70"/>
      <c r="I554" s="70"/>
      <c r="J554" s="70"/>
      <c r="K554" s="70"/>
      <c r="L554" s="70"/>
      <c r="M554" s="70"/>
      <c r="N554" s="71"/>
      <c r="O554" s="71"/>
      <c r="P554" s="72"/>
      <c r="Q554" s="76"/>
      <c r="R554" s="76"/>
      <c r="S554" s="76"/>
      <c r="T554" s="69"/>
    </row>
    <row r="555" spans="1:20" ht="14.1" customHeight="1" x14ac:dyDescent="0.2">
      <c r="A555" s="61"/>
      <c r="B555" s="74"/>
      <c r="C555" s="74"/>
      <c r="D555" s="74"/>
      <c r="E555" s="70"/>
      <c r="F555" s="70"/>
      <c r="G555" s="70"/>
      <c r="H555" s="70"/>
      <c r="I555" s="70"/>
      <c r="J555" s="70"/>
      <c r="K555" s="70"/>
      <c r="L555" s="70"/>
      <c r="M555" s="70"/>
      <c r="N555" s="71"/>
      <c r="O555" s="71"/>
      <c r="P555" s="72"/>
      <c r="Q555" s="76"/>
      <c r="R555" s="76"/>
      <c r="S555" s="76"/>
      <c r="T555" s="69"/>
    </row>
    <row r="556" spans="1:20" ht="14.1" customHeight="1" x14ac:dyDescent="0.2">
      <c r="A556" s="61"/>
      <c r="B556" s="74"/>
      <c r="C556" s="74"/>
      <c r="D556" s="74"/>
      <c r="E556" s="70"/>
      <c r="F556" s="70"/>
      <c r="G556" s="70"/>
      <c r="H556" s="70"/>
      <c r="I556" s="70"/>
      <c r="J556" s="70"/>
      <c r="K556" s="70"/>
      <c r="L556" s="70"/>
      <c r="M556" s="70"/>
      <c r="N556" s="71"/>
      <c r="O556" s="71"/>
      <c r="P556" s="72"/>
      <c r="Q556" s="76"/>
      <c r="R556" s="76"/>
      <c r="S556" s="76"/>
      <c r="T556" s="69"/>
    </row>
    <row r="557" spans="1:20" ht="14.1" customHeight="1" x14ac:dyDescent="0.2">
      <c r="A557" s="61"/>
      <c r="B557" s="74"/>
      <c r="C557" s="74"/>
      <c r="D557" s="74"/>
      <c r="E557" s="70"/>
      <c r="F557" s="70"/>
      <c r="G557" s="70"/>
      <c r="H557" s="70"/>
      <c r="I557" s="70"/>
      <c r="J557" s="70"/>
      <c r="K557" s="70"/>
      <c r="L557" s="70"/>
      <c r="M557" s="70"/>
      <c r="N557" s="71"/>
      <c r="O557" s="71"/>
      <c r="P557" s="72"/>
      <c r="Q557" s="76"/>
      <c r="R557" s="76"/>
      <c r="S557" s="76"/>
      <c r="T557" s="69"/>
    </row>
    <row r="558" spans="1:20" ht="14.1" customHeight="1" x14ac:dyDescent="0.2">
      <c r="A558" s="61"/>
      <c r="B558" s="74"/>
      <c r="C558" s="74"/>
      <c r="D558" s="74"/>
      <c r="E558" s="70"/>
      <c r="F558" s="70"/>
      <c r="G558" s="70"/>
      <c r="H558" s="70"/>
      <c r="I558" s="70"/>
      <c r="J558" s="70"/>
      <c r="K558" s="70"/>
      <c r="L558" s="70"/>
      <c r="M558" s="70"/>
      <c r="N558" s="71"/>
      <c r="O558" s="71"/>
      <c r="P558" s="72"/>
      <c r="Q558" s="76"/>
      <c r="R558" s="76"/>
      <c r="S558" s="76"/>
      <c r="T558" s="69"/>
    </row>
    <row r="559" spans="1:20" ht="14.1" customHeight="1" x14ac:dyDescent="0.2">
      <c r="A559" s="61"/>
      <c r="B559" s="74"/>
      <c r="C559" s="74"/>
      <c r="D559" s="74"/>
      <c r="E559" s="70"/>
      <c r="F559" s="70"/>
      <c r="G559" s="70"/>
      <c r="H559" s="70"/>
      <c r="I559" s="70"/>
      <c r="J559" s="70"/>
      <c r="K559" s="70"/>
      <c r="L559" s="70"/>
      <c r="M559" s="70"/>
      <c r="N559" s="71"/>
      <c r="O559" s="71"/>
      <c r="P559" s="72"/>
      <c r="Q559" s="76"/>
      <c r="R559" s="76"/>
      <c r="S559" s="76"/>
      <c r="T559" s="69"/>
    </row>
    <row r="560" spans="1:20" ht="14.1" customHeight="1" x14ac:dyDescent="0.2">
      <c r="A560" s="61"/>
      <c r="B560" s="74"/>
      <c r="C560" s="74"/>
      <c r="D560" s="74"/>
      <c r="E560" s="70"/>
      <c r="F560" s="70"/>
      <c r="G560" s="70"/>
      <c r="H560" s="70"/>
      <c r="I560" s="70"/>
      <c r="J560" s="70"/>
      <c r="K560" s="70"/>
      <c r="L560" s="70"/>
      <c r="M560" s="70"/>
      <c r="N560" s="71"/>
      <c r="O560" s="71"/>
      <c r="P560" s="72"/>
      <c r="Q560" s="76"/>
      <c r="R560" s="76"/>
      <c r="S560" s="76"/>
      <c r="T560" s="69"/>
    </row>
    <row r="561" spans="1:20" ht="14.1" customHeight="1" x14ac:dyDescent="0.2">
      <c r="A561" s="61"/>
      <c r="B561" s="74"/>
      <c r="C561" s="74"/>
      <c r="D561" s="74"/>
      <c r="E561" s="70"/>
      <c r="F561" s="70"/>
      <c r="G561" s="70"/>
      <c r="H561" s="70"/>
      <c r="I561" s="70"/>
      <c r="J561" s="70"/>
      <c r="K561" s="70"/>
      <c r="L561" s="70"/>
      <c r="M561" s="70"/>
      <c r="N561" s="71"/>
      <c r="O561" s="71"/>
      <c r="P561" s="72"/>
      <c r="Q561" s="76"/>
      <c r="R561" s="76"/>
      <c r="S561" s="76"/>
      <c r="T561" s="69"/>
    </row>
    <row r="562" spans="1:20" ht="14.1" customHeight="1" x14ac:dyDescent="0.2">
      <c r="A562" s="61"/>
      <c r="B562" s="74"/>
      <c r="C562" s="74"/>
      <c r="D562" s="74"/>
      <c r="E562" s="70"/>
      <c r="F562" s="70"/>
      <c r="G562" s="70"/>
      <c r="H562" s="70"/>
      <c r="I562" s="70"/>
      <c r="J562" s="70"/>
      <c r="K562" s="70"/>
      <c r="L562" s="70"/>
      <c r="M562" s="70"/>
      <c r="N562" s="71"/>
      <c r="O562" s="71"/>
      <c r="P562" s="72"/>
      <c r="Q562" s="76"/>
      <c r="R562" s="76"/>
      <c r="S562" s="76"/>
      <c r="T562" s="69"/>
    </row>
    <row r="563" spans="1:20" ht="14.1" customHeight="1" x14ac:dyDescent="0.2">
      <c r="A563" s="61"/>
      <c r="B563" s="74"/>
      <c r="C563" s="74"/>
      <c r="D563" s="74"/>
      <c r="E563" s="70"/>
      <c r="F563" s="70"/>
      <c r="G563" s="70"/>
      <c r="H563" s="70"/>
      <c r="I563" s="70"/>
      <c r="J563" s="70"/>
      <c r="K563" s="70"/>
      <c r="L563" s="70"/>
      <c r="M563" s="70"/>
      <c r="N563" s="71"/>
      <c r="O563" s="71"/>
      <c r="P563" s="72"/>
      <c r="Q563" s="76"/>
      <c r="R563" s="76"/>
      <c r="S563" s="76"/>
      <c r="T563" s="69"/>
    </row>
    <row r="564" spans="1:20" ht="14.1" customHeight="1" x14ac:dyDescent="0.2">
      <c r="A564" s="61"/>
      <c r="B564" s="74"/>
      <c r="C564" s="74"/>
      <c r="D564" s="74"/>
      <c r="E564" s="70"/>
      <c r="F564" s="70"/>
      <c r="G564" s="70"/>
      <c r="H564" s="70"/>
      <c r="I564" s="70"/>
      <c r="J564" s="70"/>
      <c r="K564" s="70"/>
      <c r="L564" s="70"/>
      <c r="M564" s="70"/>
      <c r="N564" s="71"/>
      <c r="O564" s="71"/>
      <c r="P564" s="72"/>
      <c r="Q564" s="76"/>
      <c r="R564" s="76"/>
      <c r="S564" s="76"/>
      <c r="T564" s="69"/>
    </row>
    <row r="565" spans="1:20" ht="14.1" customHeight="1" x14ac:dyDescent="0.2">
      <c r="A565" s="61"/>
      <c r="B565" s="74"/>
      <c r="C565" s="74"/>
      <c r="D565" s="74"/>
      <c r="E565" s="70"/>
      <c r="F565" s="70"/>
      <c r="G565" s="70"/>
      <c r="H565" s="70"/>
      <c r="I565" s="70"/>
      <c r="J565" s="70"/>
      <c r="K565" s="70"/>
      <c r="L565" s="70"/>
      <c r="M565" s="70"/>
      <c r="N565" s="71"/>
      <c r="O565" s="71"/>
      <c r="P565" s="72"/>
      <c r="Q565" s="76"/>
      <c r="R565" s="76"/>
      <c r="S565" s="76"/>
      <c r="T565" s="69"/>
    </row>
    <row r="566" spans="1:20" ht="14.1" customHeight="1" x14ac:dyDescent="0.2">
      <c r="A566" s="61"/>
      <c r="B566" s="74"/>
      <c r="C566" s="74"/>
      <c r="D566" s="74"/>
      <c r="E566" s="70"/>
      <c r="F566" s="70"/>
      <c r="G566" s="70"/>
      <c r="H566" s="70"/>
      <c r="I566" s="70"/>
      <c r="J566" s="70"/>
      <c r="K566" s="70"/>
      <c r="L566" s="70"/>
      <c r="M566" s="70"/>
      <c r="N566" s="71"/>
      <c r="O566" s="71"/>
      <c r="P566" s="72"/>
      <c r="Q566" s="76"/>
      <c r="R566" s="76"/>
      <c r="S566" s="76"/>
      <c r="T566" s="69"/>
    </row>
    <row r="567" spans="1:20" ht="14.1" customHeight="1" x14ac:dyDescent="0.2">
      <c r="A567" s="61"/>
      <c r="B567" s="74"/>
      <c r="C567" s="74"/>
      <c r="D567" s="74"/>
      <c r="E567" s="70"/>
      <c r="F567" s="70"/>
      <c r="G567" s="70"/>
      <c r="H567" s="70"/>
      <c r="I567" s="70"/>
      <c r="J567" s="70"/>
      <c r="K567" s="70"/>
      <c r="L567" s="70"/>
      <c r="M567" s="70"/>
      <c r="N567" s="71"/>
      <c r="O567" s="71"/>
      <c r="P567" s="72"/>
      <c r="Q567" s="76"/>
      <c r="R567" s="76"/>
      <c r="S567" s="76"/>
      <c r="T567" s="69"/>
    </row>
    <row r="568" spans="1:20" ht="14.1" customHeight="1" x14ac:dyDescent="0.2">
      <c r="A568" s="61"/>
      <c r="B568" s="74"/>
      <c r="C568" s="74"/>
      <c r="D568" s="74"/>
      <c r="E568" s="70"/>
      <c r="F568" s="70"/>
      <c r="G568" s="70"/>
      <c r="H568" s="70"/>
      <c r="I568" s="70"/>
      <c r="J568" s="70"/>
      <c r="K568" s="70"/>
      <c r="L568" s="70"/>
      <c r="M568" s="70"/>
      <c r="N568" s="71"/>
      <c r="O568" s="71"/>
      <c r="P568" s="72"/>
      <c r="Q568" s="76"/>
      <c r="R568" s="76"/>
      <c r="S568" s="76"/>
      <c r="T568" s="69"/>
    </row>
    <row r="569" spans="1:20" ht="14.1" customHeight="1" x14ac:dyDescent="0.2">
      <c r="A569" s="61"/>
      <c r="B569" s="74"/>
      <c r="C569" s="74"/>
      <c r="D569" s="74"/>
      <c r="E569" s="70"/>
      <c r="F569" s="70"/>
      <c r="G569" s="70"/>
      <c r="H569" s="70"/>
      <c r="I569" s="70"/>
      <c r="J569" s="70"/>
      <c r="K569" s="70"/>
      <c r="L569" s="70"/>
      <c r="M569" s="70"/>
      <c r="N569" s="71"/>
      <c r="O569" s="71"/>
      <c r="P569" s="72"/>
      <c r="Q569" s="76"/>
      <c r="R569" s="76"/>
      <c r="S569" s="76"/>
      <c r="T569" s="69"/>
    </row>
    <row r="570" spans="1:20" ht="14.1" customHeight="1" x14ac:dyDescent="0.2">
      <c r="A570" s="61"/>
      <c r="B570" s="74"/>
      <c r="C570" s="74"/>
      <c r="D570" s="74"/>
      <c r="E570" s="70"/>
      <c r="F570" s="70"/>
      <c r="G570" s="70"/>
      <c r="H570" s="70"/>
      <c r="I570" s="70"/>
      <c r="J570" s="70"/>
      <c r="K570" s="70"/>
      <c r="L570" s="70"/>
      <c r="M570" s="70"/>
      <c r="N570" s="71"/>
      <c r="O570" s="71"/>
      <c r="P570" s="72"/>
      <c r="Q570" s="76"/>
      <c r="R570" s="76"/>
      <c r="S570" s="76"/>
      <c r="T570" s="69"/>
    </row>
    <row r="571" spans="1:20" ht="14.1" customHeight="1" x14ac:dyDescent="0.2">
      <c r="A571" s="61"/>
      <c r="B571" s="74"/>
      <c r="C571" s="74"/>
      <c r="D571" s="74"/>
      <c r="E571" s="70"/>
      <c r="F571" s="70"/>
      <c r="G571" s="70"/>
      <c r="H571" s="70"/>
      <c r="I571" s="70"/>
      <c r="J571" s="70"/>
      <c r="K571" s="70"/>
      <c r="L571" s="70"/>
      <c r="M571" s="70"/>
      <c r="N571" s="71"/>
      <c r="O571" s="71"/>
      <c r="P571" s="72"/>
      <c r="Q571" s="76"/>
      <c r="R571" s="76"/>
      <c r="S571" s="76"/>
      <c r="T571" s="69"/>
    </row>
    <row r="572" spans="1:20" ht="14.1" customHeight="1" x14ac:dyDescent="0.2">
      <c r="A572" s="61"/>
      <c r="B572" s="74"/>
      <c r="C572" s="74"/>
      <c r="D572" s="74"/>
      <c r="E572" s="70"/>
      <c r="F572" s="70"/>
      <c r="G572" s="70"/>
      <c r="H572" s="70"/>
      <c r="I572" s="70"/>
      <c r="J572" s="70"/>
      <c r="K572" s="70"/>
      <c r="L572" s="70"/>
      <c r="M572" s="70"/>
      <c r="N572" s="71"/>
      <c r="O572" s="71"/>
      <c r="P572" s="72"/>
      <c r="Q572" s="76"/>
      <c r="R572" s="76"/>
      <c r="S572" s="76"/>
      <c r="T572" s="69"/>
    </row>
    <row r="573" spans="1:20" ht="14.1" customHeight="1" x14ac:dyDescent="0.2">
      <c r="A573" s="61"/>
      <c r="B573" s="74"/>
      <c r="C573" s="74"/>
      <c r="D573" s="74"/>
      <c r="E573" s="70"/>
      <c r="F573" s="70"/>
      <c r="G573" s="70"/>
      <c r="H573" s="70"/>
      <c r="I573" s="70"/>
      <c r="J573" s="70"/>
      <c r="K573" s="70"/>
      <c r="L573" s="70"/>
      <c r="M573" s="70"/>
      <c r="N573" s="71"/>
      <c r="O573" s="71"/>
      <c r="P573" s="72"/>
      <c r="Q573" s="76"/>
      <c r="R573" s="76"/>
      <c r="S573" s="76"/>
      <c r="T573" s="69"/>
    </row>
    <row r="574" spans="1:20" ht="14.1" customHeight="1" x14ac:dyDescent="0.2">
      <c r="A574" s="61"/>
      <c r="B574" s="74"/>
      <c r="C574" s="74"/>
      <c r="D574" s="74"/>
      <c r="E574" s="70"/>
      <c r="F574" s="70"/>
      <c r="G574" s="70"/>
      <c r="H574" s="70"/>
      <c r="I574" s="70"/>
      <c r="J574" s="70"/>
      <c r="K574" s="70"/>
      <c r="L574" s="70"/>
      <c r="M574" s="70"/>
      <c r="N574" s="71"/>
      <c r="O574" s="71"/>
      <c r="P574" s="72"/>
      <c r="Q574" s="76"/>
      <c r="R574" s="76"/>
      <c r="S574" s="76"/>
      <c r="T574" s="69"/>
    </row>
    <row r="575" spans="1:20" ht="14.1" customHeight="1" x14ac:dyDescent="0.2">
      <c r="A575" s="61"/>
      <c r="B575" s="74"/>
      <c r="C575" s="74"/>
      <c r="D575" s="74"/>
      <c r="E575" s="70"/>
      <c r="F575" s="70"/>
      <c r="G575" s="70"/>
      <c r="H575" s="70"/>
      <c r="I575" s="70"/>
      <c r="J575" s="70"/>
      <c r="K575" s="70"/>
      <c r="L575" s="70"/>
      <c r="M575" s="70"/>
      <c r="N575" s="71"/>
      <c r="O575" s="71"/>
      <c r="P575" s="72"/>
      <c r="Q575" s="76"/>
      <c r="R575" s="76"/>
      <c r="S575" s="76"/>
      <c r="T575" s="69"/>
    </row>
    <row r="576" spans="1:20" ht="14.1" customHeight="1" x14ac:dyDescent="0.2">
      <c r="A576" s="61"/>
      <c r="B576" s="74"/>
      <c r="C576" s="74"/>
      <c r="D576" s="74"/>
      <c r="E576" s="70"/>
      <c r="F576" s="70"/>
      <c r="G576" s="70"/>
      <c r="H576" s="70"/>
      <c r="I576" s="70"/>
      <c r="J576" s="70"/>
      <c r="K576" s="70"/>
      <c r="L576" s="70"/>
      <c r="M576" s="70"/>
      <c r="N576" s="71"/>
      <c r="O576" s="71"/>
      <c r="P576" s="72"/>
      <c r="Q576" s="76"/>
      <c r="R576" s="76"/>
      <c r="S576" s="76"/>
      <c r="T576" s="69"/>
    </row>
    <row r="577" spans="1:20" ht="14.1" customHeight="1" x14ac:dyDescent="0.2">
      <c r="A577" s="61"/>
      <c r="B577" s="74"/>
      <c r="C577" s="74"/>
      <c r="D577" s="74"/>
      <c r="E577" s="70"/>
      <c r="F577" s="70"/>
      <c r="G577" s="70"/>
      <c r="H577" s="70"/>
      <c r="I577" s="70"/>
      <c r="J577" s="70"/>
      <c r="K577" s="70"/>
      <c r="L577" s="70"/>
      <c r="M577" s="70"/>
      <c r="N577" s="71"/>
      <c r="O577" s="71"/>
      <c r="P577" s="72"/>
      <c r="Q577" s="76"/>
      <c r="R577" s="76"/>
      <c r="S577" s="76"/>
      <c r="T577" s="69"/>
    </row>
    <row r="578" spans="1:20" ht="14.1" customHeight="1" x14ac:dyDescent="0.2">
      <c r="A578" s="61"/>
      <c r="B578" s="74"/>
      <c r="C578" s="74"/>
      <c r="D578" s="74"/>
      <c r="E578" s="70"/>
      <c r="F578" s="70"/>
      <c r="G578" s="70"/>
      <c r="H578" s="70"/>
      <c r="I578" s="70"/>
      <c r="J578" s="70"/>
      <c r="K578" s="70"/>
      <c r="L578" s="70"/>
      <c r="M578" s="70"/>
      <c r="N578" s="71"/>
      <c r="O578" s="71"/>
      <c r="P578" s="72"/>
      <c r="Q578" s="76"/>
      <c r="R578" s="76"/>
      <c r="S578" s="76"/>
      <c r="T578" s="69"/>
    </row>
    <row r="579" spans="1:20" ht="14.1" customHeight="1" x14ac:dyDescent="0.2">
      <c r="A579" s="61"/>
      <c r="B579" s="74"/>
      <c r="C579" s="74"/>
      <c r="D579" s="74"/>
      <c r="E579" s="70"/>
      <c r="F579" s="70"/>
      <c r="G579" s="70"/>
      <c r="H579" s="70"/>
      <c r="I579" s="70"/>
      <c r="J579" s="70"/>
      <c r="K579" s="70"/>
      <c r="L579" s="70"/>
      <c r="M579" s="70"/>
      <c r="N579" s="71"/>
      <c r="O579" s="71"/>
      <c r="P579" s="72"/>
      <c r="Q579" s="76"/>
      <c r="R579" s="76"/>
      <c r="S579" s="76"/>
      <c r="T579" s="69"/>
    </row>
    <row r="580" spans="1:20" ht="14.1" customHeight="1" x14ac:dyDescent="0.2">
      <c r="A580" s="61"/>
      <c r="B580" s="74"/>
      <c r="C580" s="74"/>
      <c r="D580" s="74"/>
      <c r="E580" s="70"/>
      <c r="F580" s="70"/>
      <c r="G580" s="70"/>
      <c r="H580" s="70"/>
      <c r="I580" s="70"/>
      <c r="J580" s="70"/>
      <c r="K580" s="70"/>
      <c r="L580" s="70"/>
      <c r="M580" s="70"/>
      <c r="N580" s="71"/>
      <c r="O580" s="71"/>
      <c r="P580" s="72"/>
      <c r="Q580" s="76"/>
      <c r="R580" s="76"/>
      <c r="S580" s="76"/>
      <c r="T580" s="69"/>
    </row>
    <row r="581" spans="1:20" ht="14.1" customHeight="1" x14ac:dyDescent="0.2">
      <c r="A581" s="61"/>
      <c r="B581" s="74"/>
      <c r="C581" s="74"/>
      <c r="D581" s="74"/>
      <c r="E581" s="70"/>
      <c r="F581" s="70"/>
      <c r="G581" s="70"/>
      <c r="H581" s="70"/>
      <c r="I581" s="70"/>
      <c r="J581" s="70"/>
      <c r="K581" s="70"/>
      <c r="L581" s="70"/>
      <c r="M581" s="70"/>
      <c r="N581" s="71"/>
      <c r="O581" s="71"/>
      <c r="P581" s="72"/>
      <c r="Q581" s="76"/>
      <c r="R581" s="76"/>
      <c r="S581" s="76"/>
      <c r="T581" s="69"/>
    </row>
    <row r="582" spans="1:20" ht="14.1" customHeight="1" x14ac:dyDescent="0.2">
      <c r="A582" s="61"/>
      <c r="B582" s="74"/>
      <c r="C582" s="74"/>
      <c r="D582" s="74"/>
      <c r="E582" s="70"/>
      <c r="F582" s="70"/>
      <c r="G582" s="70"/>
      <c r="H582" s="70"/>
      <c r="I582" s="70"/>
      <c r="J582" s="70"/>
      <c r="K582" s="70"/>
      <c r="L582" s="70"/>
      <c r="M582" s="70"/>
      <c r="N582" s="71"/>
      <c r="O582" s="71"/>
      <c r="P582" s="72"/>
      <c r="Q582" s="76"/>
      <c r="R582" s="76"/>
      <c r="S582" s="76"/>
      <c r="T582" s="69"/>
    </row>
    <row r="583" spans="1:20" ht="14.1" customHeight="1" x14ac:dyDescent="0.2">
      <c r="A583" s="61"/>
      <c r="B583" s="74"/>
      <c r="C583" s="74"/>
      <c r="D583" s="74"/>
      <c r="E583" s="70"/>
      <c r="F583" s="70"/>
      <c r="G583" s="70"/>
      <c r="H583" s="70"/>
      <c r="I583" s="70"/>
      <c r="J583" s="70"/>
      <c r="K583" s="70"/>
      <c r="L583" s="70"/>
      <c r="M583" s="70"/>
      <c r="N583" s="71"/>
      <c r="O583" s="71"/>
      <c r="P583" s="72"/>
      <c r="Q583" s="76"/>
      <c r="R583" s="76"/>
      <c r="S583" s="76"/>
      <c r="T583" s="69"/>
    </row>
    <row r="584" spans="1:20" ht="14.1" customHeight="1" x14ac:dyDescent="0.2">
      <c r="A584" s="61"/>
      <c r="B584" s="74"/>
      <c r="C584" s="74"/>
      <c r="D584" s="74"/>
      <c r="E584" s="70"/>
      <c r="F584" s="70"/>
      <c r="G584" s="70"/>
      <c r="H584" s="70"/>
      <c r="I584" s="70"/>
      <c r="J584" s="70"/>
      <c r="K584" s="70"/>
      <c r="L584" s="70"/>
      <c r="M584" s="70"/>
      <c r="N584" s="71"/>
      <c r="O584" s="71"/>
      <c r="P584" s="72"/>
      <c r="Q584" s="76"/>
      <c r="R584" s="76"/>
      <c r="S584" s="76"/>
      <c r="T584" s="69"/>
    </row>
    <row r="585" spans="1:20" ht="14.1" customHeight="1" x14ac:dyDescent="0.2">
      <c r="A585" s="61"/>
      <c r="B585" s="74"/>
      <c r="C585" s="74"/>
      <c r="D585" s="74"/>
      <c r="E585" s="70"/>
      <c r="F585" s="70"/>
      <c r="G585" s="70"/>
      <c r="H585" s="70"/>
      <c r="I585" s="70"/>
      <c r="J585" s="70"/>
      <c r="K585" s="70"/>
      <c r="L585" s="70"/>
      <c r="M585" s="70"/>
      <c r="N585" s="71"/>
      <c r="O585" s="71"/>
      <c r="P585" s="72"/>
      <c r="Q585" s="76"/>
      <c r="R585" s="76"/>
      <c r="S585" s="76"/>
      <c r="T585" s="69"/>
    </row>
    <row r="586" spans="1:20" ht="14.1" customHeight="1" x14ac:dyDescent="0.2">
      <c r="A586" s="61"/>
      <c r="B586" s="74"/>
      <c r="C586" s="74"/>
      <c r="D586" s="74"/>
      <c r="E586" s="70"/>
      <c r="F586" s="70"/>
      <c r="G586" s="70"/>
      <c r="H586" s="70"/>
      <c r="I586" s="70"/>
      <c r="J586" s="70"/>
      <c r="K586" s="70"/>
      <c r="L586" s="70"/>
      <c r="M586" s="70"/>
      <c r="N586" s="71"/>
      <c r="O586" s="71"/>
      <c r="P586" s="72"/>
      <c r="Q586" s="76"/>
      <c r="R586" s="76"/>
      <c r="S586" s="76"/>
      <c r="T586" s="69"/>
    </row>
    <row r="587" spans="1:20" ht="14.1" customHeight="1" x14ac:dyDescent="0.2">
      <c r="A587" s="61"/>
      <c r="B587" s="74"/>
      <c r="C587" s="74"/>
      <c r="D587" s="74"/>
      <c r="E587" s="70"/>
      <c r="F587" s="70"/>
      <c r="G587" s="70"/>
      <c r="H587" s="70"/>
      <c r="I587" s="70"/>
      <c r="J587" s="70"/>
      <c r="K587" s="70"/>
      <c r="L587" s="70"/>
      <c r="M587" s="70"/>
      <c r="N587" s="71"/>
      <c r="O587" s="71"/>
      <c r="P587" s="72"/>
      <c r="Q587" s="76"/>
      <c r="R587" s="76"/>
      <c r="S587" s="76"/>
      <c r="T587" s="69"/>
    </row>
    <row r="588" spans="1:20" ht="14.1" customHeight="1" x14ac:dyDescent="0.2">
      <c r="A588" s="61"/>
      <c r="B588" s="74"/>
      <c r="C588" s="74"/>
      <c r="D588" s="74"/>
      <c r="E588" s="70"/>
      <c r="F588" s="70"/>
      <c r="G588" s="70"/>
      <c r="H588" s="70"/>
      <c r="I588" s="70"/>
      <c r="J588" s="70"/>
      <c r="K588" s="70"/>
      <c r="L588" s="70"/>
      <c r="M588" s="70"/>
      <c r="N588" s="71"/>
      <c r="O588" s="71"/>
      <c r="P588" s="72"/>
      <c r="Q588" s="76"/>
      <c r="R588" s="76"/>
      <c r="S588" s="76"/>
      <c r="T588" s="69"/>
    </row>
    <row r="589" spans="1:20" ht="14.1" customHeight="1" x14ac:dyDescent="0.2">
      <c r="A589" s="61"/>
      <c r="B589" s="74"/>
      <c r="C589" s="74"/>
      <c r="D589" s="74"/>
      <c r="E589" s="70"/>
      <c r="F589" s="70"/>
      <c r="G589" s="70"/>
      <c r="H589" s="70"/>
      <c r="I589" s="70"/>
      <c r="J589" s="70"/>
      <c r="K589" s="70"/>
      <c r="L589" s="70"/>
      <c r="M589" s="70"/>
      <c r="N589" s="71"/>
      <c r="O589" s="71"/>
      <c r="P589" s="72"/>
      <c r="Q589" s="76"/>
      <c r="R589" s="76"/>
      <c r="S589" s="76"/>
      <c r="T589" s="69"/>
    </row>
    <row r="590" spans="1:20" ht="14.1" customHeight="1" x14ac:dyDescent="0.2">
      <c r="A590" s="61"/>
      <c r="B590" s="74"/>
      <c r="C590" s="74"/>
      <c r="D590" s="74"/>
      <c r="E590" s="70"/>
      <c r="F590" s="70"/>
      <c r="G590" s="70"/>
      <c r="H590" s="70"/>
      <c r="I590" s="70"/>
      <c r="J590" s="70"/>
      <c r="K590" s="70"/>
      <c r="L590" s="70"/>
      <c r="M590" s="70"/>
      <c r="N590" s="71"/>
      <c r="O590" s="71"/>
      <c r="P590" s="72"/>
      <c r="Q590" s="76"/>
      <c r="R590" s="76"/>
      <c r="S590" s="76"/>
      <c r="T590" s="69"/>
    </row>
    <row r="591" spans="1:20" ht="14.1" customHeight="1" x14ac:dyDescent="0.2">
      <c r="A591" s="61"/>
      <c r="B591" s="74"/>
      <c r="C591" s="74"/>
      <c r="D591" s="74"/>
      <c r="E591" s="70"/>
      <c r="F591" s="70"/>
      <c r="G591" s="70"/>
      <c r="H591" s="70"/>
      <c r="I591" s="70"/>
      <c r="J591" s="70"/>
      <c r="K591" s="70"/>
      <c r="L591" s="70"/>
      <c r="M591" s="70"/>
      <c r="N591" s="71"/>
      <c r="O591" s="71"/>
      <c r="P591" s="72"/>
      <c r="Q591" s="76"/>
      <c r="R591" s="76"/>
      <c r="S591" s="76"/>
      <c r="T591" s="69"/>
    </row>
    <row r="592" spans="1:20" ht="14.1" customHeight="1" x14ac:dyDescent="0.2">
      <c r="A592" s="61"/>
      <c r="B592" s="74"/>
      <c r="C592" s="74"/>
      <c r="D592" s="74"/>
      <c r="E592" s="70"/>
      <c r="F592" s="70"/>
      <c r="G592" s="70"/>
      <c r="H592" s="70"/>
      <c r="I592" s="70"/>
      <c r="J592" s="70"/>
      <c r="K592" s="70"/>
      <c r="L592" s="70"/>
      <c r="M592" s="70"/>
      <c r="N592" s="71"/>
      <c r="O592" s="71"/>
      <c r="P592" s="72"/>
      <c r="Q592" s="76"/>
      <c r="R592" s="76"/>
      <c r="S592" s="76"/>
      <c r="T592" s="69"/>
    </row>
    <row r="593" spans="1:20" ht="14.1" customHeight="1" x14ac:dyDescent="0.2">
      <c r="A593" s="61"/>
      <c r="B593" s="74"/>
      <c r="C593" s="74"/>
      <c r="D593" s="74"/>
      <c r="E593" s="70"/>
      <c r="F593" s="70"/>
      <c r="G593" s="70"/>
      <c r="H593" s="70"/>
      <c r="I593" s="70"/>
      <c r="J593" s="70"/>
      <c r="K593" s="70"/>
      <c r="L593" s="70"/>
      <c r="M593" s="70"/>
      <c r="N593" s="71"/>
      <c r="O593" s="71"/>
      <c r="P593" s="72"/>
      <c r="Q593" s="76"/>
      <c r="R593" s="76"/>
      <c r="S593" s="76"/>
      <c r="T593" s="69"/>
    </row>
    <row r="594" spans="1:20" ht="14.1" customHeight="1" x14ac:dyDescent="0.2">
      <c r="A594" s="61"/>
      <c r="B594" s="74"/>
      <c r="C594" s="74"/>
      <c r="D594" s="74"/>
      <c r="E594" s="70"/>
      <c r="F594" s="70"/>
      <c r="G594" s="70"/>
      <c r="H594" s="70"/>
      <c r="I594" s="70"/>
      <c r="J594" s="70"/>
      <c r="K594" s="70"/>
      <c r="L594" s="70"/>
      <c r="M594" s="70"/>
      <c r="N594" s="71"/>
      <c r="O594" s="71"/>
      <c r="P594" s="72"/>
      <c r="Q594" s="76"/>
      <c r="R594" s="76"/>
      <c r="S594" s="76"/>
      <c r="T594" s="69"/>
    </row>
    <row r="595" spans="1:20" ht="14.1" customHeight="1" x14ac:dyDescent="0.2">
      <c r="A595" s="61"/>
      <c r="B595" s="74"/>
      <c r="C595" s="74"/>
      <c r="D595" s="74"/>
      <c r="E595" s="70"/>
      <c r="F595" s="70"/>
      <c r="G595" s="70"/>
      <c r="H595" s="70"/>
      <c r="I595" s="70"/>
      <c r="J595" s="70"/>
      <c r="K595" s="70"/>
      <c r="L595" s="70"/>
      <c r="M595" s="70"/>
      <c r="N595" s="71"/>
      <c r="O595" s="71"/>
      <c r="P595" s="72"/>
      <c r="Q595" s="76"/>
      <c r="R595" s="76"/>
      <c r="S595" s="76"/>
      <c r="T595" s="69"/>
    </row>
    <row r="596" spans="1:20" ht="14.1" customHeight="1" x14ac:dyDescent="0.2">
      <c r="A596" s="61"/>
      <c r="B596" s="74"/>
      <c r="C596" s="74"/>
      <c r="D596" s="74"/>
      <c r="E596" s="70"/>
      <c r="F596" s="70"/>
      <c r="G596" s="70"/>
      <c r="H596" s="70"/>
      <c r="I596" s="70"/>
      <c r="J596" s="70"/>
      <c r="K596" s="70"/>
      <c r="L596" s="70"/>
      <c r="M596" s="70"/>
      <c r="N596" s="71"/>
      <c r="O596" s="71"/>
      <c r="P596" s="72"/>
      <c r="Q596" s="76"/>
      <c r="R596" s="76"/>
      <c r="S596" s="76"/>
      <c r="T596" s="69"/>
    </row>
    <row r="597" spans="1:20" ht="14.1" customHeight="1" x14ac:dyDescent="0.2">
      <c r="A597" s="61"/>
      <c r="B597" s="74"/>
      <c r="C597" s="74"/>
      <c r="D597" s="74"/>
      <c r="E597" s="70"/>
      <c r="F597" s="70"/>
      <c r="G597" s="70"/>
      <c r="H597" s="70"/>
      <c r="I597" s="70"/>
      <c r="J597" s="70"/>
      <c r="K597" s="70"/>
      <c r="L597" s="70"/>
      <c r="M597" s="70"/>
      <c r="N597" s="71"/>
      <c r="O597" s="71"/>
      <c r="P597" s="72"/>
      <c r="Q597" s="76"/>
      <c r="R597" s="76"/>
      <c r="S597" s="76"/>
      <c r="T597" s="69"/>
    </row>
    <row r="598" spans="1:20" ht="14.1" customHeight="1" x14ac:dyDescent="0.2">
      <c r="A598" s="61"/>
      <c r="B598" s="74"/>
      <c r="C598" s="74"/>
      <c r="D598" s="74"/>
      <c r="E598" s="70"/>
      <c r="F598" s="70"/>
      <c r="G598" s="70"/>
      <c r="H598" s="70"/>
      <c r="I598" s="70"/>
      <c r="J598" s="70"/>
      <c r="K598" s="70"/>
      <c r="L598" s="70"/>
      <c r="M598" s="70"/>
      <c r="N598" s="71"/>
      <c r="O598" s="71"/>
      <c r="P598" s="72"/>
      <c r="Q598" s="76"/>
      <c r="R598" s="76"/>
      <c r="S598" s="76"/>
      <c r="T598" s="69"/>
    </row>
    <row r="599" spans="1:20" ht="14.1" customHeight="1" x14ac:dyDescent="0.2">
      <c r="A599" s="61"/>
      <c r="B599" s="74"/>
      <c r="C599" s="74"/>
      <c r="D599" s="74"/>
      <c r="E599" s="70"/>
      <c r="F599" s="70"/>
      <c r="G599" s="70"/>
      <c r="H599" s="70"/>
      <c r="I599" s="70"/>
      <c r="J599" s="70"/>
      <c r="K599" s="70"/>
      <c r="L599" s="70"/>
      <c r="M599" s="70"/>
      <c r="N599" s="71"/>
      <c r="O599" s="71"/>
      <c r="P599" s="72"/>
      <c r="Q599" s="76"/>
      <c r="R599" s="76"/>
      <c r="S599" s="76"/>
      <c r="T599" s="69"/>
    </row>
    <row r="600" spans="1:20" ht="14.1" customHeight="1" x14ac:dyDescent="0.2">
      <c r="A600" s="61"/>
      <c r="B600" s="74"/>
      <c r="C600" s="74"/>
      <c r="D600" s="74"/>
      <c r="E600" s="70"/>
      <c r="F600" s="70"/>
      <c r="G600" s="70"/>
      <c r="H600" s="70"/>
      <c r="I600" s="70"/>
      <c r="J600" s="70"/>
      <c r="K600" s="70"/>
      <c r="L600" s="70"/>
      <c r="M600" s="70"/>
      <c r="N600" s="71"/>
      <c r="O600" s="71"/>
      <c r="P600" s="72"/>
      <c r="Q600" s="76"/>
      <c r="R600" s="76"/>
      <c r="S600" s="76"/>
      <c r="T600" s="69"/>
    </row>
    <row r="601" spans="1:20" ht="14.1" customHeight="1" x14ac:dyDescent="0.2">
      <c r="A601" s="61"/>
      <c r="B601" s="74"/>
      <c r="C601" s="74"/>
      <c r="D601" s="74"/>
      <c r="E601" s="70"/>
      <c r="F601" s="70"/>
      <c r="G601" s="70"/>
      <c r="H601" s="70"/>
      <c r="I601" s="70"/>
      <c r="J601" s="70"/>
      <c r="K601" s="70"/>
      <c r="L601" s="70"/>
      <c r="M601" s="70"/>
      <c r="N601" s="71"/>
      <c r="O601" s="71"/>
      <c r="P601" s="72"/>
      <c r="Q601" s="76"/>
      <c r="R601" s="76"/>
      <c r="S601" s="76"/>
      <c r="T601" s="69"/>
    </row>
    <row r="602" spans="1:20" ht="14.1" customHeight="1" x14ac:dyDescent="0.2">
      <c r="A602" s="61"/>
      <c r="B602" s="74"/>
      <c r="C602" s="74"/>
      <c r="D602" s="74"/>
      <c r="E602" s="70"/>
      <c r="F602" s="70"/>
      <c r="G602" s="70"/>
      <c r="H602" s="70"/>
      <c r="I602" s="70"/>
      <c r="J602" s="70"/>
      <c r="K602" s="70"/>
      <c r="L602" s="70"/>
      <c r="M602" s="70"/>
      <c r="N602" s="71"/>
      <c r="O602" s="71"/>
      <c r="P602" s="72"/>
      <c r="Q602" s="76"/>
      <c r="R602" s="76"/>
      <c r="S602" s="76"/>
      <c r="T602" s="69"/>
    </row>
    <row r="603" spans="1:20" ht="14.1" customHeight="1" x14ac:dyDescent="0.2">
      <c r="A603" s="61"/>
      <c r="B603" s="74"/>
      <c r="C603" s="74"/>
      <c r="D603" s="74"/>
      <c r="E603" s="70"/>
      <c r="F603" s="70"/>
      <c r="G603" s="70"/>
      <c r="H603" s="70"/>
      <c r="I603" s="70"/>
      <c r="J603" s="70"/>
      <c r="K603" s="70"/>
      <c r="L603" s="70"/>
      <c r="M603" s="70"/>
      <c r="N603" s="71"/>
      <c r="O603" s="71"/>
      <c r="P603" s="72"/>
      <c r="Q603" s="76"/>
      <c r="R603" s="76"/>
      <c r="S603" s="76"/>
      <c r="T603" s="69"/>
    </row>
    <row r="604" spans="1:20" ht="14.1" customHeight="1" x14ac:dyDescent="0.2">
      <c r="A604" s="61"/>
      <c r="B604" s="74"/>
      <c r="C604" s="74"/>
      <c r="D604" s="74"/>
      <c r="E604" s="70"/>
      <c r="F604" s="70"/>
      <c r="G604" s="70"/>
      <c r="H604" s="70"/>
      <c r="I604" s="70"/>
      <c r="J604" s="70"/>
      <c r="K604" s="70"/>
      <c r="L604" s="70"/>
      <c r="M604" s="70"/>
      <c r="N604" s="71"/>
      <c r="O604" s="71"/>
      <c r="P604" s="72"/>
      <c r="Q604" s="76"/>
      <c r="R604" s="76"/>
      <c r="S604" s="76"/>
      <c r="T604" s="69"/>
    </row>
    <row r="605" spans="1:20" ht="14.1" customHeight="1" x14ac:dyDescent="0.2">
      <c r="A605" s="61"/>
      <c r="B605" s="74"/>
      <c r="C605" s="74"/>
      <c r="D605" s="74"/>
      <c r="E605" s="70"/>
      <c r="F605" s="70"/>
      <c r="G605" s="70"/>
      <c r="H605" s="70"/>
      <c r="I605" s="70"/>
      <c r="J605" s="70"/>
      <c r="K605" s="70"/>
      <c r="L605" s="70"/>
      <c r="M605" s="70"/>
      <c r="N605" s="71"/>
      <c r="O605" s="71"/>
      <c r="P605" s="72"/>
      <c r="Q605" s="76"/>
      <c r="R605" s="76"/>
      <c r="S605" s="76"/>
      <c r="T605" s="69"/>
    </row>
    <row r="606" spans="1:20" ht="14.1" customHeight="1" x14ac:dyDescent="0.2">
      <c r="A606" s="61"/>
      <c r="B606" s="74"/>
      <c r="C606" s="74"/>
      <c r="D606" s="74"/>
      <c r="E606" s="70"/>
      <c r="F606" s="70"/>
      <c r="G606" s="70"/>
      <c r="H606" s="70"/>
      <c r="I606" s="70"/>
      <c r="J606" s="70"/>
      <c r="K606" s="70"/>
      <c r="L606" s="70"/>
      <c r="M606" s="70"/>
      <c r="N606" s="71"/>
      <c r="O606" s="71"/>
      <c r="P606" s="72"/>
      <c r="Q606" s="76"/>
      <c r="R606" s="76"/>
      <c r="S606" s="76"/>
      <c r="T606" s="69"/>
    </row>
    <row r="607" spans="1:20" ht="14.1" customHeight="1" x14ac:dyDescent="0.2">
      <c r="A607" s="61"/>
      <c r="B607" s="74"/>
      <c r="C607" s="74"/>
      <c r="D607" s="74"/>
      <c r="E607" s="70"/>
      <c r="F607" s="70"/>
      <c r="G607" s="70"/>
      <c r="H607" s="70"/>
      <c r="I607" s="70"/>
      <c r="J607" s="70"/>
      <c r="K607" s="70"/>
      <c r="L607" s="70"/>
      <c r="M607" s="70"/>
      <c r="N607" s="71"/>
      <c r="O607" s="71"/>
      <c r="P607" s="72"/>
      <c r="Q607" s="76"/>
      <c r="R607" s="76"/>
      <c r="S607" s="76"/>
      <c r="T607" s="69"/>
    </row>
    <row r="608" spans="1:20" ht="14.1" customHeight="1" x14ac:dyDescent="0.2">
      <c r="A608" s="61"/>
      <c r="B608" s="74"/>
      <c r="C608" s="74"/>
      <c r="D608" s="74"/>
      <c r="E608" s="70"/>
      <c r="F608" s="70"/>
      <c r="G608" s="70"/>
      <c r="H608" s="70"/>
      <c r="I608" s="70"/>
      <c r="J608" s="70"/>
      <c r="K608" s="70"/>
      <c r="L608" s="70"/>
      <c r="M608" s="70"/>
      <c r="N608" s="71"/>
      <c r="O608" s="71"/>
      <c r="P608" s="72"/>
      <c r="Q608" s="76"/>
      <c r="R608" s="76"/>
      <c r="S608" s="76"/>
      <c r="T608" s="69"/>
    </row>
    <row r="609" spans="1:89" ht="14.1" customHeight="1" x14ac:dyDescent="0.2">
      <c r="A609" s="61"/>
      <c r="B609" s="74"/>
      <c r="C609" s="74"/>
      <c r="D609" s="74"/>
      <c r="E609" s="70"/>
      <c r="F609" s="70"/>
      <c r="G609" s="70"/>
      <c r="H609" s="70"/>
      <c r="I609" s="70"/>
      <c r="J609" s="70"/>
      <c r="K609" s="70"/>
      <c r="L609" s="70"/>
      <c r="M609" s="70"/>
      <c r="N609" s="71"/>
      <c r="O609" s="71"/>
      <c r="P609" s="72"/>
      <c r="Q609" s="76"/>
      <c r="R609" s="76"/>
      <c r="S609" s="76"/>
      <c r="T609" s="69"/>
    </row>
    <row r="610" spans="1:89" ht="14.1" customHeight="1" x14ac:dyDescent="0.2">
      <c r="A610" s="61"/>
      <c r="B610" s="74"/>
      <c r="C610" s="74"/>
      <c r="D610" s="74"/>
      <c r="E610" s="70"/>
      <c r="F610" s="70"/>
      <c r="G610" s="70"/>
      <c r="H610" s="70"/>
      <c r="I610" s="70"/>
      <c r="J610" s="70"/>
      <c r="K610" s="70"/>
      <c r="L610" s="70"/>
      <c r="M610" s="70"/>
      <c r="N610" s="71"/>
      <c r="O610" s="71"/>
      <c r="P610" s="72"/>
      <c r="Q610" s="76"/>
      <c r="R610" s="76"/>
      <c r="S610" s="76"/>
      <c r="T610" s="69"/>
    </row>
    <row r="611" spans="1:89" ht="14.1" customHeight="1" x14ac:dyDescent="0.2">
      <c r="A611" s="61"/>
      <c r="B611" s="74"/>
      <c r="C611" s="74"/>
      <c r="D611" s="74"/>
      <c r="E611" s="70"/>
      <c r="F611" s="70"/>
      <c r="G611" s="70"/>
      <c r="H611" s="70"/>
      <c r="I611" s="70"/>
      <c r="J611" s="70"/>
      <c r="K611" s="70"/>
      <c r="L611" s="70"/>
      <c r="M611" s="70"/>
      <c r="N611" s="71"/>
      <c r="O611" s="71"/>
      <c r="P611" s="72"/>
      <c r="Q611" s="76"/>
      <c r="R611" s="76"/>
      <c r="S611" s="76"/>
      <c r="T611" s="69"/>
    </row>
    <row r="612" spans="1:89" ht="14.1" customHeight="1" x14ac:dyDescent="0.2">
      <c r="A612" s="61"/>
      <c r="B612" s="74"/>
      <c r="C612" s="74"/>
      <c r="D612" s="74"/>
      <c r="E612" s="70"/>
      <c r="F612" s="70"/>
      <c r="G612" s="70"/>
      <c r="H612" s="70"/>
      <c r="I612" s="70"/>
      <c r="J612" s="70"/>
      <c r="K612" s="70"/>
      <c r="L612" s="70"/>
      <c r="M612" s="70"/>
      <c r="N612" s="71"/>
      <c r="O612" s="71"/>
      <c r="P612" s="72"/>
      <c r="Q612" s="76"/>
      <c r="R612" s="76"/>
      <c r="S612" s="76"/>
      <c r="T612" s="69"/>
    </row>
    <row r="613" spans="1:89" ht="14.1" customHeight="1" x14ac:dyDescent="0.2">
      <c r="A613" s="61"/>
      <c r="B613" s="74"/>
      <c r="C613" s="74"/>
      <c r="D613" s="74"/>
      <c r="E613" s="70"/>
      <c r="F613" s="70"/>
      <c r="G613" s="70"/>
      <c r="H613" s="70"/>
      <c r="I613" s="70"/>
      <c r="J613" s="70"/>
      <c r="K613" s="70"/>
      <c r="L613" s="70"/>
      <c r="M613" s="70"/>
      <c r="N613" s="71"/>
      <c r="O613" s="71"/>
      <c r="P613" s="72"/>
      <c r="Q613" s="76"/>
      <c r="R613" s="76"/>
      <c r="S613" s="76"/>
      <c r="T613" s="69"/>
    </row>
    <row r="614" spans="1:89" ht="14.1" customHeight="1" x14ac:dyDescent="0.2">
      <c r="A614" s="61"/>
      <c r="B614" s="74"/>
      <c r="C614" s="74"/>
      <c r="D614" s="74"/>
      <c r="E614" s="70"/>
      <c r="F614" s="70"/>
      <c r="G614" s="70"/>
      <c r="H614" s="70"/>
      <c r="I614" s="70"/>
      <c r="J614" s="70"/>
      <c r="K614" s="70"/>
      <c r="L614" s="70"/>
      <c r="M614" s="70"/>
      <c r="N614" s="71"/>
      <c r="O614" s="71"/>
      <c r="P614" s="72"/>
      <c r="Q614" s="76"/>
      <c r="R614" s="76"/>
      <c r="S614" s="76"/>
      <c r="T614" s="69"/>
    </row>
    <row r="615" spans="1:89" ht="14.1" customHeight="1" x14ac:dyDescent="0.2">
      <c r="A615" s="61"/>
      <c r="B615" s="74"/>
      <c r="C615" s="74"/>
      <c r="D615" s="74"/>
      <c r="E615" s="70"/>
      <c r="F615" s="70"/>
      <c r="G615" s="70"/>
      <c r="H615" s="70"/>
      <c r="I615" s="70"/>
      <c r="J615" s="70"/>
      <c r="K615" s="70"/>
      <c r="L615" s="70"/>
      <c r="M615" s="70"/>
      <c r="N615" s="71"/>
      <c r="O615" s="71"/>
      <c r="P615" s="72"/>
      <c r="Q615" s="76"/>
      <c r="R615" s="76"/>
      <c r="S615" s="76"/>
      <c r="T615" s="69"/>
    </row>
    <row r="616" spans="1:89" ht="14.1" customHeight="1" x14ac:dyDescent="0.2">
      <c r="A616" s="61"/>
      <c r="B616" s="74"/>
      <c r="C616" s="74"/>
      <c r="D616" s="74"/>
      <c r="E616" s="70"/>
      <c r="F616" s="70"/>
      <c r="G616" s="70"/>
      <c r="H616" s="70"/>
      <c r="I616" s="70"/>
      <c r="J616" s="70"/>
      <c r="K616" s="70"/>
      <c r="L616" s="70"/>
      <c r="M616" s="70"/>
      <c r="N616" s="71"/>
      <c r="O616" s="71"/>
      <c r="P616" s="72"/>
      <c r="Q616" s="76"/>
      <c r="R616" s="76"/>
      <c r="S616" s="76"/>
      <c r="T616" s="69"/>
    </row>
    <row r="617" spans="1:89" ht="14.1" customHeight="1" x14ac:dyDescent="0.2">
      <c r="A617" s="61"/>
      <c r="B617" s="74"/>
      <c r="C617" s="74"/>
      <c r="D617" s="74"/>
      <c r="E617" s="70"/>
      <c r="F617" s="70"/>
      <c r="G617" s="70"/>
      <c r="H617" s="70"/>
      <c r="I617" s="70"/>
      <c r="J617" s="70"/>
      <c r="K617" s="70"/>
      <c r="L617" s="70"/>
      <c r="M617" s="70"/>
      <c r="N617" s="71"/>
      <c r="O617" s="71"/>
      <c r="P617" s="72"/>
      <c r="Q617" s="76"/>
      <c r="R617" s="76"/>
      <c r="S617" s="76"/>
      <c r="T617" s="69"/>
    </row>
    <row r="618" spans="1:89" ht="14.1" customHeight="1" x14ac:dyDescent="0.2">
      <c r="A618" s="61"/>
      <c r="B618" s="74"/>
      <c r="C618" s="74"/>
      <c r="D618" s="74"/>
      <c r="E618" s="70"/>
      <c r="F618" s="70"/>
      <c r="G618" s="70"/>
      <c r="H618" s="70"/>
      <c r="I618" s="70"/>
      <c r="J618" s="70"/>
      <c r="K618" s="70"/>
      <c r="L618" s="70"/>
      <c r="M618" s="70"/>
      <c r="N618" s="71"/>
      <c r="O618" s="71"/>
      <c r="P618" s="72"/>
      <c r="Q618" s="76"/>
      <c r="R618" s="76"/>
      <c r="S618" s="76"/>
      <c r="T618" s="69"/>
    </row>
    <row r="619" spans="1:89" ht="14.1" customHeight="1" x14ac:dyDescent="0.2">
      <c r="A619" s="61"/>
      <c r="B619" s="74"/>
      <c r="C619" s="74"/>
      <c r="D619" s="74"/>
      <c r="E619" s="70"/>
      <c r="F619" s="70"/>
      <c r="G619" s="70"/>
      <c r="H619" s="70"/>
      <c r="I619" s="70"/>
      <c r="J619" s="70"/>
      <c r="K619" s="70"/>
      <c r="L619" s="70"/>
      <c r="M619" s="70"/>
      <c r="N619" s="71"/>
      <c r="O619" s="71"/>
      <c r="P619" s="72"/>
      <c r="Q619" s="76"/>
      <c r="R619" s="76"/>
      <c r="S619" s="76"/>
      <c r="T619" s="69"/>
    </row>
    <row r="620" spans="1:89" ht="14.1" customHeight="1" x14ac:dyDescent="0.2">
      <c r="A620" s="61"/>
      <c r="B620" s="74"/>
      <c r="C620" s="74"/>
      <c r="D620" s="74"/>
      <c r="E620" s="70"/>
      <c r="F620" s="70"/>
      <c r="G620" s="70"/>
      <c r="H620" s="70"/>
      <c r="I620" s="70"/>
      <c r="J620" s="70"/>
      <c r="K620" s="70"/>
      <c r="L620" s="70"/>
      <c r="M620" s="70"/>
      <c r="N620" s="71"/>
      <c r="O620" s="71"/>
      <c r="P620" s="72"/>
      <c r="Q620" s="76"/>
      <c r="R620" s="76"/>
      <c r="S620" s="76"/>
      <c r="T620" s="69"/>
    </row>
    <row r="621" spans="1:89" s="19" customFormat="1" ht="14.1" customHeight="1" x14ac:dyDescent="0.2">
      <c r="A621" s="77"/>
      <c r="B621" s="74"/>
      <c r="C621" s="74"/>
      <c r="D621" s="74"/>
      <c r="E621" s="70"/>
      <c r="F621" s="70"/>
      <c r="G621" s="70"/>
      <c r="H621" s="70"/>
      <c r="I621" s="70"/>
      <c r="J621" s="70"/>
      <c r="K621" s="70"/>
      <c r="L621" s="70"/>
      <c r="M621" s="70"/>
      <c r="N621" s="71"/>
      <c r="O621" s="71"/>
      <c r="P621" s="72"/>
      <c r="Q621" s="76"/>
      <c r="R621" s="76"/>
      <c r="S621" s="76"/>
      <c r="T621" s="24"/>
      <c r="CK621" s="10"/>
    </row>
    <row r="622" spans="1:89" s="19" customFormat="1" ht="14.1" customHeight="1" x14ac:dyDescent="0.2">
      <c r="A622" s="77"/>
      <c r="B622" s="21"/>
      <c r="C622" s="21"/>
      <c r="D622" s="21"/>
      <c r="E622" s="78"/>
      <c r="F622" s="22"/>
      <c r="G622" s="23"/>
      <c r="H622" s="23"/>
      <c r="I622" s="23"/>
      <c r="J622" s="24"/>
      <c r="K622" s="20"/>
      <c r="L622" s="20"/>
      <c r="M622" s="23"/>
      <c r="N622" s="24"/>
      <c r="O622" s="24"/>
      <c r="P622" s="24"/>
      <c r="Q622" s="24"/>
      <c r="R622" s="24"/>
      <c r="S622" s="24"/>
      <c r="T622" s="24"/>
    </row>
    <row r="623" spans="1:89" s="19" customFormat="1" ht="14.1" customHeight="1" x14ac:dyDescent="0.2">
      <c r="A623" s="61"/>
      <c r="B623" s="21"/>
      <c r="C623" s="21"/>
      <c r="D623" s="21"/>
      <c r="E623" s="78"/>
      <c r="F623" s="22"/>
      <c r="G623" s="23"/>
      <c r="H623" s="23"/>
      <c r="I623" s="23"/>
      <c r="J623" s="24"/>
      <c r="K623" s="20"/>
      <c r="L623" s="20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A624" s="61"/>
      <c r="E624" s="78"/>
      <c r="K624" s="20"/>
      <c r="CK624" s="19"/>
    </row>
    <row r="625" spans="1:11" ht="14.1" customHeight="1" x14ac:dyDescent="0.2">
      <c r="A625" s="61"/>
      <c r="E625" s="78"/>
      <c r="K625" s="20"/>
    </row>
    <row r="626" spans="1:11" ht="14.1" customHeight="1" x14ac:dyDescent="0.2">
      <c r="A626" s="61"/>
      <c r="E626" s="78"/>
      <c r="K626" s="20"/>
    </row>
    <row r="627" spans="1:11" ht="14.1" customHeight="1" x14ac:dyDescent="0.2">
      <c r="A627" s="61"/>
      <c r="E627" s="78"/>
      <c r="K627" s="20"/>
    </row>
    <row r="628" spans="1:11" ht="14.1" customHeight="1" x14ac:dyDescent="0.2">
      <c r="A628" s="61"/>
      <c r="E628" s="78"/>
      <c r="K628" s="20"/>
    </row>
    <row r="629" spans="1:11" ht="14.1" customHeight="1" x14ac:dyDescent="0.2">
      <c r="A629" s="61"/>
      <c r="E629" s="78"/>
      <c r="K629" s="20"/>
    </row>
    <row r="630" spans="1:11" ht="14.1" customHeight="1" x14ac:dyDescent="0.2">
      <c r="A630" s="61"/>
      <c r="E630" s="78"/>
      <c r="K630" s="20"/>
    </row>
    <row r="631" spans="1:11" ht="14.1" customHeight="1" x14ac:dyDescent="0.2">
      <c r="A631" s="61"/>
      <c r="E631" s="78"/>
      <c r="K631" s="20"/>
    </row>
    <row r="632" spans="1:11" ht="14.1" customHeight="1" x14ac:dyDescent="0.2">
      <c r="A632" s="61"/>
      <c r="E632" s="78"/>
      <c r="K632" s="20"/>
    </row>
    <row r="633" spans="1:11" ht="14.1" customHeight="1" x14ac:dyDescent="0.2">
      <c r="A633" s="61"/>
      <c r="E633" s="78"/>
      <c r="K633" s="20"/>
    </row>
    <row r="634" spans="1:11" ht="14.1" customHeight="1" x14ac:dyDescent="0.2">
      <c r="A634" s="61"/>
      <c r="E634" s="78"/>
      <c r="K634" s="20"/>
    </row>
    <row r="635" spans="1:11" ht="14.1" customHeight="1" x14ac:dyDescent="0.2">
      <c r="A635" s="61"/>
      <c r="E635" s="78"/>
      <c r="K635" s="20"/>
    </row>
    <row r="636" spans="1:11" ht="14.1" customHeight="1" x14ac:dyDescent="0.2">
      <c r="A636" s="61"/>
      <c r="E636" s="78"/>
      <c r="K636" s="20"/>
    </row>
    <row r="637" spans="1:11" ht="14.1" customHeight="1" x14ac:dyDescent="0.2">
      <c r="A637" s="61"/>
      <c r="E637" s="78"/>
      <c r="K637" s="20"/>
    </row>
    <row r="638" spans="1:11" ht="14.1" customHeight="1" x14ac:dyDescent="0.2">
      <c r="A638" s="61"/>
      <c r="E638" s="78"/>
      <c r="K638" s="20"/>
    </row>
    <row r="639" spans="1:11" ht="14.1" customHeight="1" x14ac:dyDescent="0.2">
      <c r="A639" s="61"/>
      <c r="E639" s="78"/>
      <c r="K639" s="20"/>
    </row>
    <row r="640" spans="1:11" x14ac:dyDescent="0.2">
      <c r="A640" s="61"/>
      <c r="E640" s="78"/>
      <c r="K640" s="20"/>
    </row>
    <row r="641" spans="1:11" x14ac:dyDescent="0.2">
      <c r="A641" s="61"/>
      <c r="E641" s="78"/>
      <c r="K641" s="20"/>
    </row>
    <row r="642" spans="1:11" x14ac:dyDescent="0.2">
      <c r="A642" s="61"/>
      <c r="E642" s="78"/>
      <c r="K642" s="20"/>
    </row>
    <row r="643" spans="1:11" x14ac:dyDescent="0.2">
      <c r="A643" s="61"/>
      <c r="E643" s="78"/>
      <c r="K643" s="20"/>
    </row>
    <row r="644" spans="1:11" x14ac:dyDescent="0.2">
      <c r="A644" s="61"/>
      <c r="E644" s="78"/>
      <c r="K644" s="20"/>
    </row>
    <row r="645" spans="1:11" x14ac:dyDescent="0.2">
      <c r="A645" s="61"/>
      <c r="E645" s="78"/>
      <c r="K645" s="20"/>
    </row>
    <row r="646" spans="1:11" x14ac:dyDescent="0.2">
      <c r="A646" s="61"/>
      <c r="E646" s="78"/>
      <c r="K646" s="20"/>
    </row>
    <row r="647" spans="1:11" x14ac:dyDescent="0.2">
      <c r="A647" s="61"/>
      <c r="E647" s="78"/>
      <c r="K647" s="20"/>
    </row>
    <row r="648" spans="1:11" x14ac:dyDescent="0.2">
      <c r="A648" s="61"/>
      <c r="E648" s="78"/>
      <c r="K648" s="20"/>
    </row>
    <row r="649" spans="1:11" x14ac:dyDescent="0.2">
      <c r="A649" s="61"/>
      <c r="E649" s="78"/>
      <c r="K649" s="20"/>
    </row>
    <row r="650" spans="1:11" x14ac:dyDescent="0.2">
      <c r="A650" s="61"/>
      <c r="E650" s="78"/>
      <c r="K650" s="20"/>
    </row>
    <row r="651" spans="1:11" x14ac:dyDescent="0.2">
      <c r="A651" s="61"/>
      <c r="E651" s="78"/>
      <c r="K651" s="20"/>
    </row>
    <row r="652" spans="1:11" x14ac:dyDescent="0.2">
      <c r="A652" s="61"/>
      <c r="E652" s="78"/>
      <c r="K652" s="20"/>
    </row>
    <row r="653" spans="1:11" x14ac:dyDescent="0.2">
      <c r="A653" s="61"/>
      <c r="E653" s="78"/>
      <c r="K653" s="20"/>
    </row>
    <row r="654" spans="1:11" x14ac:dyDescent="0.2">
      <c r="A654" s="61"/>
      <c r="E654" s="78"/>
      <c r="K654" s="20"/>
    </row>
    <row r="655" spans="1:11" x14ac:dyDescent="0.2">
      <c r="A655" s="61"/>
      <c r="E655" s="78"/>
      <c r="K655" s="20"/>
    </row>
    <row r="656" spans="1:11" x14ac:dyDescent="0.2">
      <c r="A656" s="61"/>
      <c r="E656" s="78"/>
      <c r="K656" s="20"/>
    </row>
    <row r="657" spans="1:11" x14ac:dyDescent="0.2">
      <c r="A657" s="61"/>
      <c r="E657" s="78"/>
      <c r="K657" s="20"/>
    </row>
    <row r="658" spans="1:11" x14ac:dyDescent="0.2">
      <c r="A658" s="61"/>
      <c r="E658" s="78"/>
      <c r="K658" s="20"/>
    </row>
    <row r="659" spans="1:11" x14ac:dyDescent="0.2">
      <c r="A659" s="61"/>
      <c r="E659" s="78"/>
      <c r="K659" s="20"/>
    </row>
    <row r="660" spans="1:11" x14ac:dyDescent="0.2">
      <c r="A660" s="61"/>
      <c r="E660" s="78"/>
      <c r="K660" s="20"/>
    </row>
    <row r="661" spans="1:11" x14ac:dyDescent="0.2">
      <c r="A661" s="61"/>
      <c r="E661" s="78"/>
      <c r="K661" s="20"/>
    </row>
    <row r="662" spans="1:11" x14ac:dyDescent="0.2">
      <c r="A662" s="61"/>
      <c r="E662" s="78"/>
      <c r="K662" s="20"/>
    </row>
    <row r="663" spans="1:11" x14ac:dyDescent="0.2">
      <c r="A663" s="61"/>
      <c r="E663" s="78"/>
      <c r="K663" s="20"/>
    </row>
    <row r="664" spans="1:11" x14ac:dyDescent="0.2">
      <c r="A664" s="61"/>
      <c r="E664" s="78"/>
      <c r="K664" s="20"/>
    </row>
    <row r="665" spans="1:11" x14ac:dyDescent="0.2">
      <c r="A665" s="61"/>
      <c r="E665" s="78"/>
      <c r="K665" s="20"/>
    </row>
    <row r="666" spans="1:11" x14ac:dyDescent="0.2">
      <c r="A666" s="61"/>
      <c r="E666" s="78"/>
      <c r="K666" s="20"/>
    </row>
    <row r="667" spans="1:11" x14ac:dyDescent="0.2">
      <c r="A667" s="61"/>
      <c r="E667" s="78"/>
      <c r="K667" s="20"/>
    </row>
    <row r="668" spans="1:11" x14ac:dyDescent="0.2">
      <c r="A668" s="61"/>
      <c r="E668" s="78"/>
      <c r="K668" s="20"/>
    </row>
    <row r="669" spans="1:11" x14ac:dyDescent="0.2">
      <c r="A669" s="61"/>
      <c r="E669" s="78"/>
      <c r="K669" s="20"/>
    </row>
    <row r="670" spans="1:11" x14ac:dyDescent="0.2">
      <c r="A670" s="61"/>
      <c r="E670" s="78"/>
      <c r="K670" s="20"/>
    </row>
    <row r="671" spans="1:11" x14ac:dyDescent="0.2">
      <c r="A671" s="61"/>
      <c r="E671" s="78"/>
      <c r="K671" s="20"/>
    </row>
    <row r="672" spans="1:11" x14ac:dyDescent="0.2">
      <c r="A672" s="61"/>
      <c r="E672" s="78"/>
      <c r="K672" s="20"/>
    </row>
    <row r="673" spans="1:11" x14ac:dyDescent="0.2">
      <c r="A673" s="61"/>
      <c r="E673" s="78"/>
      <c r="K673" s="20"/>
    </row>
    <row r="674" spans="1:11" x14ac:dyDescent="0.2">
      <c r="A674" s="61"/>
      <c r="E674" s="78"/>
      <c r="K674" s="20"/>
    </row>
    <row r="675" spans="1:11" x14ac:dyDescent="0.2">
      <c r="A675" s="61"/>
      <c r="E675" s="78"/>
      <c r="K675" s="20"/>
    </row>
    <row r="676" spans="1:11" x14ac:dyDescent="0.2">
      <c r="A676" s="61"/>
      <c r="E676" s="78"/>
      <c r="K676" s="20"/>
    </row>
    <row r="677" spans="1:11" x14ac:dyDescent="0.2">
      <c r="A677" s="61"/>
      <c r="E677" s="78"/>
      <c r="K677" s="20"/>
    </row>
    <row r="678" spans="1:11" x14ac:dyDescent="0.2">
      <c r="A678" s="61"/>
      <c r="E678" s="78"/>
      <c r="K678" s="20"/>
    </row>
    <row r="679" spans="1:11" x14ac:dyDescent="0.2">
      <c r="A679" s="61"/>
      <c r="E679" s="78"/>
      <c r="K679" s="20"/>
    </row>
    <row r="680" spans="1:11" x14ac:dyDescent="0.2">
      <c r="A680" s="61"/>
      <c r="E680" s="78"/>
      <c r="K680" s="20"/>
    </row>
    <row r="681" spans="1:11" x14ac:dyDescent="0.2">
      <c r="A681" s="61"/>
      <c r="E681" s="78"/>
      <c r="K681" s="20"/>
    </row>
    <row r="682" spans="1:11" x14ac:dyDescent="0.2">
      <c r="A682" s="61"/>
      <c r="E682" s="78"/>
      <c r="K682" s="20"/>
    </row>
    <row r="683" spans="1:11" x14ac:dyDescent="0.2">
      <c r="A683" s="61"/>
      <c r="E683" s="78"/>
      <c r="K683" s="20"/>
    </row>
    <row r="684" spans="1:11" x14ac:dyDescent="0.2">
      <c r="A684" s="61"/>
      <c r="E684" s="78"/>
      <c r="K684" s="20"/>
    </row>
    <row r="685" spans="1:11" x14ac:dyDescent="0.2">
      <c r="A685" s="61"/>
      <c r="E685" s="78"/>
      <c r="K685" s="20"/>
    </row>
    <row r="686" spans="1:11" x14ac:dyDescent="0.2">
      <c r="A686" s="61"/>
      <c r="E686" s="78"/>
      <c r="K686" s="20"/>
    </row>
    <row r="687" spans="1:11" x14ac:dyDescent="0.2">
      <c r="A687" s="61"/>
      <c r="E687" s="78"/>
      <c r="K687" s="20"/>
    </row>
    <row r="688" spans="1:11" x14ac:dyDescent="0.2">
      <c r="A688" s="61"/>
      <c r="E688" s="78"/>
      <c r="K688" s="20"/>
    </row>
    <row r="689" spans="1:11" x14ac:dyDescent="0.2">
      <c r="A689" s="61"/>
      <c r="E689" s="78"/>
      <c r="K689" s="20"/>
    </row>
    <row r="690" spans="1:11" x14ac:dyDescent="0.2">
      <c r="A690" s="61"/>
      <c r="E690" s="78"/>
      <c r="K690" s="20"/>
    </row>
    <row r="691" spans="1:11" x14ac:dyDescent="0.2">
      <c r="A691" s="61"/>
      <c r="E691" s="78"/>
      <c r="K691" s="20"/>
    </row>
    <row r="692" spans="1:11" x14ac:dyDescent="0.2">
      <c r="A692" s="61"/>
      <c r="E692" s="78"/>
      <c r="K692" s="20"/>
    </row>
    <row r="693" spans="1:11" x14ac:dyDescent="0.2">
      <c r="A693" s="61"/>
      <c r="E693" s="78"/>
      <c r="K693" s="20"/>
    </row>
    <row r="694" spans="1:11" x14ac:dyDescent="0.2">
      <c r="A694" s="61"/>
      <c r="E694" s="78"/>
      <c r="K694" s="20"/>
    </row>
    <row r="695" spans="1:11" x14ac:dyDescent="0.2">
      <c r="A695" s="61"/>
      <c r="E695" s="78"/>
      <c r="K695" s="20"/>
    </row>
    <row r="696" spans="1:11" x14ac:dyDescent="0.2">
      <c r="A696" s="61"/>
      <c r="E696" s="78"/>
      <c r="K696" s="20"/>
    </row>
    <row r="697" spans="1:11" x14ac:dyDescent="0.2">
      <c r="A697" s="61"/>
      <c r="E697" s="78"/>
      <c r="K697" s="20"/>
    </row>
    <row r="698" spans="1:11" x14ac:dyDescent="0.2">
      <c r="A698" s="61"/>
      <c r="E698" s="78"/>
      <c r="K698" s="20"/>
    </row>
    <row r="699" spans="1:11" x14ac:dyDescent="0.2">
      <c r="A699" s="61"/>
      <c r="E699" s="78"/>
      <c r="K699" s="20"/>
    </row>
    <row r="700" spans="1:11" x14ac:dyDescent="0.2">
      <c r="A700" s="61"/>
      <c r="E700" s="78"/>
      <c r="K700" s="20"/>
    </row>
    <row r="701" spans="1:11" x14ac:dyDescent="0.2">
      <c r="A701" s="61"/>
      <c r="E701" s="78"/>
      <c r="K701" s="20"/>
    </row>
    <row r="702" spans="1:11" x14ac:dyDescent="0.2">
      <c r="A702" s="61"/>
      <c r="E702" s="78"/>
      <c r="K702" s="20"/>
    </row>
    <row r="703" spans="1:11" x14ac:dyDescent="0.2">
      <c r="A703" s="61"/>
      <c r="E703" s="78"/>
      <c r="K703" s="20"/>
    </row>
    <row r="704" spans="1:11" x14ac:dyDescent="0.2">
      <c r="A704" s="61"/>
      <c r="E704" s="78"/>
      <c r="K704" s="20"/>
    </row>
    <row r="705" spans="1:11" x14ac:dyDescent="0.2">
      <c r="A705" s="61"/>
      <c r="E705" s="78"/>
      <c r="K705" s="20"/>
    </row>
    <row r="706" spans="1:11" x14ac:dyDescent="0.2">
      <c r="A706" s="61"/>
      <c r="E706" s="78"/>
      <c r="K706" s="20"/>
    </row>
    <row r="707" spans="1:11" x14ac:dyDescent="0.2">
      <c r="A707" s="61"/>
      <c r="E707" s="78"/>
      <c r="K707" s="20"/>
    </row>
    <row r="708" spans="1:11" x14ac:dyDescent="0.2">
      <c r="A708" s="61"/>
      <c r="E708" s="78"/>
      <c r="K708" s="20"/>
    </row>
    <row r="709" spans="1:11" x14ac:dyDescent="0.2">
      <c r="A709" s="61"/>
      <c r="E709" s="78"/>
      <c r="K709" s="20"/>
    </row>
    <row r="710" spans="1:11" x14ac:dyDescent="0.2">
      <c r="A710" s="61"/>
      <c r="E710" s="78"/>
      <c r="K710" s="20"/>
    </row>
    <row r="711" spans="1:11" x14ac:dyDescent="0.2">
      <c r="A711" s="61"/>
      <c r="E711" s="78"/>
      <c r="K711" s="20"/>
    </row>
    <row r="712" spans="1:11" x14ac:dyDescent="0.2">
      <c r="A712" s="61"/>
      <c r="E712" s="78"/>
      <c r="K712" s="20"/>
    </row>
    <row r="713" spans="1:11" x14ac:dyDescent="0.2">
      <c r="A713" s="61"/>
      <c r="E713" s="78"/>
      <c r="K713" s="20"/>
    </row>
    <row r="714" spans="1:11" x14ac:dyDescent="0.2">
      <c r="A714" s="61"/>
      <c r="E714" s="78"/>
      <c r="K714" s="20"/>
    </row>
    <row r="715" spans="1:11" x14ac:dyDescent="0.2">
      <c r="A715" s="61"/>
      <c r="E715" s="78"/>
      <c r="K715" s="20"/>
    </row>
    <row r="716" spans="1:11" x14ac:dyDescent="0.2">
      <c r="A716" s="61"/>
      <c r="E716" s="78"/>
      <c r="K716" s="20"/>
    </row>
    <row r="717" spans="1:11" x14ac:dyDescent="0.2">
      <c r="A717" s="61"/>
      <c r="E717" s="78"/>
      <c r="K717" s="20"/>
    </row>
    <row r="718" spans="1:11" x14ac:dyDescent="0.2">
      <c r="A718" s="61"/>
      <c r="E718" s="78"/>
      <c r="K718" s="20"/>
    </row>
    <row r="719" spans="1:11" x14ac:dyDescent="0.2">
      <c r="A719" s="61"/>
      <c r="E719" s="78"/>
      <c r="K719" s="20"/>
    </row>
    <row r="720" spans="1:11" x14ac:dyDescent="0.2">
      <c r="A720" s="61"/>
      <c r="E720" s="78"/>
      <c r="K720" s="20"/>
    </row>
    <row r="721" spans="1:11" x14ac:dyDescent="0.2">
      <c r="A721" s="61"/>
      <c r="E721" s="78"/>
      <c r="K721" s="20"/>
    </row>
    <row r="722" spans="1:11" x14ac:dyDescent="0.2">
      <c r="A722" s="61"/>
      <c r="E722" s="78"/>
      <c r="K722" s="20"/>
    </row>
    <row r="723" spans="1:11" x14ac:dyDescent="0.2">
      <c r="A723" s="61"/>
      <c r="E723" s="78"/>
      <c r="K723" s="20"/>
    </row>
    <row r="724" spans="1:11" x14ac:dyDescent="0.2">
      <c r="A724" s="61"/>
      <c r="E724" s="78"/>
      <c r="K724" s="20"/>
    </row>
    <row r="725" spans="1:11" x14ac:dyDescent="0.2">
      <c r="A725" s="61"/>
      <c r="E725" s="78"/>
      <c r="K725" s="20"/>
    </row>
    <row r="726" spans="1:11" x14ac:dyDescent="0.2">
      <c r="A726" s="61"/>
      <c r="E726" s="78"/>
      <c r="K726" s="20"/>
    </row>
    <row r="727" spans="1:11" x14ac:dyDescent="0.2">
      <c r="A727" s="61"/>
      <c r="E727" s="78"/>
      <c r="K727" s="20"/>
    </row>
    <row r="728" spans="1:11" x14ac:dyDescent="0.2">
      <c r="A728" s="61"/>
      <c r="E728" s="78"/>
      <c r="K728" s="20"/>
    </row>
    <row r="729" spans="1:11" x14ac:dyDescent="0.2">
      <c r="A729" s="61"/>
      <c r="E729" s="78"/>
      <c r="K729" s="20"/>
    </row>
    <row r="730" spans="1:11" x14ac:dyDescent="0.2">
      <c r="A730" s="61"/>
      <c r="E730" s="78"/>
      <c r="K730" s="20"/>
    </row>
    <row r="731" spans="1:11" x14ac:dyDescent="0.2">
      <c r="A731" s="61"/>
      <c r="E731" s="78"/>
      <c r="K731" s="20"/>
    </row>
    <row r="732" spans="1:11" x14ac:dyDescent="0.2">
      <c r="A732" s="61"/>
      <c r="E732" s="78"/>
      <c r="K732" s="20"/>
    </row>
    <row r="733" spans="1:11" x14ac:dyDescent="0.2">
      <c r="A733" s="61"/>
      <c r="E733" s="78"/>
      <c r="K733" s="20"/>
    </row>
    <row r="734" spans="1:11" x14ac:dyDescent="0.2">
      <c r="A734" s="61"/>
      <c r="E734" s="78"/>
      <c r="K734" s="20"/>
    </row>
    <row r="735" spans="1:11" x14ac:dyDescent="0.2">
      <c r="A735" s="61"/>
      <c r="E735" s="78"/>
      <c r="K735" s="20"/>
    </row>
    <row r="736" spans="1:11" x14ac:dyDescent="0.2">
      <c r="A736" s="61"/>
      <c r="E736" s="78"/>
      <c r="K736" s="20"/>
    </row>
    <row r="737" spans="1:11" x14ac:dyDescent="0.2">
      <c r="A737" s="61"/>
      <c r="E737" s="78"/>
      <c r="K737" s="20"/>
    </row>
    <row r="738" spans="1:11" x14ac:dyDescent="0.2">
      <c r="A738" s="61"/>
      <c r="E738" s="78"/>
      <c r="K738" s="20"/>
    </row>
    <row r="739" spans="1:11" x14ac:dyDescent="0.2">
      <c r="A739" s="61"/>
      <c r="E739" s="78"/>
      <c r="K739" s="20"/>
    </row>
    <row r="740" spans="1:11" x14ac:dyDescent="0.2">
      <c r="A740" s="61"/>
      <c r="E740" s="78"/>
      <c r="K740" s="20"/>
    </row>
    <row r="741" spans="1:11" x14ac:dyDescent="0.2">
      <c r="A741" s="61"/>
      <c r="E741" s="78"/>
      <c r="K741" s="20"/>
    </row>
    <row r="742" spans="1:11" x14ac:dyDescent="0.2">
      <c r="A742" s="61"/>
      <c r="E742" s="78"/>
      <c r="K742" s="20"/>
    </row>
    <row r="743" spans="1:11" x14ac:dyDescent="0.2">
      <c r="A743" s="61"/>
      <c r="E743" s="78"/>
      <c r="K743" s="20"/>
    </row>
    <row r="744" spans="1:11" x14ac:dyDescent="0.2">
      <c r="A744" s="61"/>
      <c r="E744" s="78"/>
      <c r="K744" s="20"/>
    </row>
    <row r="745" spans="1:11" x14ac:dyDescent="0.2">
      <c r="A745" s="61"/>
      <c r="E745" s="78"/>
      <c r="K745" s="20"/>
    </row>
    <row r="746" spans="1:11" x14ac:dyDescent="0.2">
      <c r="A746" s="61"/>
      <c r="E746" s="78"/>
      <c r="K746" s="20"/>
    </row>
    <row r="747" spans="1:11" x14ac:dyDescent="0.2">
      <c r="A747" s="61"/>
      <c r="E747" s="78"/>
      <c r="K747" s="20"/>
    </row>
    <row r="748" spans="1:11" x14ac:dyDescent="0.2">
      <c r="A748" s="61"/>
      <c r="E748" s="78"/>
      <c r="K748" s="20"/>
    </row>
    <row r="749" spans="1:11" x14ac:dyDescent="0.2">
      <c r="A749" s="61"/>
      <c r="E749" s="78"/>
      <c r="K749" s="20"/>
    </row>
    <row r="750" spans="1:11" x14ac:dyDescent="0.2">
      <c r="A750" s="61"/>
      <c r="E750" s="78"/>
      <c r="K750" s="20"/>
    </row>
    <row r="751" spans="1:11" x14ac:dyDescent="0.2">
      <c r="A751" s="61"/>
      <c r="E751" s="78"/>
      <c r="K751" s="20"/>
    </row>
    <row r="752" spans="1:11" x14ac:dyDescent="0.2">
      <c r="A752" s="61"/>
      <c r="E752" s="78"/>
      <c r="K752" s="20"/>
    </row>
    <row r="753" spans="1:11" x14ac:dyDescent="0.2">
      <c r="A753" s="61"/>
      <c r="E753" s="78"/>
      <c r="K753" s="20"/>
    </row>
    <row r="754" spans="1:11" x14ac:dyDescent="0.2">
      <c r="A754" s="61"/>
      <c r="E754" s="78"/>
      <c r="K754" s="20"/>
    </row>
    <row r="755" spans="1:11" x14ac:dyDescent="0.2">
      <c r="A755" s="61"/>
      <c r="E755" s="78"/>
      <c r="K755" s="20"/>
    </row>
    <row r="756" spans="1:11" x14ac:dyDescent="0.2">
      <c r="A756" s="61"/>
      <c r="E756" s="78"/>
      <c r="K756" s="20"/>
    </row>
    <row r="757" spans="1:11" x14ac:dyDescent="0.2">
      <c r="A757" s="61"/>
      <c r="E757" s="78"/>
      <c r="K757" s="20"/>
    </row>
    <row r="758" spans="1:11" x14ac:dyDescent="0.2">
      <c r="A758" s="61"/>
      <c r="E758" s="78"/>
      <c r="K758" s="20"/>
    </row>
    <row r="759" spans="1:11" x14ac:dyDescent="0.2">
      <c r="A759" s="61"/>
      <c r="E759" s="78"/>
      <c r="K759" s="20"/>
    </row>
    <row r="760" spans="1:11" x14ac:dyDescent="0.2">
      <c r="A760" s="61"/>
      <c r="E760" s="78"/>
      <c r="K760" s="20"/>
    </row>
    <row r="761" spans="1:11" x14ac:dyDescent="0.2">
      <c r="A761" s="61"/>
      <c r="E761" s="78"/>
      <c r="K761" s="20"/>
    </row>
    <row r="762" spans="1:11" x14ac:dyDescent="0.2">
      <c r="A762" s="61"/>
      <c r="E762" s="78"/>
      <c r="K762" s="20"/>
    </row>
    <row r="763" spans="1:11" x14ac:dyDescent="0.2">
      <c r="A763" s="61"/>
      <c r="E763" s="78"/>
      <c r="K763" s="20"/>
    </row>
    <row r="764" spans="1:11" x14ac:dyDescent="0.2">
      <c r="A764" s="61"/>
      <c r="E764" s="78"/>
      <c r="K764" s="20"/>
    </row>
    <row r="765" spans="1:11" x14ac:dyDescent="0.2">
      <c r="A765" s="61"/>
      <c r="E765" s="78"/>
      <c r="K765" s="20"/>
    </row>
    <row r="766" spans="1:11" x14ac:dyDescent="0.2">
      <c r="A766" s="61"/>
      <c r="E766" s="78"/>
      <c r="K766" s="20"/>
    </row>
    <row r="767" spans="1:11" x14ac:dyDescent="0.2">
      <c r="A767" s="61"/>
      <c r="E767" s="78"/>
      <c r="K767" s="20"/>
    </row>
    <row r="768" spans="1:11" x14ac:dyDescent="0.2">
      <c r="A768" s="61"/>
      <c r="E768" s="78"/>
      <c r="K768" s="20"/>
    </row>
    <row r="769" spans="1:11" x14ac:dyDescent="0.2">
      <c r="A769" s="61"/>
      <c r="E769" s="78"/>
      <c r="K769" s="20"/>
    </row>
    <row r="770" spans="1:11" x14ac:dyDescent="0.2">
      <c r="A770" s="61"/>
      <c r="E770" s="78"/>
      <c r="K770" s="20"/>
    </row>
    <row r="771" spans="1:11" x14ac:dyDescent="0.2">
      <c r="A771" s="61"/>
      <c r="E771" s="78"/>
      <c r="K771" s="20"/>
    </row>
    <row r="772" spans="1:11" x14ac:dyDescent="0.2">
      <c r="A772" s="61"/>
      <c r="E772" s="78"/>
      <c r="K772" s="20"/>
    </row>
    <row r="773" spans="1:11" x14ac:dyDescent="0.2">
      <c r="A773" s="61"/>
      <c r="E773" s="78"/>
      <c r="K773" s="20"/>
    </row>
    <row r="774" spans="1:11" x14ac:dyDescent="0.2">
      <c r="A774" s="61"/>
      <c r="E774" s="78"/>
      <c r="K774" s="20"/>
    </row>
    <row r="775" spans="1:11" x14ac:dyDescent="0.2">
      <c r="A775" s="61"/>
      <c r="E775" s="78"/>
      <c r="K775" s="20"/>
    </row>
    <row r="776" spans="1:11" x14ac:dyDescent="0.2">
      <c r="A776" s="61"/>
      <c r="E776" s="78"/>
      <c r="K776" s="20"/>
    </row>
    <row r="777" spans="1:11" x14ac:dyDescent="0.2">
      <c r="A777" s="61"/>
      <c r="E777" s="78"/>
      <c r="K777" s="20"/>
    </row>
    <row r="778" spans="1:11" x14ac:dyDescent="0.2">
      <c r="A778" s="61"/>
      <c r="E778" s="78"/>
      <c r="K778" s="20"/>
    </row>
    <row r="779" spans="1:11" x14ac:dyDescent="0.2">
      <c r="A779" s="61"/>
      <c r="E779" s="78"/>
      <c r="K779" s="20"/>
    </row>
    <row r="780" spans="1:11" x14ac:dyDescent="0.2">
      <c r="A780" s="61"/>
      <c r="E780" s="78"/>
      <c r="K780" s="20"/>
    </row>
    <row r="781" spans="1:11" x14ac:dyDescent="0.2">
      <c r="A781" s="61"/>
      <c r="E781" s="78"/>
      <c r="K781" s="20"/>
    </row>
    <row r="782" spans="1:11" x14ac:dyDescent="0.2">
      <c r="A782" s="61"/>
      <c r="E782" s="78"/>
      <c r="K782" s="20"/>
    </row>
    <row r="783" spans="1:11" x14ac:dyDescent="0.2">
      <c r="A783" s="61"/>
      <c r="E783" s="78"/>
      <c r="K783" s="20"/>
    </row>
    <row r="784" spans="1:11" x14ac:dyDescent="0.2">
      <c r="A784" s="61"/>
      <c r="E784" s="78"/>
      <c r="K784" s="20"/>
    </row>
    <row r="785" spans="1:11" x14ac:dyDescent="0.2">
      <c r="A785" s="61"/>
      <c r="E785" s="78"/>
      <c r="K785" s="20"/>
    </row>
    <row r="786" spans="1:11" x14ac:dyDescent="0.2">
      <c r="A786" s="61"/>
      <c r="E786" s="78"/>
      <c r="K786" s="20"/>
    </row>
    <row r="787" spans="1:11" x14ac:dyDescent="0.2">
      <c r="A787" s="61"/>
      <c r="E787" s="78"/>
      <c r="K787" s="20"/>
    </row>
    <row r="788" spans="1:11" x14ac:dyDescent="0.2">
      <c r="A788" s="61"/>
      <c r="E788" s="78"/>
      <c r="K788" s="20"/>
    </row>
    <row r="789" spans="1:11" x14ac:dyDescent="0.2">
      <c r="A789" s="61"/>
      <c r="E789" s="78"/>
      <c r="K789" s="20"/>
    </row>
    <row r="790" spans="1:11" x14ac:dyDescent="0.2">
      <c r="A790" s="61"/>
      <c r="E790" s="78"/>
      <c r="K790" s="20"/>
    </row>
    <row r="791" spans="1:11" x14ac:dyDescent="0.2">
      <c r="A791" s="61"/>
      <c r="E791" s="78"/>
      <c r="K791" s="20"/>
    </row>
    <row r="792" spans="1:11" x14ac:dyDescent="0.2">
      <c r="A792" s="61"/>
      <c r="E792" s="78"/>
      <c r="K792" s="20"/>
    </row>
    <row r="793" spans="1:11" x14ac:dyDescent="0.2">
      <c r="A793" s="61"/>
      <c r="E793" s="78"/>
      <c r="K793" s="20"/>
    </row>
    <row r="794" spans="1:11" x14ac:dyDescent="0.2">
      <c r="A794" s="61"/>
      <c r="E794" s="78"/>
      <c r="K794" s="20"/>
    </row>
    <row r="795" spans="1:11" x14ac:dyDescent="0.2">
      <c r="A795" s="61"/>
      <c r="E795" s="78"/>
      <c r="K795" s="20"/>
    </row>
    <row r="796" spans="1:11" x14ac:dyDescent="0.2">
      <c r="A796" s="61"/>
      <c r="E796" s="78"/>
      <c r="K796" s="20"/>
    </row>
    <row r="797" spans="1:11" x14ac:dyDescent="0.2">
      <c r="A797" s="61"/>
      <c r="E797" s="78"/>
      <c r="K797" s="20"/>
    </row>
    <row r="798" spans="1:11" x14ac:dyDescent="0.2">
      <c r="A798" s="61"/>
      <c r="E798" s="78"/>
      <c r="K798" s="20"/>
    </row>
    <row r="799" spans="1:11" x14ac:dyDescent="0.2">
      <c r="A799" s="61"/>
      <c r="E799" s="78"/>
      <c r="K799" s="20"/>
    </row>
    <row r="800" spans="1:11" x14ac:dyDescent="0.2">
      <c r="A800" s="61"/>
      <c r="E800" s="78"/>
      <c r="K800" s="20"/>
    </row>
    <row r="801" spans="1:11" x14ac:dyDescent="0.2">
      <c r="A801" s="61"/>
      <c r="E801" s="78"/>
      <c r="K801" s="20"/>
    </row>
    <row r="802" spans="1:11" x14ac:dyDescent="0.2">
      <c r="A802" s="61"/>
      <c r="E802" s="78"/>
      <c r="K802" s="20"/>
    </row>
    <row r="803" spans="1:11" x14ac:dyDescent="0.2">
      <c r="A803" s="61"/>
      <c r="E803" s="78"/>
      <c r="K803" s="20"/>
    </row>
    <row r="804" spans="1:11" x14ac:dyDescent="0.2">
      <c r="A804" s="61"/>
      <c r="E804" s="78"/>
      <c r="K804" s="20"/>
    </row>
    <row r="805" spans="1:11" x14ac:dyDescent="0.2">
      <c r="A805" s="61"/>
      <c r="E805" s="78"/>
      <c r="K805" s="20"/>
    </row>
    <row r="806" spans="1:11" x14ac:dyDescent="0.2">
      <c r="A806" s="61"/>
      <c r="E806" s="78"/>
      <c r="K806" s="20"/>
    </row>
    <row r="807" spans="1:11" x14ac:dyDescent="0.2">
      <c r="A807" s="61"/>
      <c r="E807" s="78"/>
      <c r="K807" s="20"/>
    </row>
    <row r="808" spans="1:11" x14ac:dyDescent="0.2">
      <c r="A808" s="61"/>
      <c r="E808" s="78"/>
      <c r="K808" s="20"/>
    </row>
    <row r="809" spans="1:11" x14ac:dyDescent="0.2">
      <c r="A809" s="61"/>
      <c r="E809" s="78"/>
      <c r="K809" s="20"/>
    </row>
    <row r="810" spans="1:11" x14ac:dyDescent="0.2">
      <c r="A810" s="61"/>
      <c r="E810" s="78"/>
      <c r="K810" s="20"/>
    </row>
    <row r="811" spans="1:11" x14ac:dyDescent="0.2">
      <c r="A811" s="61"/>
      <c r="E811" s="78"/>
      <c r="K811" s="20"/>
    </row>
    <row r="812" spans="1:11" x14ac:dyDescent="0.2">
      <c r="A812" s="61"/>
      <c r="E812" s="78"/>
      <c r="K812" s="20"/>
    </row>
    <row r="813" spans="1:11" x14ac:dyDescent="0.2">
      <c r="A813" s="61"/>
      <c r="E813" s="78"/>
      <c r="K813" s="20"/>
    </row>
    <row r="814" spans="1:11" x14ac:dyDescent="0.2">
      <c r="A814" s="61"/>
      <c r="E814" s="78"/>
      <c r="K814" s="20"/>
    </row>
    <row r="815" spans="1:11" x14ac:dyDescent="0.2">
      <c r="A815" s="61"/>
      <c r="E815" s="78"/>
      <c r="K815" s="20"/>
    </row>
    <row r="816" spans="1:11" x14ac:dyDescent="0.2">
      <c r="A816" s="61"/>
      <c r="E816" s="78"/>
      <c r="K816" s="20"/>
    </row>
    <row r="817" spans="1:11" x14ac:dyDescent="0.2">
      <c r="A817" s="61"/>
      <c r="E817" s="78"/>
      <c r="K817" s="20"/>
    </row>
    <row r="818" spans="1:11" x14ac:dyDescent="0.2">
      <c r="A818" s="61"/>
      <c r="E818" s="78"/>
      <c r="K818" s="20"/>
    </row>
    <row r="819" spans="1:11" x14ac:dyDescent="0.2">
      <c r="A819" s="61"/>
      <c r="E819" s="78"/>
      <c r="K819" s="20"/>
    </row>
    <row r="820" spans="1:11" x14ac:dyDescent="0.2">
      <c r="A820" s="61"/>
      <c r="E820" s="78"/>
      <c r="K820" s="20"/>
    </row>
    <row r="821" spans="1:11" x14ac:dyDescent="0.2">
      <c r="A821" s="61"/>
      <c r="E821" s="78"/>
      <c r="K821" s="20"/>
    </row>
    <row r="822" spans="1:11" x14ac:dyDescent="0.2">
      <c r="A822" s="61"/>
      <c r="E822" s="78"/>
      <c r="K822" s="20"/>
    </row>
    <row r="823" spans="1:11" x14ac:dyDescent="0.2">
      <c r="A823" s="61"/>
      <c r="E823" s="78"/>
      <c r="K823" s="20"/>
    </row>
    <row r="824" spans="1:11" x14ac:dyDescent="0.2">
      <c r="A824" s="61"/>
      <c r="E824" s="78"/>
      <c r="K824" s="20"/>
    </row>
    <row r="825" spans="1:11" x14ac:dyDescent="0.2">
      <c r="A825" s="61"/>
      <c r="E825" s="78"/>
      <c r="K825" s="20"/>
    </row>
    <row r="826" spans="1:11" x14ac:dyDescent="0.2">
      <c r="A826" s="61"/>
      <c r="E826" s="78"/>
      <c r="K826" s="20"/>
    </row>
    <row r="827" spans="1:11" x14ac:dyDescent="0.2">
      <c r="A827" s="61"/>
      <c r="E827" s="78"/>
      <c r="K827" s="20"/>
    </row>
    <row r="828" spans="1:11" x14ac:dyDescent="0.2">
      <c r="A828" s="61"/>
      <c r="E828" s="78"/>
      <c r="K828" s="20"/>
    </row>
    <row r="829" spans="1:11" x14ac:dyDescent="0.2">
      <c r="A829" s="61"/>
      <c r="E829" s="78"/>
      <c r="K829" s="20"/>
    </row>
    <row r="830" spans="1:11" x14ac:dyDescent="0.2">
      <c r="A830" s="61"/>
      <c r="E830" s="78"/>
      <c r="K830" s="20"/>
    </row>
    <row r="831" spans="1:11" x14ac:dyDescent="0.2">
      <c r="A831" s="61"/>
      <c r="E831" s="78"/>
      <c r="K831" s="20"/>
    </row>
    <row r="832" spans="1:11" x14ac:dyDescent="0.2">
      <c r="A832" s="61"/>
      <c r="E832" s="78"/>
      <c r="K832" s="20"/>
    </row>
    <row r="833" spans="1:11" x14ac:dyDescent="0.2">
      <c r="A833" s="61"/>
      <c r="E833" s="78"/>
      <c r="K833" s="20"/>
    </row>
    <row r="834" spans="1:11" x14ac:dyDescent="0.2">
      <c r="A834" s="61"/>
      <c r="E834" s="78"/>
      <c r="K834" s="20"/>
    </row>
    <row r="835" spans="1:11" x14ac:dyDescent="0.2">
      <c r="A835" s="61"/>
      <c r="E835" s="78"/>
      <c r="K835" s="20"/>
    </row>
    <row r="836" spans="1:11" x14ac:dyDescent="0.2">
      <c r="A836" s="61"/>
      <c r="E836" s="78"/>
      <c r="K836" s="20"/>
    </row>
    <row r="837" spans="1:11" x14ac:dyDescent="0.2">
      <c r="A837" s="61"/>
      <c r="E837" s="78"/>
      <c r="K837" s="20"/>
    </row>
    <row r="838" spans="1:11" x14ac:dyDescent="0.2">
      <c r="A838" s="61"/>
      <c r="E838" s="78"/>
      <c r="K838" s="20"/>
    </row>
    <row r="839" spans="1:11" x14ac:dyDescent="0.2">
      <c r="A839" s="61"/>
      <c r="E839" s="78"/>
      <c r="K839" s="20"/>
    </row>
    <row r="840" spans="1:11" x14ac:dyDescent="0.2">
      <c r="A840" s="61"/>
      <c r="E840" s="78"/>
      <c r="K840" s="20"/>
    </row>
    <row r="841" spans="1:11" x14ac:dyDescent="0.2">
      <c r="A841" s="61"/>
      <c r="E841" s="78"/>
      <c r="K841" s="20"/>
    </row>
    <row r="842" spans="1:11" x14ac:dyDescent="0.2">
      <c r="A842" s="61"/>
      <c r="E842" s="78"/>
      <c r="K842" s="20"/>
    </row>
    <row r="843" spans="1:11" x14ac:dyDescent="0.2">
      <c r="A843" s="61"/>
      <c r="E843" s="78"/>
      <c r="K843" s="20"/>
    </row>
    <row r="844" spans="1:11" x14ac:dyDescent="0.2">
      <c r="A844" s="61"/>
      <c r="E844" s="78"/>
      <c r="K844" s="20"/>
    </row>
    <row r="845" spans="1:11" x14ac:dyDescent="0.2">
      <c r="A845" s="61"/>
      <c r="E845" s="78"/>
      <c r="K845" s="20"/>
    </row>
    <row r="846" spans="1:11" x14ac:dyDescent="0.2">
      <c r="A846" s="61"/>
      <c r="E846" s="78"/>
      <c r="K846" s="20"/>
    </row>
    <row r="847" spans="1:11" x14ac:dyDescent="0.2">
      <c r="A847" s="61"/>
      <c r="E847" s="78"/>
      <c r="K847" s="20"/>
    </row>
    <row r="848" spans="1:11" x14ac:dyDescent="0.2">
      <c r="A848" s="61"/>
      <c r="E848" s="78"/>
      <c r="K848" s="20"/>
    </row>
    <row r="849" spans="1:11" x14ac:dyDescent="0.2">
      <c r="A849" s="61"/>
      <c r="E849" s="78"/>
      <c r="K849" s="20"/>
    </row>
    <row r="850" spans="1:11" x14ac:dyDescent="0.2">
      <c r="A850" s="61"/>
      <c r="E850" s="78"/>
      <c r="K850" s="20"/>
    </row>
    <row r="851" spans="1:11" x14ac:dyDescent="0.2">
      <c r="A851" s="61"/>
      <c r="E851" s="78"/>
      <c r="K851" s="20"/>
    </row>
    <row r="852" spans="1:11" x14ac:dyDescent="0.2">
      <c r="A852" s="61"/>
      <c r="E852" s="78"/>
      <c r="K852" s="20"/>
    </row>
    <row r="853" spans="1:11" x14ac:dyDescent="0.2">
      <c r="A853" s="61"/>
      <c r="E853" s="78"/>
      <c r="K853" s="20"/>
    </row>
    <row r="854" spans="1:11" x14ac:dyDescent="0.2">
      <c r="A854" s="61"/>
      <c r="E854" s="78"/>
      <c r="K854" s="20"/>
    </row>
    <row r="855" spans="1:11" x14ac:dyDescent="0.2">
      <c r="A855" s="61"/>
      <c r="E855" s="78"/>
      <c r="K855" s="20"/>
    </row>
    <row r="856" spans="1:11" x14ac:dyDescent="0.2">
      <c r="A856" s="61"/>
      <c r="E856" s="78"/>
      <c r="K856" s="20"/>
    </row>
    <row r="857" spans="1:11" x14ac:dyDescent="0.2">
      <c r="A857" s="61"/>
      <c r="E857" s="78"/>
      <c r="K857" s="20"/>
    </row>
    <row r="858" spans="1:11" x14ac:dyDescent="0.2">
      <c r="A858" s="61"/>
      <c r="E858" s="78"/>
      <c r="K858" s="20"/>
    </row>
    <row r="859" spans="1:11" x14ac:dyDescent="0.2">
      <c r="A859" s="61"/>
      <c r="E859" s="78"/>
      <c r="K859" s="20"/>
    </row>
    <row r="860" spans="1:11" x14ac:dyDescent="0.2">
      <c r="A860" s="61"/>
      <c r="E860" s="78"/>
      <c r="K860" s="20"/>
    </row>
    <row r="861" spans="1:11" x14ac:dyDescent="0.2">
      <c r="A861" s="61"/>
      <c r="E861" s="78"/>
      <c r="K861" s="20"/>
    </row>
    <row r="862" spans="1:11" x14ac:dyDescent="0.2">
      <c r="A862" s="61"/>
      <c r="E862" s="78"/>
      <c r="K862" s="20"/>
    </row>
    <row r="863" spans="1:11" x14ac:dyDescent="0.2">
      <c r="A863" s="61"/>
      <c r="E863" s="78"/>
      <c r="K863" s="20"/>
    </row>
    <row r="864" spans="1:11" x14ac:dyDescent="0.2">
      <c r="A864" s="61"/>
      <c r="E864" s="78"/>
      <c r="K864" s="20"/>
    </row>
    <row r="865" spans="1:11" x14ac:dyDescent="0.2">
      <c r="A865" s="61"/>
      <c r="E865" s="78"/>
      <c r="K865" s="20"/>
    </row>
    <row r="866" spans="1:11" x14ac:dyDescent="0.2">
      <c r="A866" s="61"/>
      <c r="E866" s="78"/>
      <c r="K866" s="20"/>
    </row>
    <row r="867" spans="1:11" x14ac:dyDescent="0.2">
      <c r="A867" s="61"/>
      <c r="E867" s="78"/>
      <c r="K867" s="20"/>
    </row>
    <row r="868" spans="1:11" x14ac:dyDescent="0.2">
      <c r="A868" s="61"/>
      <c r="E868" s="78"/>
      <c r="K868" s="20"/>
    </row>
    <row r="869" spans="1:11" x14ac:dyDescent="0.2">
      <c r="A869" s="61"/>
      <c r="E869" s="78"/>
      <c r="K869" s="20"/>
    </row>
    <row r="870" spans="1:11" x14ac:dyDescent="0.2">
      <c r="A870" s="61"/>
      <c r="E870" s="78"/>
      <c r="K870" s="20"/>
    </row>
    <row r="871" spans="1:11" x14ac:dyDescent="0.2">
      <c r="A871" s="61"/>
      <c r="E871" s="78"/>
      <c r="K871" s="20"/>
    </row>
    <row r="872" spans="1:11" x14ac:dyDescent="0.2">
      <c r="A872" s="61"/>
      <c r="E872" s="78"/>
      <c r="K872" s="20"/>
    </row>
    <row r="873" spans="1:11" x14ac:dyDescent="0.2">
      <c r="A873" s="61"/>
      <c r="E873" s="78"/>
      <c r="K873" s="20"/>
    </row>
    <row r="874" spans="1:11" x14ac:dyDescent="0.2">
      <c r="A874" s="61"/>
      <c r="E874" s="78"/>
      <c r="K874" s="20"/>
    </row>
    <row r="875" spans="1:11" x14ac:dyDescent="0.2">
      <c r="A875" s="61"/>
      <c r="E875" s="78"/>
      <c r="K875" s="20"/>
    </row>
    <row r="876" spans="1:11" x14ac:dyDescent="0.2">
      <c r="A876" s="61"/>
      <c r="E876" s="78"/>
      <c r="K876" s="20"/>
    </row>
    <row r="877" spans="1:11" x14ac:dyDescent="0.2">
      <c r="A877" s="61"/>
      <c r="E877" s="78"/>
      <c r="K877" s="20"/>
    </row>
    <row r="878" spans="1:11" x14ac:dyDescent="0.2">
      <c r="A878" s="61"/>
      <c r="E878" s="78"/>
      <c r="K878" s="20"/>
    </row>
    <row r="879" spans="1:11" x14ac:dyDescent="0.2">
      <c r="A879" s="61"/>
      <c r="E879" s="78"/>
      <c r="K879" s="20"/>
    </row>
    <row r="880" spans="1:11" x14ac:dyDescent="0.2">
      <c r="A880" s="61"/>
      <c r="E880" s="78"/>
      <c r="K880" s="20"/>
    </row>
    <row r="881" spans="1:11" x14ac:dyDescent="0.2">
      <c r="A881" s="61"/>
      <c r="E881" s="78"/>
      <c r="K881" s="20"/>
    </row>
    <row r="882" spans="1:11" x14ac:dyDescent="0.2">
      <c r="A882" s="61"/>
      <c r="E882" s="78"/>
      <c r="K882" s="20"/>
    </row>
    <row r="883" spans="1:11" x14ac:dyDescent="0.2">
      <c r="A883" s="61"/>
      <c r="E883" s="78"/>
      <c r="K883" s="20"/>
    </row>
    <row r="884" spans="1:11" x14ac:dyDescent="0.2">
      <c r="A884" s="61"/>
      <c r="E884" s="78"/>
      <c r="K884" s="20"/>
    </row>
    <row r="885" spans="1:11" x14ac:dyDescent="0.2">
      <c r="A885" s="61"/>
      <c r="E885" s="78"/>
      <c r="K885" s="20"/>
    </row>
    <row r="886" spans="1:11" x14ac:dyDescent="0.2">
      <c r="A886" s="61"/>
      <c r="E886" s="78"/>
      <c r="K886" s="20"/>
    </row>
    <row r="887" spans="1:11" x14ac:dyDescent="0.2">
      <c r="A887" s="61"/>
      <c r="E887" s="78"/>
      <c r="K887" s="20"/>
    </row>
    <row r="888" spans="1:11" x14ac:dyDescent="0.2">
      <c r="A888" s="61"/>
      <c r="E888" s="78"/>
      <c r="K888" s="20"/>
    </row>
    <row r="889" spans="1:11" x14ac:dyDescent="0.2">
      <c r="A889" s="61"/>
      <c r="E889" s="78"/>
      <c r="K889" s="20"/>
    </row>
    <row r="890" spans="1:11" x14ac:dyDescent="0.2">
      <c r="A890" s="61"/>
      <c r="E890" s="78"/>
      <c r="K890" s="20"/>
    </row>
    <row r="891" spans="1:11" x14ac:dyDescent="0.2">
      <c r="A891" s="61"/>
      <c r="E891" s="78"/>
      <c r="K891" s="20"/>
    </row>
    <row r="892" spans="1:11" x14ac:dyDescent="0.2">
      <c r="A892" s="61"/>
      <c r="E892" s="78"/>
      <c r="K892" s="20"/>
    </row>
    <row r="893" spans="1:11" x14ac:dyDescent="0.2">
      <c r="A893" s="61"/>
      <c r="E893" s="78"/>
      <c r="K893" s="20"/>
    </row>
    <row r="894" spans="1:11" x14ac:dyDescent="0.2">
      <c r="A894" s="61"/>
      <c r="E894" s="78"/>
      <c r="K894" s="20"/>
    </row>
    <row r="895" spans="1:11" x14ac:dyDescent="0.2">
      <c r="A895" s="61"/>
      <c r="E895" s="78"/>
      <c r="K895" s="20"/>
    </row>
    <row r="896" spans="1:11" x14ac:dyDescent="0.2">
      <c r="A896" s="61"/>
      <c r="E896" s="78"/>
      <c r="K896" s="20"/>
    </row>
    <row r="897" spans="1:11" x14ac:dyDescent="0.2">
      <c r="A897" s="61"/>
      <c r="E897" s="78"/>
      <c r="K897" s="20"/>
    </row>
    <row r="898" spans="1:11" x14ac:dyDescent="0.2">
      <c r="A898" s="61"/>
      <c r="E898" s="78"/>
      <c r="K898" s="20"/>
    </row>
    <row r="899" spans="1:11" x14ac:dyDescent="0.2">
      <c r="A899" s="61"/>
      <c r="E899" s="78"/>
      <c r="K899" s="20"/>
    </row>
    <row r="900" spans="1:11" x14ac:dyDescent="0.2">
      <c r="A900" s="61"/>
      <c r="E900" s="78"/>
      <c r="K900" s="20"/>
    </row>
    <row r="901" spans="1:11" x14ac:dyDescent="0.2">
      <c r="A901" s="61"/>
      <c r="E901" s="78"/>
      <c r="K901" s="20"/>
    </row>
    <row r="902" spans="1:11" x14ac:dyDescent="0.2">
      <c r="A902" s="61"/>
      <c r="E902" s="78"/>
      <c r="K902" s="20"/>
    </row>
    <row r="903" spans="1:11" x14ac:dyDescent="0.2">
      <c r="A903" s="61"/>
      <c r="E903" s="78"/>
      <c r="K903" s="20"/>
    </row>
    <row r="904" spans="1:11" x14ac:dyDescent="0.2">
      <c r="A904" s="61"/>
      <c r="E904" s="78"/>
      <c r="K904" s="20"/>
    </row>
    <row r="905" spans="1:11" x14ac:dyDescent="0.2">
      <c r="A905" s="61"/>
      <c r="E905" s="78"/>
      <c r="K905" s="20"/>
    </row>
    <row r="906" spans="1:11" x14ac:dyDescent="0.2">
      <c r="A906" s="61"/>
      <c r="E906" s="78"/>
      <c r="K906" s="20"/>
    </row>
    <row r="907" spans="1:11" x14ac:dyDescent="0.2">
      <c r="A907" s="61"/>
      <c r="E907" s="78"/>
      <c r="K907" s="20"/>
    </row>
    <row r="908" spans="1:11" x14ac:dyDescent="0.2">
      <c r="A908" s="61"/>
      <c r="E908" s="78"/>
      <c r="K908" s="20"/>
    </row>
    <row r="909" spans="1:11" x14ac:dyDescent="0.2">
      <c r="A909" s="61"/>
      <c r="E909" s="78"/>
      <c r="K909" s="20"/>
    </row>
    <row r="910" spans="1:11" x14ac:dyDescent="0.2">
      <c r="A910" s="61"/>
      <c r="E910" s="78"/>
      <c r="K910" s="20"/>
    </row>
    <row r="911" spans="1:11" x14ac:dyDescent="0.2">
      <c r="A911" s="61"/>
      <c r="E911" s="78"/>
      <c r="K911" s="20"/>
    </row>
    <row r="912" spans="1:11" x14ac:dyDescent="0.2">
      <c r="A912" s="61"/>
      <c r="E912" s="78"/>
      <c r="K912" s="20"/>
    </row>
    <row r="913" spans="1:11" x14ac:dyDescent="0.2">
      <c r="A913" s="61"/>
      <c r="E913" s="78"/>
      <c r="K913" s="20"/>
    </row>
    <row r="914" spans="1:11" x14ac:dyDescent="0.2">
      <c r="A914" s="61"/>
      <c r="E914" s="78"/>
      <c r="K914" s="20"/>
    </row>
    <row r="915" spans="1:11" x14ac:dyDescent="0.2">
      <c r="A915" s="61"/>
      <c r="E915" s="78"/>
      <c r="K915" s="20"/>
    </row>
    <row r="916" spans="1:11" x14ac:dyDescent="0.2">
      <c r="A916" s="61"/>
      <c r="E916" s="78"/>
      <c r="K916" s="20"/>
    </row>
    <row r="917" spans="1:11" x14ac:dyDescent="0.2">
      <c r="A917" s="61"/>
      <c r="E917" s="78"/>
      <c r="K917" s="20"/>
    </row>
    <row r="918" spans="1:11" x14ac:dyDescent="0.2">
      <c r="A918" s="61"/>
      <c r="E918" s="78"/>
      <c r="K918" s="20"/>
    </row>
    <row r="919" spans="1:11" x14ac:dyDescent="0.2">
      <c r="A919" s="61"/>
      <c r="E919" s="78"/>
      <c r="K919" s="20"/>
    </row>
    <row r="920" spans="1:11" x14ac:dyDescent="0.2">
      <c r="A920" s="61"/>
      <c r="E920" s="78"/>
      <c r="K920" s="20"/>
    </row>
    <row r="921" spans="1:11" x14ac:dyDescent="0.2">
      <c r="A921" s="61"/>
      <c r="E921" s="78"/>
      <c r="K921" s="20"/>
    </row>
    <row r="922" spans="1:11" x14ac:dyDescent="0.2">
      <c r="A922" s="61"/>
      <c r="E922" s="78"/>
      <c r="K922" s="20"/>
    </row>
    <row r="923" spans="1:11" x14ac:dyDescent="0.2">
      <c r="A923" s="61"/>
      <c r="E923" s="78"/>
      <c r="K923" s="20"/>
    </row>
    <row r="924" spans="1:11" x14ac:dyDescent="0.2">
      <c r="A924" s="61"/>
      <c r="E924" s="78"/>
      <c r="K924" s="20"/>
    </row>
    <row r="925" spans="1:11" x14ac:dyDescent="0.2">
      <c r="A925" s="61"/>
      <c r="E925" s="78"/>
      <c r="K925" s="20"/>
    </row>
    <row r="926" spans="1:11" x14ac:dyDescent="0.2">
      <c r="A926" s="61"/>
      <c r="E926" s="78"/>
      <c r="K926" s="20"/>
    </row>
    <row r="927" spans="1:11" x14ac:dyDescent="0.2">
      <c r="A927" s="61"/>
      <c r="E927" s="78"/>
      <c r="K927" s="20"/>
    </row>
    <row r="928" spans="1:11" x14ac:dyDescent="0.2">
      <c r="A928" s="61"/>
      <c r="E928" s="78"/>
      <c r="K928" s="20"/>
    </row>
    <row r="929" spans="1:11" x14ac:dyDescent="0.2">
      <c r="A929" s="61"/>
      <c r="E929" s="78"/>
      <c r="K929" s="20"/>
    </row>
    <row r="930" spans="1:11" x14ac:dyDescent="0.2">
      <c r="A930" s="61"/>
      <c r="E930" s="78"/>
      <c r="K930" s="20"/>
    </row>
    <row r="931" spans="1:11" x14ac:dyDescent="0.2">
      <c r="A931" s="61"/>
      <c r="E931" s="78"/>
      <c r="K931" s="20"/>
    </row>
    <row r="932" spans="1:11" x14ac:dyDescent="0.2">
      <c r="A932" s="61"/>
      <c r="E932" s="78"/>
      <c r="K932" s="20"/>
    </row>
    <row r="933" spans="1:11" x14ac:dyDescent="0.2">
      <c r="A933" s="61"/>
      <c r="E933" s="78"/>
      <c r="K933" s="20"/>
    </row>
    <row r="934" spans="1:11" x14ac:dyDescent="0.2">
      <c r="A934" s="61"/>
      <c r="E934" s="78"/>
      <c r="K934" s="20"/>
    </row>
    <row r="935" spans="1:11" x14ac:dyDescent="0.2">
      <c r="A935" s="61"/>
      <c r="E935" s="78"/>
      <c r="K935" s="20"/>
    </row>
    <row r="936" spans="1:11" x14ac:dyDescent="0.2">
      <c r="A936" s="61"/>
      <c r="E936" s="78"/>
      <c r="K936" s="20"/>
    </row>
    <row r="937" spans="1:11" x14ac:dyDescent="0.2">
      <c r="A937" s="61"/>
      <c r="E937" s="78"/>
      <c r="K937" s="20"/>
    </row>
    <row r="938" spans="1:11" x14ac:dyDescent="0.2">
      <c r="A938" s="61"/>
      <c r="E938" s="78"/>
      <c r="K938" s="20"/>
    </row>
    <row r="939" spans="1:11" x14ac:dyDescent="0.2">
      <c r="A939" s="61"/>
      <c r="E939" s="78"/>
      <c r="K939" s="20"/>
    </row>
    <row r="940" spans="1:11" x14ac:dyDescent="0.2">
      <c r="A940" s="61"/>
      <c r="E940" s="78"/>
      <c r="K940" s="20"/>
    </row>
    <row r="941" spans="1:11" x14ac:dyDescent="0.2">
      <c r="A941" s="61"/>
      <c r="E941" s="78"/>
      <c r="K941" s="20"/>
    </row>
    <row r="942" spans="1:11" x14ac:dyDescent="0.2">
      <c r="A942" s="61"/>
      <c r="E942" s="78"/>
      <c r="K942" s="20"/>
    </row>
    <row r="943" spans="1:11" x14ac:dyDescent="0.2">
      <c r="A943" s="61"/>
      <c r="E943" s="78"/>
      <c r="K943" s="20"/>
    </row>
    <row r="944" spans="1:11" x14ac:dyDescent="0.2">
      <c r="A944" s="61"/>
      <c r="E944" s="78"/>
      <c r="K944" s="20"/>
    </row>
    <row r="945" spans="1:11" x14ac:dyDescent="0.2">
      <c r="A945" s="61"/>
      <c r="E945" s="78"/>
      <c r="K945" s="20"/>
    </row>
    <row r="946" spans="1:11" x14ac:dyDescent="0.2">
      <c r="A946" s="61"/>
      <c r="E946" s="78"/>
      <c r="K946" s="20"/>
    </row>
    <row r="947" spans="1:11" x14ac:dyDescent="0.2">
      <c r="A947" s="61"/>
      <c r="E947" s="78"/>
      <c r="K947" s="20"/>
    </row>
    <row r="948" spans="1:11" x14ac:dyDescent="0.2">
      <c r="A948" s="61"/>
      <c r="E948" s="78"/>
      <c r="K948" s="20"/>
    </row>
    <row r="949" spans="1:11" x14ac:dyDescent="0.2">
      <c r="A949" s="61"/>
      <c r="E949" s="78"/>
      <c r="K949" s="20"/>
    </row>
    <row r="950" spans="1:11" x14ac:dyDescent="0.2">
      <c r="A950" s="61"/>
      <c r="E950" s="78"/>
      <c r="K950" s="20"/>
    </row>
    <row r="951" spans="1:11" x14ac:dyDescent="0.2">
      <c r="A951" s="61"/>
      <c r="E951" s="78"/>
      <c r="K951" s="20"/>
    </row>
    <row r="952" spans="1:11" x14ac:dyDescent="0.2">
      <c r="A952" s="61"/>
      <c r="E952" s="78"/>
      <c r="K952" s="20"/>
    </row>
    <row r="953" spans="1:11" x14ac:dyDescent="0.2">
      <c r="A953" s="61"/>
      <c r="E953" s="78"/>
      <c r="K953" s="20"/>
    </row>
    <row r="954" spans="1:11" x14ac:dyDescent="0.2">
      <c r="A954" s="61"/>
      <c r="E954" s="78"/>
      <c r="K954" s="20"/>
    </row>
    <row r="955" spans="1:11" x14ac:dyDescent="0.2">
      <c r="A955" s="61"/>
      <c r="E955" s="78"/>
      <c r="K955" s="20"/>
    </row>
    <row r="956" spans="1:11" x14ac:dyDescent="0.2">
      <c r="A956" s="61"/>
      <c r="E956" s="78"/>
      <c r="K956" s="20"/>
    </row>
    <row r="957" spans="1:11" x14ac:dyDescent="0.2">
      <c r="A957" s="61"/>
      <c r="E957" s="78"/>
      <c r="K957" s="20"/>
    </row>
    <row r="958" spans="1:11" x14ac:dyDescent="0.2">
      <c r="A958" s="61"/>
      <c r="E958" s="78"/>
      <c r="K958" s="20"/>
    </row>
    <row r="959" spans="1:11" x14ac:dyDescent="0.2">
      <c r="A959" s="61"/>
      <c r="E959" s="78"/>
      <c r="K959" s="20"/>
    </row>
    <row r="960" spans="1:11" x14ac:dyDescent="0.2">
      <c r="A960" s="61"/>
      <c r="E960" s="78"/>
      <c r="K960" s="20"/>
    </row>
    <row r="961" spans="1:11" x14ac:dyDescent="0.2">
      <c r="A961" s="61"/>
      <c r="E961" s="78"/>
      <c r="K961" s="20"/>
    </row>
    <row r="962" spans="1:11" x14ac:dyDescent="0.2">
      <c r="A962" s="61"/>
      <c r="E962" s="78"/>
      <c r="K962" s="20"/>
    </row>
    <row r="963" spans="1:11" x14ac:dyDescent="0.2">
      <c r="A963" s="61"/>
      <c r="E963" s="78"/>
      <c r="K963" s="20"/>
    </row>
    <row r="964" spans="1:11" x14ac:dyDescent="0.2">
      <c r="A964" s="61"/>
      <c r="E964" s="78"/>
      <c r="K964" s="20"/>
    </row>
    <row r="965" spans="1:11" x14ac:dyDescent="0.2">
      <c r="A965" s="61"/>
      <c r="E965" s="78"/>
      <c r="K965" s="20"/>
    </row>
    <row r="966" spans="1:11" x14ac:dyDescent="0.2">
      <c r="A966" s="61"/>
      <c r="E966" s="78"/>
      <c r="K966" s="20"/>
    </row>
    <row r="967" spans="1:11" x14ac:dyDescent="0.2">
      <c r="A967" s="61"/>
      <c r="E967" s="78"/>
      <c r="K967" s="20"/>
    </row>
    <row r="968" spans="1:11" x14ac:dyDescent="0.2">
      <c r="A968" s="61"/>
      <c r="E968" s="78"/>
      <c r="K968" s="20"/>
    </row>
    <row r="969" spans="1:11" x14ac:dyDescent="0.2">
      <c r="A969" s="61"/>
      <c r="E969" s="78"/>
      <c r="K969" s="20"/>
    </row>
    <row r="970" spans="1:11" x14ac:dyDescent="0.2">
      <c r="A970" s="61"/>
      <c r="E970" s="78"/>
      <c r="K970" s="20"/>
    </row>
    <row r="971" spans="1:11" x14ac:dyDescent="0.2">
      <c r="A971" s="61"/>
      <c r="E971" s="78"/>
      <c r="K971" s="20"/>
    </row>
    <row r="972" spans="1:11" x14ac:dyDescent="0.2">
      <c r="A972" s="61"/>
      <c r="E972" s="78"/>
      <c r="K972" s="20"/>
    </row>
    <row r="973" spans="1:11" x14ac:dyDescent="0.2">
      <c r="A973" s="61"/>
      <c r="E973" s="78"/>
      <c r="K973" s="20"/>
    </row>
    <row r="974" spans="1:11" x14ac:dyDescent="0.2">
      <c r="A974" s="61"/>
      <c r="E974" s="78"/>
      <c r="K974" s="20"/>
    </row>
    <row r="975" spans="1:11" x14ac:dyDescent="0.2">
      <c r="A975" s="61"/>
      <c r="E975" s="78"/>
      <c r="K975" s="20"/>
    </row>
    <row r="976" spans="1:11" x14ac:dyDescent="0.2">
      <c r="A976" s="61"/>
      <c r="E976" s="78"/>
      <c r="K976" s="20"/>
    </row>
    <row r="977" spans="1:11" x14ac:dyDescent="0.2">
      <c r="A977" s="61"/>
      <c r="E977" s="78"/>
      <c r="K977" s="20"/>
    </row>
    <row r="978" spans="1:11" x14ac:dyDescent="0.2">
      <c r="A978" s="61"/>
      <c r="E978" s="78"/>
      <c r="K978" s="20"/>
    </row>
    <row r="979" spans="1:11" x14ac:dyDescent="0.2">
      <c r="A979" s="61"/>
      <c r="E979" s="78"/>
      <c r="K979" s="20"/>
    </row>
    <row r="980" spans="1:11" x14ac:dyDescent="0.2">
      <c r="A980" s="61"/>
      <c r="E980" s="78"/>
      <c r="K980" s="20"/>
    </row>
    <row r="981" spans="1:11" x14ac:dyDescent="0.2">
      <c r="A981" s="61"/>
      <c r="E981" s="78"/>
      <c r="K981" s="20"/>
    </row>
    <row r="982" spans="1:11" x14ac:dyDescent="0.2">
      <c r="A982" s="61"/>
      <c r="E982" s="78"/>
      <c r="K982" s="20"/>
    </row>
    <row r="983" spans="1:11" x14ac:dyDescent="0.2">
      <c r="A983" s="61"/>
      <c r="E983" s="78"/>
      <c r="K983" s="20"/>
    </row>
    <row r="984" spans="1:11" x14ac:dyDescent="0.2">
      <c r="A984" s="61"/>
      <c r="E984" s="78"/>
      <c r="K984" s="20"/>
    </row>
    <row r="985" spans="1:11" x14ac:dyDescent="0.2">
      <c r="A985" s="61"/>
      <c r="E985" s="78"/>
      <c r="K985" s="20"/>
    </row>
    <row r="986" spans="1:11" x14ac:dyDescent="0.2">
      <c r="A986" s="61"/>
      <c r="E986" s="78"/>
      <c r="K986" s="20"/>
    </row>
    <row r="987" spans="1:11" x14ac:dyDescent="0.2">
      <c r="A987" s="61"/>
      <c r="E987" s="78"/>
      <c r="K987" s="20"/>
    </row>
    <row r="988" spans="1:11" x14ac:dyDescent="0.2">
      <c r="A988" s="61"/>
      <c r="E988" s="78"/>
      <c r="K988" s="20"/>
    </row>
    <row r="989" spans="1:11" x14ac:dyDescent="0.2">
      <c r="A989" s="61"/>
      <c r="E989" s="78"/>
      <c r="K989" s="20"/>
    </row>
    <row r="990" spans="1:11" x14ac:dyDescent="0.2">
      <c r="A990" s="61"/>
      <c r="E990" s="78"/>
      <c r="K990" s="20"/>
    </row>
    <row r="991" spans="1:11" x14ac:dyDescent="0.2">
      <c r="A991" s="61"/>
      <c r="E991" s="78"/>
      <c r="K991" s="20"/>
    </row>
    <row r="992" spans="1:11" x14ac:dyDescent="0.2">
      <c r="A992" s="61"/>
      <c r="E992" s="78"/>
      <c r="K992" s="20"/>
    </row>
    <row r="993" spans="1:11" x14ac:dyDescent="0.2">
      <c r="A993" s="61"/>
      <c r="E993" s="78"/>
      <c r="K993" s="20"/>
    </row>
    <row r="994" spans="1:11" x14ac:dyDescent="0.2">
      <c r="A994" s="61"/>
      <c r="E994" s="78"/>
      <c r="K994" s="20"/>
    </row>
    <row r="995" spans="1:11" x14ac:dyDescent="0.2">
      <c r="A995" s="61"/>
      <c r="E995" s="78"/>
      <c r="K995" s="20"/>
    </row>
    <row r="996" spans="1:11" x14ac:dyDescent="0.2">
      <c r="A996" s="61"/>
      <c r="E996" s="78"/>
      <c r="K996" s="20"/>
    </row>
    <row r="997" spans="1:11" x14ac:dyDescent="0.2">
      <c r="A997" s="61"/>
      <c r="E997" s="78"/>
      <c r="K997" s="20"/>
    </row>
    <row r="998" spans="1:11" x14ac:dyDescent="0.2">
      <c r="A998" s="61"/>
      <c r="E998" s="78"/>
      <c r="K998" s="20"/>
    </row>
    <row r="999" spans="1:11" x14ac:dyDescent="0.2">
      <c r="A999" s="61"/>
      <c r="E999" s="78"/>
      <c r="K999" s="20"/>
    </row>
    <row r="1000" spans="1:11" x14ac:dyDescent="0.2">
      <c r="A1000" s="61"/>
      <c r="E1000" s="78"/>
      <c r="K1000" s="20"/>
    </row>
    <row r="1001" spans="1:11" x14ac:dyDescent="0.2">
      <c r="A1001" s="61"/>
      <c r="E1001" s="78"/>
      <c r="K1001" s="20"/>
    </row>
    <row r="1002" spans="1:11" x14ac:dyDescent="0.2">
      <c r="A1002" s="61"/>
      <c r="E1002" s="78"/>
      <c r="K1002" s="20"/>
    </row>
    <row r="1003" spans="1:11" x14ac:dyDescent="0.2">
      <c r="A1003" s="61"/>
      <c r="E1003" s="78"/>
      <c r="K1003" s="20"/>
    </row>
    <row r="1004" spans="1:11" x14ac:dyDescent="0.2">
      <c r="A1004" s="61"/>
      <c r="E1004" s="78"/>
      <c r="K1004" s="20"/>
    </row>
    <row r="1005" spans="1:11" x14ac:dyDescent="0.2">
      <c r="A1005" s="61"/>
      <c r="E1005" s="78"/>
      <c r="K1005" s="20"/>
    </row>
    <row r="1006" spans="1:11" x14ac:dyDescent="0.2">
      <c r="A1006" s="61"/>
      <c r="E1006" s="78"/>
      <c r="K1006" s="20"/>
    </row>
    <row r="1007" spans="1:11" x14ac:dyDescent="0.2">
      <c r="A1007" s="61"/>
      <c r="E1007" s="78"/>
      <c r="K1007" s="20"/>
    </row>
    <row r="1008" spans="1:11" x14ac:dyDescent="0.2">
      <c r="A1008" s="61"/>
      <c r="E1008" s="78"/>
      <c r="K1008" s="20"/>
    </row>
    <row r="1009" spans="1:11" x14ac:dyDescent="0.2">
      <c r="A1009" s="61"/>
      <c r="E1009" s="78"/>
      <c r="K1009" s="20"/>
    </row>
    <row r="1010" spans="1:11" x14ac:dyDescent="0.2">
      <c r="A1010" s="61"/>
      <c r="E1010" s="78"/>
      <c r="K1010" s="20"/>
    </row>
    <row r="1011" spans="1:11" x14ac:dyDescent="0.2">
      <c r="A1011" s="61"/>
      <c r="E1011" s="78"/>
      <c r="K1011" s="20"/>
    </row>
    <row r="1012" spans="1:11" x14ac:dyDescent="0.2">
      <c r="A1012" s="61"/>
      <c r="E1012" s="78"/>
      <c r="K1012" s="20"/>
    </row>
    <row r="1013" spans="1:11" x14ac:dyDescent="0.2">
      <c r="A1013" s="61"/>
      <c r="E1013" s="78"/>
      <c r="K1013" s="20"/>
    </row>
    <row r="1014" spans="1:11" x14ac:dyDescent="0.2">
      <c r="A1014" s="61"/>
      <c r="E1014" s="78"/>
      <c r="K1014" s="20"/>
    </row>
    <row r="1015" spans="1:11" x14ac:dyDescent="0.2">
      <c r="A1015" s="61"/>
      <c r="E1015" s="78"/>
      <c r="K1015" s="20"/>
    </row>
    <row r="1016" spans="1:11" x14ac:dyDescent="0.2">
      <c r="A1016" s="61"/>
      <c r="E1016" s="78"/>
      <c r="K1016" s="20"/>
    </row>
    <row r="1017" spans="1:11" x14ac:dyDescent="0.2">
      <c r="A1017" s="61"/>
      <c r="E1017" s="78"/>
      <c r="K1017" s="20"/>
    </row>
    <row r="1018" spans="1:11" x14ac:dyDescent="0.2">
      <c r="A1018" s="61"/>
      <c r="E1018" s="78"/>
      <c r="K1018" s="20"/>
    </row>
    <row r="1019" spans="1:11" x14ac:dyDescent="0.2">
      <c r="A1019" s="61"/>
      <c r="E1019" s="78"/>
      <c r="K1019" s="20"/>
    </row>
    <row r="1020" spans="1:11" x14ac:dyDescent="0.2">
      <c r="A1020" s="61"/>
      <c r="E1020" s="78"/>
      <c r="K1020" s="20"/>
    </row>
    <row r="1021" spans="1:11" x14ac:dyDescent="0.2">
      <c r="A1021" s="61"/>
      <c r="E1021" s="78"/>
      <c r="K1021" s="20"/>
    </row>
    <row r="1022" spans="1:11" x14ac:dyDescent="0.2">
      <c r="A1022" s="61"/>
      <c r="E1022" s="78"/>
      <c r="K1022" s="20"/>
    </row>
    <row r="1023" spans="1:11" x14ac:dyDescent="0.2">
      <c r="A1023" s="61"/>
      <c r="E1023" s="78"/>
      <c r="K1023" s="20"/>
    </row>
    <row r="1024" spans="1:11" x14ac:dyDescent="0.2">
      <c r="A1024" s="61"/>
      <c r="E1024" s="78"/>
      <c r="K1024" s="20"/>
    </row>
    <row r="1025" spans="1:11" x14ac:dyDescent="0.2">
      <c r="A1025" s="61"/>
      <c r="E1025" s="78"/>
      <c r="K1025" s="20"/>
    </row>
    <row r="1026" spans="1:11" x14ac:dyDescent="0.2">
      <c r="A1026" s="61"/>
      <c r="E1026" s="78"/>
      <c r="K1026" s="20"/>
    </row>
    <row r="1027" spans="1:11" x14ac:dyDescent="0.2">
      <c r="A1027" s="61"/>
      <c r="E1027" s="78"/>
      <c r="K1027" s="20"/>
    </row>
    <row r="1028" spans="1:11" x14ac:dyDescent="0.2">
      <c r="A1028" s="61"/>
      <c r="E1028" s="78"/>
      <c r="K1028" s="20"/>
    </row>
    <row r="1029" spans="1:11" x14ac:dyDescent="0.2">
      <c r="A1029" s="61"/>
      <c r="E1029" s="78"/>
      <c r="K1029" s="20"/>
    </row>
    <row r="1030" spans="1:11" x14ac:dyDescent="0.2">
      <c r="A1030" s="61"/>
      <c r="E1030" s="78"/>
      <c r="K1030" s="20"/>
    </row>
    <row r="1031" spans="1:11" x14ac:dyDescent="0.2">
      <c r="A1031" s="61"/>
      <c r="E1031" s="78"/>
      <c r="K1031" s="20"/>
    </row>
    <row r="1032" spans="1:11" x14ac:dyDescent="0.2">
      <c r="A1032" s="61"/>
      <c r="E1032" s="78"/>
      <c r="K1032" s="20"/>
    </row>
    <row r="1033" spans="1:11" x14ac:dyDescent="0.2">
      <c r="A1033" s="61"/>
      <c r="E1033" s="78"/>
      <c r="K1033" s="20"/>
    </row>
    <row r="1034" spans="1:11" x14ac:dyDescent="0.2">
      <c r="A1034" s="61"/>
      <c r="E1034" s="78"/>
      <c r="K1034" s="20"/>
    </row>
    <row r="1035" spans="1:11" x14ac:dyDescent="0.2">
      <c r="A1035" s="61"/>
      <c r="E1035" s="78"/>
      <c r="K1035" s="20"/>
    </row>
    <row r="1036" spans="1:11" x14ac:dyDescent="0.2">
      <c r="A1036" s="61"/>
      <c r="E1036" s="78"/>
      <c r="K1036" s="20"/>
    </row>
    <row r="1037" spans="1:11" x14ac:dyDescent="0.2">
      <c r="A1037" s="61"/>
      <c r="E1037" s="78"/>
      <c r="K1037" s="20"/>
    </row>
    <row r="1038" spans="1:11" x14ac:dyDescent="0.2">
      <c r="A1038" s="61"/>
      <c r="E1038" s="78"/>
      <c r="K1038" s="20"/>
    </row>
    <row r="1039" spans="1:11" x14ac:dyDescent="0.2">
      <c r="A1039" s="61"/>
      <c r="E1039" s="78"/>
      <c r="K1039" s="20"/>
    </row>
    <row r="1040" spans="1:11" x14ac:dyDescent="0.2">
      <c r="A1040" s="61"/>
      <c r="E1040" s="78"/>
      <c r="K1040" s="20"/>
    </row>
    <row r="1041" spans="1:11" x14ac:dyDescent="0.2">
      <c r="A1041" s="61"/>
      <c r="E1041" s="78"/>
      <c r="K1041" s="20"/>
    </row>
    <row r="1042" spans="1:11" x14ac:dyDescent="0.2">
      <c r="A1042" s="61"/>
      <c r="E1042" s="78"/>
      <c r="K1042" s="20"/>
    </row>
    <row r="1043" spans="1:11" x14ac:dyDescent="0.2">
      <c r="A1043" s="61"/>
      <c r="E1043" s="78"/>
      <c r="K1043" s="20"/>
    </row>
    <row r="1044" spans="1:11" x14ac:dyDescent="0.2">
      <c r="A1044" s="61"/>
      <c r="E1044" s="78"/>
      <c r="K1044" s="20"/>
    </row>
    <row r="1045" spans="1:11" x14ac:dyDescent="0.2">
      <c r="A1045" s="61"/>
      <c r="E1045" s="78"/>
      <c r="K1045" s="20"/>
    </row>
    <row r="1046" spans="1:11" x14ac:dyDescent="0.2">
      <c r="A1046" s="61"/>
      <c r="E1046" s="78"/>
      <c r="K1046" s="20"/>
    </row>
    <row r="1047" spans="1:11" x14ac:dyDescent="0.2">
      <c r="A1047" s="61"/>
      <c r="E1047" s="78"/>
      <c r="K1047" s="20"/>
    </row>
    <row r="1048" spans="1:11" x14ac:dyDescent="0.2">
      <c r="A1048" s="61"/>
      <c r="E1048" s="78"/>
      <c r="K1048" s="20"/>
    </row>
    <row r="1049" spans="1:11" x14ac:dyDescent="0.2">
      <c r="A1049" s="61"/>
      <c r="E1049" s="78"/>
      <c r="K1049" s="20"/>
    </row>
    <row r="1050" spans="1:11" x14ac:dyDescent="0.2">
      <c r="A1050" s="61"/>
      <c r="E1050" s="78"/>
      <c r="K1050" s="20"/>
    </row>
    <row r="1051" spans="1:11" x14ac:dyDescent="0.2">
      <c r="A1051" s="61"/>
      <c r="E1051" s="78"/>
      <c r="K1051" s="20"/>
    </row>
    <row r="1052" spans="1:11" x14ac:dyDescent="0.2">
      <c r="A1052" s="61"/>
      <c r="E1052" s="78"/>
      <c r="K1052" s="20"/>
    </row>
    <row r="1053" spans="1:11" x14ac:dyDescent="0.2">
      <c r="A1053" s="61"/>
      <c r="E1053" s="78"/>
      <c r="K1053" s="20"/>
    </row>
    <row r="1054" spans="1:11" x14ac:dyDescent="0.2">
      <c r="A1054" s="61"/>
      <c r="E1054" s="78"/>
      <c r="K1054" s="20"/>
    </row>
    <row r="1055" spans="1:11" x14ac:dyDescent="0.2">
      <c r="A1055" s="61"/>
      <c r="E1055" s="78"/>
      <c r="K1055" s="20"/>
    </row>
    <row r="1056" spans="1:11" x14ac:dyDescent="0.2">
      <c r="A1056" s="61"/>
      <c r="E1056" s="78"/>
      <c r="K1056" s="20"/>
    </row>
    <row r="1057" spans="1:11" x14ac:dyDescent="0.2">
      <c r="A1057" s="61"/>
      <c r="E1057" s="78"/>
      <c r="K1057" s="20"/>
    </row>
    <row r="1058" spans="1:11" x14ac:dyDescent="0.2">
      <c r="A1058" s="61"/>
      <c r="E1058" s="78"/>
      <c r="K1058" s="20"/>
    </row>
    <row r="1059" spans="1:11" x14ac:dyDescent="0.2">
      <c r="A1059" s="61"/>
      <c r="E1059" s="78"/>
      <c r="K1059" s="20"/>
    </row>
    <row r="1060" spans="1:11" x14ac:dyDescent="0.2">
      <c r="A1060" s="61"/>
      <c r="E1060" s="78"/>
      <c r="K1060" s="20"/>
    </row>
    <row r="1061" spans="1:11" x14ac:dyDescent="0.2">
      <c r="A1061" s="61"/>
      <c r="E1061" s="78"/>
      <c r="K1061" s="20"/>
    </row>
    <row r="1062" spans="1:11" x14ac:dyDescent="0.2">
      <c r="A1062" s="61"/>
      <c r="E1062" s="78"/>
      <c r="K1062" s="20"/>
    </row>
    <row r="1063" spans="1:11" x14ac:dyDescent="0.2">
      <c r="A1063" s="61"/>
      <c r="E1063" s="78"/>
      <c r="K1063" s="20"/>
    </row>
    <row r="1064" spans="1:11" x14ac:dyDescent="0.2">
      <c r="A1064" s="61"/>
      <c r="E1064" s="78"/>
      <c r="K1064" s="20"/>
    </row>
    <row r="1065" spans="1:11" x14ac:dyDescent="0.2">
      <c r="A1065" s="61"/>
      <c r="E1065" s="78"/>
      <c r="K1065" s="20"/>
    </row>
    <row r="1066" spans="1:11" x14ac:dyDescent="0.2">
      <c r="A1066" s="61"/>
      <c r="E1066" s="78"/>
      <c r="K1066" s="20"/>
    </row>
    <row r="1067" spans="1:11" x14ac:dyDescent="0.2">
      <c r="A1067" s="61"/>
      <c r="E1067" s="78"/>
      <c r="K1067" s="20"/>
    </row>
    <row r="1068" spans="1:11" x14ac:dyDescent="0.2">
      <c r="A1068" s="61"/>
      <c r="E1068" s="78"/>
      <c r="K1068" s="20"/>
    </row>
    <row r="1069" spans="1:11" x14ac:dyDescent="0.2">
      <c r="A1069" s="61"/>
      <c r="E1069" s="78"/>
      <c r="K1069" s="20"/>
    </row>
    <row r="1070" spans="1:11" x14ac:dyDescent="0.2">
      <c r="A1070" s="61"/>
      <c r="E1070" s="78"/>
      <c r="K1070" s="20"/>
    </row>
    <row r="1071" spans="1:11" x14ac:dyDescent="0.2">
      <c r="A1071" s="61"/>
      <c r="E1071" s="78"/>
      <c r="K1071" s="20"/>
    </row>
    <row r="1072" spans="1:11" x14ac:dyDescent="0.2">
      <c r="A1072" s="61"/>
      <c r="E1072" s="78"/>
      <c r="K1072" s="20"/>
    </row>
    <row r="1073" spans="1:11" x14ac:dyDescent="0.2">
      <c r="A1073" s="61"/>
      <c r="E1073" s="78"/>
      <c r="K1073" s="20"/>
    </row>
    <row r="1074" spans="1:11" x14ac:dyDescent="0.2">
      <c r="A1074" s="61"/>
      <c r="E1074" s="78"/>
      <c r="K1074" s="20"/>
    </row>
    <row r="1075" spans="1:11" x14ac:dyDescent="0.2">
      <c r="A1075" s="61"/>
      <c r="E1075" s="78"/>
      <c r="K1075" s="20"/>
    </row>
    <row r="1076" spans="1:11" x14ac:dyDescent="0.2">
      <c r="A1076" s="61"/>
      <c r="E1076" s="78"/>
      <c r="K1076" s="20"/>
    </row>
    <row r="1077" spans="1:11" x14ac:dyDescent="0.2">
      <c r="A1077" s="61"/>
      <c r="E1077" s="78"/>
      <c r="K1077" s="20"/>
    </row>
    <row r="1078" spans="1:11" x14ac:dyDescent="0.2">
      <c r="A1078" s="61"/>
      <c r="E1078" s="78"/>
      <c r="K1078" s="20"/>
    </row>
    <row r="1079" spans="1:11" x14ac:dyDescent="0.2">
      <c r="A1079" s="61"/>
      <c r="E1079" s="78"/>
      <c r="K1079" s="20"/>
    </row>
    <row r="1080" spans="1:11" x14ac:dyDescent="0.2">
      <c r="A1080" s="61"/>
      <c r="E1080" s="78"/>
      <c r="K1080" s="20"/>
    </row>
    <row r="1081" spans="1:11" x14ac:dyDescent="0.2">
      <c r="A1081" s="61"/>
      <c r="E1081" s="78"/>
      <c r="K1081" s="20"/>
    </row>
    <row r="1082" spans="1:11" x14ac:dyDescent="0.2">
      <c r="A1082" s="61"/>
      <c r="E1082" s="78"/>
      <c r="K1082" s="20"/>
    </row>
    <row r="1083" spans="1:11" x14ac:dyDescent="0.2">
      <c r="A1083" s="61"/>
      <c r="E1083" s="78"/>
      <c r="K1083" s="20"/>
    </row>
    <row r="1084" spans="1:11" x14ac:dyDescent="0.2">
      <c r="A1084" s="61"/>
      <c r="E1084" s="78"/>
      <c r="K1084" s="20"/>
    </row>
    <row r="1085" spans="1:11" x14ac:dyDescent="0.2">
      <c r="A1085" s="61"/>
      <c r="E1085" s="78"/>
      <c r="K1085" s="20"/>
    </row>
    <row r="1086" spans="1:11" x14ac:dyDescent="0.2">
      <c r="A1086" s="61"/>
      <c r="E1086" s="78"/>
      <c r="K1086" s="20"/>
    </row>
    <row r="1087" spans="1:11" x14ac:dyDescent="0.2">
      <c r="A1087" s="61"/>
      <c r="E1087" s="78"/>
      <c r="K1087" s="20"/>
    </row>
    <row r="1088" spans="1:11" x14ac:dyDescent="0.2">
      <c r="A1088" s="61"/>
      <c r="E1088" s="78"/>
      <c r="K1088" s="20"/>
    </row>
    <row r="1089" spans="1:11" x14ac:dyDescent="0.2">
      <c r="A1089" s="61"/>
      <c r="E1089" s="78"/>
      <c r="K1089" s="20"/>
    </row>
    <row r="1090" spans="1:11" x14ac:dyDescent="0.2">
      <c r="A1090" s="61"/>
      <c r="E1090" s="78"/>
      <c r="K1090" s="20"/>
    </row>
    <row r="1091" spans="1:11" x14ac:dyDescent="0.2">
      <c r="A1091" s="61"/>
      <c r="E1091" s="78"/>
      <c r="K1091" s="20"/>
    </row>
    <row r="1092" spans="1:11" x14ac:dyDescent="0.2">
      <c r="A1092" s="61"/>
      <c r="E1092" s="78"/>
      <c r="K1092" s="20"/>
    </row>
    <row r="1093" spans="1:11" x14ac:dyDescent="0.2">
      <c r="A1093" s="61"/>
      <c r="E1093" s="78"/>
      <c r="K1093" s="20"/>
    </row>
    <row r="1094" spans="1:11" x14ac:dyDescent="0.2">
      <c r="A1094" s="61"/>
      <c r="E1094" s="78"/>
      <c r="K1094" s="20"/>
    </row>
    <row r="1095" spans="1:11" x14ac:dyDescent="0.2">
      <c r="A1095" s="61"/>
      <c r="E1095" s="78"/>
      <c r="K1095" s="20"/>
    </row>
    <row r="1096" spans="1:11" x14ac:dyDescent="0.2">
      <c r="A1096" s="61"/>
      <c r="E1096" s="78"/>
      <c r="K1096" s="20"/>
    </row>
    <row r="1097" spans="1:11" x14ac:dyDescent="0.2">
      <c r="A1097" s="61"/>
      <c r="E1097" s="78"/>
      <c r="K1097" s="20"/>
    </row>
    <row r="1098" spans="1:11" x14ac:dyDescent="0.2">
      <c r="A1098" s="61"/>
      <c r="E1098" s="78"/>
      <c r="K1098" s="20"/>
    </row>
    <row r="1099" spans="1:11" x14ac:dyDescent="0.2">
      <c r="A1099" s="61"/>
      <c r="E1099" s="78"/>
      <c r="K1099" s="20"/>
    </row>
    <row r="1100" spans="1:11" x14ac:dyDescent="0.2">
      <c r="A1100" s="61"/>
      <c r="E1100" s="78"/>
      <c r="K1100" s="20"/>
    </row>
    <row r="1101" spans="1:11" x14ac:dyDescent="0.2">
      <c r="A1101" s="61"/>
      <c r="E1101" s="78"/>
      <c r="K1101" s="20"/>
    </row>
    <row r="1102" spans="1:11" x14ac:dyDescent="0.2">
      <c r="A1102" s="61"/>
      <c r="E1102" s="78"/>
      <c r="K1102" s="20"/>
    </row>
    <row r="1103" spans="1:11" x14ac:dyDescent="0.2">
      <c r="A1103" s="61"/>
      <c r="E1103" s="78"/>
      <c r="K1103" s="20"/>
    </row>
    <row r="1104" spans="1:11" x14ac:dyDescent="0.2">
      <c r="A1104" s="61"/>
      <c r="E1104" s="78"/>
      <c r="K1104" s="20"/>
    </row>
    <row r="1105" spans="1:11" x14ac:dyDescent="0.2">
      <c r="A1105" s="61"/>
      <c r="E1105" s="78"/>
      <c r="K1105" s="20"/>
    </row>
    <row r="1106" spans="1:11" x14ac:dyDescent="0.2">
      <c r="A1106" s="61"/>
      <c r="E1106" s="78"/>
      <c r="K1106" s="20"/>
    </row>
    <row r="1107" spans="1:11" x14ac:dyDescent="0.2">
      <c r="A1107" s="61"/>
      <c r="E1107" s="78"/>
      <c r="K1107" s="20"/>
    </row>
    <row r="1108" spans="1:11" x14ac:dyDescent="0.2">
      <c r="A1108" s="61"/>
      <c r="E1108" s="78"/>
      <c r="K1108" s="20"/>
    </row>
    <row r="1109" spans="1:11" x14ac:dyDescent="0.2">
      <c r="A1109" s="61"/>
      <c r="E1109" s="78"/>
      <c r="K1109" s="20"/>
    </row>
    <row r="1110" spans="1:11" x14ac:dyDescent="0.2">
      <c r="A1110" s="61"/>
      <c r="E1110" s="78"/>
      <c r="K1110" s="20"/>
    </row>
    <row r="1111" spans="1:11" x14ac:dyDescent="0.2">
      <c r="A1111" s="61"/>
      <c r="E1111" s="78"/>
      <c r="K1111" s="20"/>
    </row>
    <row r="1112" spans="1:11" x14ac:dyDescent="0.2">
      <c r="A1112" s="61"/>
      <c r="E1112" s="78"/>
      <c r="K1112" s="20"/>
    </row>
    <row r="1113" spans="1:11" x14ac:dyDescent="0.2">
      <c r="A1113" s="61"/>
      <c r="E1113" s="78"/>
      <c r="K1113" s="20"/>
    </row>
    <row r="1114" spans="1:11" x14ac:dyDescent="0.2">
      <c r="A1114" s="61"/>
      <c r="E1114" s="78"/>
      <c r="K1114" s="20"/>
    </row>
    <row r="1115" spans="1:11" x14ac:dyDescent="0.2">
      <c r="A1115" s="61"/>
      <c r="E1115" s="78"/>
      <c r="K1115" s="20"/>
    </row>
    <row r="1116" spans="1:11" x14ac:dyDescent="0.2">
      <c r="A1116" s="61"/>
      <c r="E1116" s="78"/>
      <c r="K1116" s="20"/>
    </row>
    <row r="1117" spans="1:11" x14ac:dyDescent="0.2">
      <c r="A1117" s="61"/>
      <c r="E1117" s="78"/>
      <c r="K1117" s="20"/>
    </row>
    <row r="1118" spans="1:11" x14ac:dyDescent="0.2">
      <c r="A1118" s="61"/>
      <c r="E1118" s="78"/>
      <c r="K1118" s="20"/>
    </row>
    <row r="1119" spans="1:11" x14ac:dyDescent="0.2">
      <c r="A1119" s="61"/>
      <c r="E1119" s="78"/>
      <c r="K1119" s="20"/>
    </row>
    <row r="1120" spans="1:11" ht="12.75" customHeight="1" x14ac:dyDescent="0.2">
      <c r="A1120" s="61"/>
      <c r="E1120" s="78"/>
      <c r="K1120" s="20"/>
    </row>
    <row r="1121" spans="1:11" ht="12.75" customHeight="1" x14ac:dyDescent="0.2">
      <c r="A1121" s="61"/>
      <c r="E1121" s="78"/>
      <c r="K1121" s="20"/>
    </row>
    <row r="1122" spans="1:11" ht="12.75" customHeight="1" x14ac:dyDescent="0.2">
      <c r="A1122" s="61"/>
      <c r="E1122" s="78"/>
      <c r="K1122" s="20"/>
    </row>
    <row r="1123" spans="1:11" ht="12.75" customHeight="1" x14ac:dyDescent="0.2">
      <c r="A1123" s="61"/>
      <c r="E1123" s="78"/>
      <c r="K1123" s="20"/>
    </row>
    <row r="1124" spans="1:11" ht="12.75" customHeight="1" x14ac:dyDescent="0.2">
      <c r="A1124" s="61"/>
      <c r="E1124" s="78"/>
      <c r="K1124" s="20"/>
    </row>
    <row r="1125" spans="1:11" ht="12.75" customHeight="1" x14ac:dyDescent="0.2">
      <c r="A1125" s="61"/>
      <c r="E1125" s="78"/>
      <c r="K1125" s="20"/>
    </row>
    <row r="1126" spans="1:11" ht="12.75" customHeight="1" x14ac:dyDescent="0.2">
      <c r="A1126" s="61"/>
      <c r="E1126" s="78"/>
      <c r="K1126" s="20"/>
    </row>
    <row r="1127" spans="1:11" ht="12.75" customHeight="1" x14ac:dyDescent="0.2">
      <c r="A1127" s="61"/>
      <c r="E1127" s="78"/>
      <c r="K1127" s="20"/>
    </row>
    <row r="1128" spans="1:11" ht="12.75" customHeight="1" x14ac:dyDescent="0.2">
      <c r="A1128" s="61"/>
      <c r="E1128" s="78"/>
      <c r="K1128" s="20"/>
    </row>
    <row r="1129" spans="1:11" ht="12.75" customHeight="1" x14ac:dyDescent="0.2">
      <c r="A1129" s="61"/>
      <c r="E1129" s="78"/>
      <c r="K1129" s="20"/>
    </row>
    <row r="1130" spans="1:11" ht="12.75" customHeight="1" x14ac:dyDescent="0.2">
      <c r="A1130" s="61"/>
      <c r="E1130" s="78"/>
      <c r="K1130" s="20"/>
    </row>
    <row r="1131" spans="1:11" ht="12.75" customHeight="1" x14ac:dyDescent="0.2">
      <c r="A1131" s="61"/>
      <c r="E1131" s="78"/>
      <c r="K1131" s="20"/>
    </row>
    <row r="1132" spans="1:11" ht="12.75" customHeight="1" x14ac:dyDescent="0.2">
      <c r="A1132" s="61"/>
      <c r="E1132" s="78"/>
      <c r="K1132" s="20"/>
    </row>
    <row r="1133" spans="1:11" ht="12.75" customHeight="1" x14ac:dyDescent="0.2">
      <c r="A1133" s="61"/>
      <c r="E1133" s="78"/>
      <c r="K1133" s="20"/>
    </row>
    <row r="1134" spans="1:11" ht="12.75" customHeight="1" x14ac:dyDescent="0.2">
      <c r="A1134" s="61"/>
      <c r="E1134" s="78"/>
      <c r="K1134" s="20"/>
    </row>
    <row r="1135" spans="1:11" ht="12.75" customHeight="1" x14ac:dyDescent="0.2">
      <c r="A1135" s="61"/>
      <c r="E1135" s="78"/>
      <c r="K1135" s="20"/>
    </row>
    <row r="1136" spans="1:11" x14ac:dyDescent="0.2">
      <c r="A1136" s="61"/>
      <c r="E1136" s="78"/>
      <c r="K1136" s="20"/>
    </row>
    <row r="1137" spans="1:11" x14ac:dyDescent="0.2">
      <c r="A1137" s="61"/>
      <c r="E1137" s="78"/>
      <c r="K1137" s="20"/>
    </row>
    <row r="1138" spans="1:11" x14ac:dyDescent="0.2">
      <c r="A1138" s="61"/>
      <c r="E1138" s="78"/>
      <c r="K1138" s="20"/>
    </row>
    <row r="1139" spans="1:11" x14ac:dyDescent="0.2">
      <c r="A1139" s="61"/>
      <c r="E1139" s="78"/>
      <c r="K1139" s="20"/>
    </row>
    <row r="1140" spans="1:11" x14ac:dyDescent="0.2">
      <c r="A1140" s="61"/>
      <c r="E1140" s="78"/>
      <c r="K1140" s="20"/>
    </row>
    <row r="1141" spans="1:11" x14ac:dyDescent="0.2">
      <c r="A1141" s="61"/>
      <c r="E1141" s="78"/>
      <c r="K1141" s="20"/>
    </row>
    <row r="1142" spans="1:11" x14ac:dyDescent="0.2">
      <c r="A1142" s="61"/>
      <c r="E1142" s="78"/>
      <c r="K1142" s="20"/>
    </row>
    <row r="1143" spans="1:11" x14ac:dyDescent="0.2">
      <c r="A1143" s="61"/>
      <c r="E1143" s="78"/>
      <c r="K1143" s="20"/>
    </row>
    <row r="1144" spans="1:11" x14ac:dyDescent="0.2">
      <c r="A1144" s="61"/>
      <c r="E1144" s="78"/>
      <c r="K1144" s="20"/>
    </row>
    <row r="1145" spans="1:11" x14ac:dyDescent="0.2">
      <c r="A1145" s="61"/>
      <c r="E1145" s="78"/>
      <c r="K1145" s="20"/>
    </row>
    <row r="1146" spans="1:11" x14ac:dyDescent="0.2">
      <c r="A1146" s="61"/>
      <c r="E1146" s="78"/>
      <c r="K1146" s="20"/>
    </row>
    <row r="1147" spans="1:11" x14ac:dyDescent="0.2">
      <c r="A1147" s="61"/>
      <c r="E1147" s="78"/>
      <c r="K1147" s="20"/>
    </row>
    <row r="1148" spans="1:11" x14ac:dyDescent="0.2">
      <c r="A1148" s="61"/>
      <c r="E1148" s="78"/>
      <c r="K1148" s="20"/>
    </row>
    <row r="1149" spans="1:11" x14ac:dyDescent="0.2">
      <c r="A1149" s="61"/>
      <c r="E1149" s="78"/>
      <c r="K1149" s="20"/>
    </row>
    <row r="1150" spans="1:11" x14ac:dyDescent="0.2">
      <c r="A1150" s="61"/>
      <c r="E1150" s="78"/>
      <c r="K1150" s="20"/>
    </row>
    <row r="1151" spans="1:11" x14ac:dyDescent="0.2">
      <c r="A1151" s="61"/>
      <c r="E1151" s="78"/>
      <c r="K1151" s="20"/>
    </row>
    <row r="1152" spans="1:11" x14ac:dyDescent="0.2">
      <c r="A1152" s="61"/>
      <c r="E1152" s="78"/>
      <c r="K1152" s="20"/>
    </row>
    <row r="1153" spans="1:11" x14ac:dyDescent="0.2">
      <c r="A1153" s="61"/>
      <c r="E1153" s="78"/>
      <c r="K1153" s="20"/>
    </row>
    <row r="1154" spans="1:11" x14ac:dyDescent="0.2">
      <c r="A1154" s="61"/>
      <c r="E1154" s="78"/>
      <c r="K1154" s="20"/>
    </row>
    <row r="1155" spans="1:11" x14ac:dyDescent="0.2">
      <c r="A1155" s="61"/>
      <c r="E1155" s="78"/>
      <c r="K1155" s="20"/>
    </row>
    <row r="1156" spans="1:11" x14ac:dyDescent="0.2">
      <c r="A1156" s="61"/>
      <c r="E1156" s="78"/>
      <c r="K1156" s="20"/>
    </row>
    <row r="1157" spans="1:11" x14ac:dyDescent="0.2">
      <c r="A1157" s="61"/>
      <c r="E1157" s="78"/>
      <c r="K1157" s="20"/>
    </row>
    <row r="1158" spans="1:11" x14ac:dyDescent="0.2">
      <c r="A1158" s="61"/>
      <c r="E1158" s="78"/>
      <c r="K1158" s="20"/>
    </row>
    <row r="1159" spans="1:11" x14ac:dyDescent="0.2">
      <c r="A1159" s="61"/>
      <c r="E1159" s="78"/>
      <c r="K1159" s="20"/>
    </row>
    <row r="1160" spans="1:11" x14ac:dyDescent="0.2">
      <c r="A1160" s="61"/>
      <c r="E1160" s="78"/>
      <c r="K1160" s="20"/>
    </row>
    <row r="1161" spans="1:11" x14ac:dyDescent="0.2">
      <c r="A1161" s="61"/>
      <c r="E1161" s="78"/>
      <c r="K1161" s="20"/>
    </row>
    <row r="1162" spans="1:11" x14ac:dyDescent="0.2">
      <c r="A1162" s="61"/>
      <c r="E1162" s="78"/>
      <c r="K1162" s="20"/>
    </row>
    <row r="1163" spans="1:11" x14ac:dyDescent="0.2">
      <c r="A1163" s="61"/>
      <c r="E1163" s="78"/>
      <c r="K1163" s="20"/>
    </row>
    <row r="1164" spans="1:11" x14ac:dyDescent="0.2">
      <c r="A1164" s="61"/>
      <c r="E1164" s="78"/>
      <c r="K1164" s="20"/>
    </row>
    <row r="1165" spans="1:11" x14ac:dyDescent="0.2">
      <c r="A1165" s="61"/>
      <c r="E1165" s="78"/>
      <c r="K1165" s="20"/>
    </row>
    <row r="1166" spans="1:11" x14ac:dyDescent="0.2">
      <c r="A1166" s="61"/>
      <c r="E1166" s="78"/>
      <c r="K1166" s="20"/>
    </row>
    <row r="1167" spans="1:11" x14ac:dyDescent="0.2">
      <c r="A1167" s="61"/>
      <c r="E1167" s="78"/>
      <c r="K1167" s="20"/>
    </row>
    <row r="1168" spans="1:11" x14ac:dyDescent="0.2">
      <c r="A1168" s="61"/>
      <c r="E1168" s="78"/>
      <c r="K1168" s="20"/>
    </row>
    <row r="1169" spans="1:11" x14ac:dyDescent="0.2">
      <c r="A1169" s="61"/>
      <c r="E1169" s="78"/>
      <c r="K1169" s="20"/>
    </row>
    <row r="1170" spans="1:11" x14ac:dyDescent="0.2">
      <c r="A1170" s="61"/>
      <c r="E1170" s="78"/>
      <c r="K1170" s="20"/>
    </row>
    <row r="1171" spans="1:11" x14ac:dyDescent="0.2">
      <c r="A1171" s="61"/>
      <c r="E1171" s="78"/>
      <c r="K1171" s="20"/>
    </row>
    <row r="1172" spans="1:11" x14ac:dyDescent="0.2">
      <c r="A1172" s="61"/>
      <c r="E1172" s="78"/>
      <c r="K1172" s="20"/>
    </row>
    <row r="1173" spans="1:11" x14ac:dyDescent="0.2">
      <c r="A1173" s="61"/>
      <c r="E1173" s="78"/>
      <c r="K1173" s="20"/>
    </row>
    <row r="1174" spans="1:11" x14ac:dyDescent="0.2">
      <c r="A1174" s="61"/>
      <c r="E1174" s="78"/>
      <c r="K1174" s="20"/>
    </row>
    <row r="1175" spans="1:11" x14ac:dyDescent="0.2">
      <c r="A1175" s="61"/>
      <c r="E1175" s="78"/>
      <c r="K1175" s="20"/>
    </row>
    <row r="1176" spans="1:11" x14ac:dyDescent="0.2">
      <c r="A1176" s="61"/>
      <c r="E1176" s="78"/>
      <c r="K1176" s="20"/>
    </row>
    <row r="1177" spans="1:11" x14ac:dyDescent="0.2">
      <c r="A1177" s="61"/>
      <c r="E1177" s="78"/>
      <c r="K1177" s="20"/>
    </row>
    <row r="1178" spans="1:11" x14ac:dyDescent="0.2">
      <c r="A1178" s="61"/>
      <c r="E1178" s="78"/>
      <c r="K1178" s="20"/>
    </row>
    <row r="1179" spans="1:11" x14ac:dyDescent="0.2">
      <c r="A1179" s="61"/>
      <c r="E1179" s="78"/>
      <c r="K1179" s="20"/>
    </row>
    <row r="1180" spans="1:11" x14ac:dyDescent="0.2">
      <c r="A1180" s="61"/>
      <c r="E1180" s="78"/>
      <c r="K1180" s="20"/>
    </row>
    <row r="1181" spans="1:11" x14ac:dyDescent="0.2">
      <c r="A1181" s="61"/>
      <c r="E1181" s="78"/>
      <c r="K1181" s="20"/>
    </row>
    <row r="1182" spans="1:11" x14ac:dyDescent="0.2">
      <c r="A1182" s="61"/>
      <c r="E1182" s="78"/>
      <c r="K1182" s="20"/>
    </row>
    <row r="1183" spans="1:11" x14ac:dyDescent="0.2">
      <c r="A1183" s="61"/>
      <c r="E1183" s="78"/>
      <c r="K1183" s="20"/>
    </row>
    <row r="1184" spans="1:11" x14ac:dyDescent="0.2">
      <c r="A1184" s="61"/>
      <c r="E1184" s="78"/>
      <c r="K1184" s="20"/>
    </row>
    <row r="1185" spans="1:11" x14ac:dyDescent="0.2">
      <c r="A1185" s="61"/>
      <c r="E1185" s="78"/>
      <c r="K1185" s="20"/>
    </row>
    <row r="1186" spans="1:11" x14ac:dyDescent="0.2">
      <c r="A1186" s="61"/>
      <c r="E1186" s="78"/>
      <c r="K1186" s="20"/>
    </row>
    <row r="1187" spans="1:11" x14ac:dyDescent="0.2">
      <c r="A1187" s="61"/>
      <c r="E1187" s="78"/>
      <c r="K1187" s="20"/>
    </row>
    <row r="1188" spans="1:11" x14ac:dyDescent="0.2">
      <c r="A1188" s="61"/>
      <c r="E1188" s="78"/>
      <c r="K1188" s="20"/>
    </row>
    <row r="1189" spans="1:11" x14ac:dyDescent="0.2">
      <c r="A1189" s="61"/>
      <c r="E1189" s="78"/>
      <c r="K1189" s="20"/>
    </row>
    <row r="1190" spans="1:11" x14ac:dyDescent="0.2">
      <c r="A1190" s="61"/>
      <c r="E1190" s="78"/>
      <c r="K1190" s="20"/>
    </row>
    <row r="1191" spans="1:11" x14ac:dyDescent="0.2">
      <c r="A1191" s="61"/>
      <c r="E1191" s="78"/>
      <c r="K1191" s="20"/>
    </row>
    <row r="1192" spans="1:11" x14ac:dyDescent="0.2">
      <c r="A1192" s="61"/>
      <c r="E1192" s="78"/>
      <c r="K1192" s="20"/>
    </row>
    <row r="1193" spans="1:11" x14ac:dyDescent="0.2">
      <c r="A1193" s="61"/>
      <c r="E1193" s="78"/>
      <c r="K1193" s="20"/>
    </row>
    <row r="1194" spans="1:11" x14ac:dyDescent="0.2">
      <c r="A1194" s="61"/>
      <c r="E1194" s="78"/>
      <c r="K1194" s="20"/>
    </row>
    <row r="1195" spans="1:11" x14ac:dyDescent="0.2">
      <c r="A1195" s="61"/>
      <c r="E1195" s="78"/>
      <c r="K1195" s="20"/>
    </row>
    <row r="1196" spans="1:11" x14ac:dyDescent="0.2">
      <c r="A1196" s="61"/>
      <c r="E1196" s="78"/>
      <c r="K1196" s="20"/>
    </row>
    <row r="1197" spans="1:11" x14ac:dyDescent="0.2">
      <c r="A1197" s="61"/>
      <c r="E1197" s="78"/>
      <c r="K1197" s="20"/>
    </row>
    <row r="1198" spans="1:11" x14ac:dyDescent="0.2">
      <c r="A1198" s="61"/>
      <c r="E1198" s="78"/>
      <c r="K1198" s="20"/>
    </row>
    <row r="1199" spans="1:11" x14ac:dyDescent="0.2">
      <c r="A1199" s="61"/>
      <c r="E1199" s="78"/>
      <c r="K1199" s="20"/>
    </row>
    <row r="1200" spans="1:11" x14ac:dyDescent="0.2">
      <c r="A1200" s="61"/>
      <c r="E1200" s="78"/>
      <c r="K1200" s="20"/>
    </row>
    <row r="1201" spans="1:11" x14ac:dyDescent="0.2">
      <c r="A1201" s="61"/>
      <c r="E1201" s="78"/>
      <c r="K1201" s="20"/>
    </row>
    <row r="1202" spans="1:11" x14ac:dyDescent="0.2">
      <c r="A1202" s="61"/>
      <c r="E1202" s="78"/>
      <c r="K1202" s="20"/>
    </row>
    <row r="1203" spans="1:11" x14ac:dyDescent="0.2">
      <c r="A1203" s="61"/>
      <c r="E1203" s="78"/>
      <c r="K1203" s="20"/>
    </row>
    <row r="1204" spans="1:11" x14ac:dyDescent="0.2">
      <c r="A1204" s="61"/>
      <c r="E1204" s="78"/>
      <c r="K1204" s="20"/>
    </row>
    <row r="1205" spans="1:11" x14ac:dyDescent="0.2">
      <c r="A1205" s="61"/>
      <c r="E1205" s="78"/>
      <c r="K1205" s="20"/>
    </row>
    <row r="1206" spans="1:11" x14ac:dyDescent="0.2">
      <c r="A1206" s="61"/>
      <c r="E1206" s="78"/>
      <c r="K1206" s="20"/>
    </row>
    <row r="1207" spans="1:11" x14ac:dyDescent="0.2">
      <c r="A1207" s="61"/>
      <c r="E1207" s="78"/>
      <c r="K1207" s="20"/>
    </row>
    <row r="1208" spans="1:11" x14ac:dyDescent="0.2">
      <c r="A1208" s="61"/>
      <c r="E1208" s="78"/>
      <c r="K1208" s="20"/>
    </row>
    <row r="1209" spans="1:11" x14ac:dyDescent="0.2">
      <c r="A1209" s="61"/>
      <c r="E1209" s="78"/>
      <c r="K1209" s="20"/>
    </row>
    <row r="1210" spans="1:11" x14ac:dyDescent="0.2">
      <c r="A1210" s="61"/>
      <c r="E1210" s="78"/>
      <c r="K1210" s="20"/>
    </row>
    <row r="1211" spans="1:11" x14ac:dyDescent="0.2">
      <c r="A1211" s="61"/>
      <c r="E1211" s="78"/>
      <c r="K1211" s="20"/>
    </row>
    <row r="1212" spans="1:11" x14ac:dyDescent="0.2">
      <c r="A1212" s="61"/>
      <c r="E1212" s="78"/>
      <c r="K1212" s="20"/>
    </row>
    <row r="1213" spans="1:11" x14ac:dyDescent="0.2">
      <c r="A1213" s="61"/>
      <c r="E1213" s="78"/>
      <c r="K1213" s="20"/>
    </row>
    <row r="1214" spans="1:11" x14ac:dyDescent="0.2">
      <c r="A1214" s="61"/>
      <c r="E1214" s="78"/>
      <c r="K1214" s="20"/>
    </row>
    <row r="1215" spans="1:11" x14ac:dyDescent="0.2">
      <c r="A1215" s="61"/>
      <c r="E1215" s="78"/>
      <c r="K1215" s="20"/>
    </row>
    <row r="1216" spans="1:11" x14ac:dyDescent="0.2">
      <c r="A1216" s="61"/>
      <c r="E1216" s="78"/>
      <c r="K1216" s="20"/>
    </row>
    <row r="1217" spans="1:11" x14ac:dyDescent="0.2">
      <c r="A1217" s="61"/>
      <c r="E1217" s="78"/>
      <c r="K1217" s="20"/>
    </row>
    <row r="1218" spans="1:11" x14ac:dyDescent="0.2">
      <c r="A1218" s="61"/>
      <c r="E1218" s="78"/>
      <c r="K1218" s="20"/>
    </row>
    <row r="1219" spans="1:11" x14ac:dyDescent="0.2">
      <c r="A1219" s="61"/>
      <c r="E1219" s="78"/>
      <c r="K1219" s="20"/>
    </row>
    <row r="1220" spans="1:11" x14ac:dyDescent="0.2">
      <c r="A1220" s="61"/>
      <c r="E1220" s="78"/>
      <c r="K1220" s="20"/>
    </row>
    <row r="1221" spans="1:11" x14ac:dyDescent="0.2">
      <c r="A1221" s="61"/>
      <c r="E1221" s="78"/>
      <c r="K1221" s="20"/>
    </row>
    <row r="1222" spans="1:11" x14ac:dyDescent="0.2">
      <c r="A1222" s="61"/>
      <c r="E1222" s="78"/>
      <c r="K1222" s="20"/>
    </row>
    <row r="1223" spans="1:11" x14ac:dyDescent="0.2">
      <c r="A1223" s="61"/>
      <c r="E1223" s="78"/>
      <c r="K1223" s="20"/>
    </row>
    <row r="1224" spans="1:11" x14ac:dyDescent="0.2">
      <c r="A1224" s="61"/>
      <c r="E1224" s="78"/>
      <c r="K1224" s="20"/>
    </row>
    <row r="1225" spans="1:11" x14ac:dyDescent="0.2">
      <c r="A1225" s="61"/>
      <c r="E1225" s="78"/>
      <c r="K1225" s="20"/>
    </row>
    <row r="1226" spans="1:11" x14ac:dyDescent="0.2">
      <c r="A1226" s="61"/>
      <c r="E1226" s="78"/>
      <c r="K1226" s="20"/>
    </row>
    <row r="1227" spans="1:11" x14ac:dyDescent="0.2">
      <c r="A1227" s="61"/>
      <c r="E1227" s="78"/>
      <c r="K1227" s="20"/>
    </row>
    <row r="1228" spans="1:11" x14ac:dyDescent="0.2">
      <c r="A1228" s="61"/>
      <c r="E1228" s="78"/>
      <c r="K1228" s="20"/>
    </row>
    <row r="1229" spans="1:11" x14ac:dyDescent="0.2">
      <c r="A1229" s="61"/>
      <c r="E1229" s="78"/>
      <c r="K1229" s="20"/>
    </row>
    <row r="1230" spans="1:11" x14ac:dyDescent="0.2">
      <c r="A1230" s="61"/>
      <c r="E1230" s="78"/>
      <c r="K1230" s="20"/>
    </row>
    <row r="1231" spans="1:11" x14ac:dyDescent="0.2">
      <c r="A1231" s="61"/>
      <c r="E1231" s="78"/>
      <c r="K1231" s="20"/>
    </row>
    <row r="1232" spans="1:11" x14ac:dyDescent="0.2">
      <c r="A1232" s="61"/>
      <c r="E1232" s="78"/>
      <c r="K1232" s="20"/>
    </row>
    <row r="1233" spans="1:11" x14ac:dyDescent="0.2">
      <c r="A1233" s="61"/>
      <c r="E1233" s="78"/>
      <c r="K1233" s="20"/>
    </row>
    <row r="1234" spans="1:11" x14ac:dyDescent="0.2">
      <c r="A1234" s="61"/>
      <c r="E1234" s="78"/>
      <c r="K1234" s="20"/>
    </row>
    <row r="1235" spans="1:11" x14ac:dyDescent="0.2">
      <c r="A1235" s="61"/>
      <c r="E1235" s="78"/>
      <c r="K1235" s="20"/>
    </row>
    <row r="1236" spans="1:11" x14ac:dyDescent="0.2">
      <c r="A1236" s="61"/>
      <c r="E1236" s="78"/>
      <c r="K1236" s="20"/>
    </row>
    <row r="1237" spans="1:11" x14ac:dyDescent="0.2">
      <c r="A1237" s="61"/>
      <c r="E1237" s="78"/>
      <c r="K1237" s="20"/>
    </row>
    <row r="1238" spans="1:11" x14ac:dyDescent="0.2">
      <c r="A1238" s="61"/>
      <c r="E1238" s="78"/>
      <c r="K1238" s="20"/>
    </row>
    <row r="1239" spans="1:11" x14ac:dyDescent="0.2">
      <c r="A1239" s="61"/>
      <c r="E1239" s="78"/>
      <c r="K1239" s="20"/>
    </row>
    <row r="1240" spans="1:11" x14ac:dyDescent="0.2">
      <c r="A1240" s="61"/>
      <c r="E1240" s="78"/>
      <c r="K1240" s="20"/>
    </row>
    <row r="1241" spans="1:11" x14ac:dyDescent="0.2">
      <c r="A1241" s="61"/>
      <c r="E1241" s="78"/>
      <c r="K1241" s="20"/>
    </row>
    <row r="1242" spans="1:11" x14ac:dyDescent="0.2">
      <c r="A1242" s="61"/>
      <c r="E1242" s="78"/>
      <c r="K1242" s="20"/>
    </row>
    <row r="1243" spans="1:11" x14ac:dyDescent="0.2">
      <c r="A1243" s="61"/>
      <c r="E1243" s="78"/>
      <c r="K1243" s="20"/>
    </row>
    <row r="1244" spans="1:11" x14ac:dyDescent="0.2">
      <c r="A1244" s="61"/>
      <c r="E1244" s="78"/>
      <c r="K1244" s="20"/>
    </row>
    <row r="1245" spans="1:11" x14ac:dyDescent="0.2">
      <c r="A1245" s="61"/>
      <c r="E1245" s="78"/>
      <c r="K1245" s="20"/>
    </row>
    <row r="1246" spans="1:11" x14ac:dyDescent="0.2">
      <c r="A1246" s="61"/>
      <c r="E1246" s="78"/>
      <c r="K1246" s="20"/>
    </row>
    <row r="1247" spans="1:11" x14ac:dyDescent="0.2">
      <c r="A1247" s="61"/>
      <c r="E1247" s="78"/>
      <c r="K1247" s="20"/>
    </row>
    <row r="1248" spans="1:11" x14ac:dyDescent="0.2">
      <c r="A1248" s="61"/>
      <c r="E1248" s="78"/>
      <c r="K1248" s="20"/>
    </row>
    <row r="1249" spans="1:11" x14ac:dyDescent="0.2">
      <c r="A1249" s="61"/>
      <c r="E1249" s="78"/>
      <c r="K1249" s="20"/>
    </row>
    <row r="1250" spans="1:11" x14ac:dyDescent="0.2">
      <c r="A1250" s="61"/>
      <c r="E1250" s="78"/>
      <c r="K1250" s="20"/>
    </row>
    <row r="1251" spans="1:11" x14ac:dyDescent="0.2">
      <c r="A1251" s="61"/>
      <c r="E1251" s="78"/>
      <c r="K1251" s="20"/>
    </row>
    <row r="1252" spans="1:11" x14ac:dyDescent="0.2">
      <c r="A1252" s="61"/>
      <c r="E1252" s="78"/>
      <c r="K1252" s="20"/>
    </row>
    <row r="1253" spans="1:11" x14ac:dyDescent="0.2">
      <c r="A1253" s="61"/>
      <c r="E1253" s="78"/>
      <c r="K1253" s="20"/>
    </row>
    <row r="1254" spans="1:11" x14ac:dyDescent="0.2">
      <c r="A1254" s="61"/>
      <c r="E1254" s="78"/>
      <c r="K1254" s="20"/>
    </row>
    <row r="1255" spans="1:11" x14ac:dyDescent="0.2">
      <c r="A1255" s="61"/>
      <c r="E1255" s="78"/>
      <c r="K1255" s="20"/>
    </row>
    <row r="1256" spans="1:11" x14ac:dyDescent="0.2">
      <c r="A1256" s="61"/>
      <c r="E1256" s="78"/>
      <c r="K1256" s="20"/>
    </row>
    <row r="1257" spans="1:11" x14ac:dyDescent="0.2">
      <c r="A1257" s="61"/>
      <c r="E1257" s="78"/>
      <c r="K1257" s="20"/>
    </row>
    <row r="1258" spans="1:11" x14ac:dyDescent="0.2">
      <c r="A1258" s="61"/>
      <c r="E1258" s="78"/>
      <c r="K1258" s="20"/>
    </row>
    <row r="1259" spans="1:11" x14ac:dyDescent="0.2">
      <c r="A1259" s="61"/>
      <c r="E1259" s="78"/>
      <c r="K1259" s="20"/>
    </row>
    <row r="1260" spans="1:11" x14ac:dyDescent="0.2">
      <c r="A1260" s="61"/>
      <c r="E1260" s="78"/>
      <c r="K1260" s="20"/>
    </row>
    <row r="1261" spans="1:11" x14ac:dyDescent="0.2">
      <c r="A1261" s="61"/>
      <c r="E1261" s="78"/>
      <c r="K1261" s="20"/>
    </row>
    <row r="1262" spans="1:11" x14ac:dyDescent="0.2">
      <c r="A1262" s="61"/>
      <c r="E1262" s="78"/>
      <c r="K1262" s="20"/>
    </row>
    <row r="1263" spans="1:11" x14ac:dyDescent="0.2">
      <c r="A1263" s="61"/>
      <c r="E1263" s="78"/>
      <c r="K1263" s="20"/>
    </row>
    <row r="1264" spans="1:11" x14ac:dyDescent="0.2">
      <c r="A1264" s="61"/>
      <c r="E1264" s="78"/>
      <c r="K1264" s="20"/>
    </row>
    <row r="1265" spans="1:11" x14ac:dyDescent="0.2">
      <c r="A1265" s="61"/>
      <c r="E1265" s="78"/>
      <c r="K1265" s="20"/>
    </row>
    <row r="1266" spans="1:11" x14ac:dyDescent="0.2">
      <c r="A1266" s="61"/>
      <c r="E1266" s="78"/>
      <c r="K1266" s="20"/>
    </row>
    <row r="1267" spans="1:11" x14ac:dyDescent="0.2">
      <c r="A1267" s="61"/>
      <c r="E1267" s="78"/>
      <c r="K1267" s="20"/>
    </row>
    <row r="1268" spans="1:11" x14ac:dyDescent="0.2">
      <c r="A1268" s="61"/>
      <c r="E1268" s="78"/>
      <c r="K1268" s="20"/>
    </row>
    <row r="1269" spans="1:11" x14ac:dyDescent="0.2">
      <c r="A1269" s="61"/>
      <c r="E1269" s="78"/>
      <c r="K1269" s="20"/>
    </row>
    <row r="1270" spans="1:11" x14ac:dyDescent="0.2">
      <c r="A1270" s="61"/>
      <c r="E1270" s="78"/>
      <c r="K1270" s="20"/>
    </row>
    <row r="1271" spans="1:11" x14ac:dyDescent="0.2">
      <c r="A1271" s="61"/>
      <c r="E1271" s="78"/>
      <c r="K1271" s="20"/>
    </row>
    <row r="1272" spans="1:11" x14ac:dyDescent="0.2">
      <c r="A1272" s="61"/>
      <c r="E1272" s="78"/>
      <c r="K1272" s="20"/>
    </row>
    <row r="1273" spans="1:11" x14ac:dyDescent="0.2">
      <c r="A1273" s="61"/>
      <c r="E1273" s="78"/>
      <c r="K1273" s="20"/>
    </row>
    <row r="1274" spans="1:11" x14ac:dyDescent="0.2">
      <c r="A1274" s="61"/>
      <c r="E1274" s="78"/>
      <c r="K1274" s="20"/>
    </row>
    <row r="1275" spans="1:11" x14ac:dyDescent="0.2">
      <c r="A1275" s="61"/>
      <c r="E1275" s="78"/>
      <c r="K1275" s="20"/>
    </row>
    <row r="1276" spans="1:11" x14ac:dyDescent="0.2">
      <c r="A1276" s="61"/>
      <c r="E1276" s="78"/>
      <c r="K1276" s="20"/>
    </row>
    <row r="1277" spans="1:11" x14ac:dyDescent="0.2">
      <c r="A1277" s="61"/>
      <c r="E1277" s="78"/>
      <c r="K1277" s="20"/>
    </row>
    <row r="1278" spans="1:11" x14ac:dyDescent="0.2">
      <c r="A1278" s="61"/>
      <c r="E1278" s="78"/>
      <c r="K1278" s="20"/>
    </row>
    <row r="1279" spans="1:11" x14ac:dyDescent="0.2">
      <c r="A1279" s="61"/>
      <c r="E1279" s="78"/>
      <c r="K1279" s="20"/>
    </row>
    <row r="1280" spans="1:11" x14ac:dyDescent="0.2">
      <c r="A1280" s="61"/>
      <c r="E1280" s="78"/>
      <c r="K1280" s="20"/>
    </row>
    <row r="1281" spans="1:11" x14ac:dyDescent="0.2">
      <c r="A1281" s="61"/>
      <c r="E1281" s="78"/>
      <c r="K1281" s="20"/>
    </row>
    <row r="1282" spans="1:11" x14ac:dyDescent="0.2">
      <c r="A1282" s="61"/>
      <c r="E1282" s="78"/>
      <c r="K1282" s="20"/>
    </row>
    <row r="1283" spans="1:11" x14ac:dyDescent="0.2">
      <c r="A1283" s="61"/>
      <c r="E1283" s="78"/>
      <c r="K1283" s="20"/>
    </row>
    <row r="1284" spans="1:11" x14ac:dyDescent="0.2">
      <c r="A1284" s="61"/>
      <c r="E1284" s="78"/>
      <c r="K1284" s="20"/>
    </row>
    <row r="1285" spans="1:11" x14ac:dyDescent="0.2">
      <c r="A1285" s="61"/>
      <c r="E1285" s="78"/>
      <c r="K1285" s="20"/>
    </row>
    <row r="1286" spans="1:11" x14ac:dyDescent="0.2">
      <c r="A1286" s="61"/>
      <c r="E1286" s="78"/>
      <c r="K1286" s="20"/>
    </row>
    <row r="1287" spans="1:11" x14ac:dyDescent="0.2">
      <c r="A1287" s="61"/>
      <c r="E1287" s="78"/>
      <c r="K1287" s="20"/>
    </row>
    <row r="1288" spans="1:11" x14ac:dyDescent="0.2">
      <c r="A1288" s="61"/>
      <c r="E1288" s="78"/>
      <c r="K1288" s="20"/>
    </row>
    <row r="1289" spans="1:11" x14ac:dyDescent="0.2">
      <c r="A1289" s="61"/>
      <c r="E1289" s="78"/>
      <c r="K1289" s="20"/>
    </row>
    <row r="1290" spans="1:11" x14ac:dyDescent="0.2">
      <c r="A1290" s="61"/>
      <c r="E1290" s="78"/>
      <c r="K1290" s="20"/>
    </row>
    <row r="1291" spans="1:11" x14ac:dyDescent="0.2">
      <c r="A1291" s="61"/>
      <c r="E1291" s="78"/>
      <c r="K1291" s="20"/>
    </row>
    <row r="1292" spans="1:11" x14ac:dyDescent="0.2">
      <c r="A1292" s="61"/>
      <c r="E1292" s="78"/>
      <c r="K1292" s="20"/>
    </row>
    <row r="1293" spans="1:11" x14ac:dyDescent="0.2">
      <c r="A1293" s="61"/>
      <c r="E1293" s="78"/>
      <c r="K1293" s="20"/>
    </row>
    <row r="1294" spans="1:11" x14ac:dyDescent="0.2">
      <c r="A1294" s="61"/>
      <c r="E1294" s="78"/>
      <c r="K1294" s="20"/>
    </row>
    <row r="1295" spans="1:11" x14ac:dyDescent="0.2">
      <c r="A1295" s="61"/>
      <c r="E1295" s="78"/>
      <c r="K1295" s="20"/>
    </row>
    <row r="1296" spans="1:11" x14ac:dyDescent="0.2">
      <c r="A1296" s="61"/>
      <c r="E1296" s="78"/>
      <c r="K1296" s="20"/>
    </row>
    <row r="1297" spans="1:11" x14ac:dyDescent="0.2">
      <c r="A1297" s="61"/>
      <c r="E1297" s="78"/>
      <c r="K1297" s="20"/>
    </row>
    <row r="1298" spans="1:11" x14ac:dyDescent="0.2">
      <c r="A1298" s="61"/>
      <c r="E1298" s="78"/>
      <c r="K1298" s="20"/>
    </row>
    <row r="1299" spans="1:11" x14ac:dyDescent="0.2">
      <c r="A1299" s="61"/>
      <c r="E1299" s="78"/>
      <c r="K1299" s="20"/>
    </row>
    <row r="1300" spans="1:11" x14ac:dyDescent="0.2">
      <c r="A1300" s="61"/>
      <c r="E1300" s="78"/>
      <c r="K1300" s="20"/>
    </row>
    <row r="1301" spans="1:11" x14ac:dyDescent="0.2">
      <c r="A1301" s="61"/>
      <c r="E1301" s="78"/>
      <c r="K1301" s="20"/>
    </row>
    <row r="1302" spans="1:11" x14ac:dyDescent="0.2">
      <c r="A1302" s="61"/>
      <c r="E1302" s="78"/>
      <c r="K1302" s="20"/>
    </row>
    <row r="1303" spans="1:11" x14ac:dyDescent="0.2">
      <c r="A1303" s="61"/>
      <c r="E1303" s="78"/>
      <c r="K1303" s="20"/>
    </row>
    <row r="1304" spans="1:11" x14ac:dyDescent="0.2">
      <c r="A1304" s="61"/>
      <c r="E1304" s="78"/>
      <c r="K1304" s="20"/>
    </row>
    <row r="1305" spans="1:11" x14ac:dyDescent="0.2">
      <c r="A1305" s="61"/>
      <c r="E1305" s="78"/>
      <c r="K1305" s="20"/>
    </row>
    <row r="1306" spans="1:11" x14ac:dyDescent="0.2">
      <c r="A1306" s="61"/>
      <c r="E1306" s="78"/>
      <c r="K1306" s="20"/>
    </row>
    <row r="1307" spans="1:11" x14ac:dyDescent="0.2">
      <c r="A1307" s="61"/>
      <c r="E1307" s="78"/>
      <c r="K1307" s="20"/>
    </row>
    <row r="1308" spans="1:11" x14ac:dyDescent="0.2">
      <c r="A1308" s="61"/>
      <c r="E1308" s="78"/>
      <c r="K1308" s="20"/>
    </row>
    <row r="1309" spans="1:11" x14ac:dyDescent="0.2">
      <c r="A1309" s="61"/>
      <c r="E1309" s="78"/>
      <c r="K1309" s="20"/>
    </row>
    <row r="1310" spans="1:11" x14ac:dyDescent="0.2">
      <c r="A1310" s="61"/>
      <c r="E1310" s="78"/>
      <c r="K1310" s="20"/>
    </row>
    <row r="1311" spans="1:11" x14ac:dyDescent="0.2">
      <c r="A1311" s="61"/>
      <c r="E1311" s="78"/>
      <c r="K1311" s="20"/>
    </row>
    <row r="1312" spans="1:11" x14ac:dyDescent="0.2">
      <c r="A1312" s="61"/>
      <c r="E1312" s="78"/>
      <c r="K1312" s="20"/>
    </row>
    <row r="1313" spans="1:11" x14ac:dyDescent="0.2">
      <c r="A1313" s="61"/>
      <c r="E1313" s="78"/>
      <c r="K1313" s="20"/>
    </row>
    <row r="1314" spans="1:11" x14ac:dyDescent="0.2">
      <c r="A1314" s="61"/>
      <c r="E1314" s="78"/>
      <c r="K1314" s="20"/>
    </row>
    <row r="1315" spans="1:11" x14ac:dyDescent="0.2">
      <c r="A1315" s="61"/>
      <c r="E1315" s="78"/>
      <c r="K1315" s="20"/>
    </row>
    <row r="1316" spans="1:11" x14ac:dyDescent="0.2">
      <c r="A1316" s="61"/>
      <c r="E1316" s="78"/>
      <c r="K1316" s="20"/>
    </row>
    <row r="1317" spans="1:11" x14ac:dyDescent="0.2">
      <c r="A1317" s="61"/>
      <c r="E1317" s="78"/>
      <c r="K1317" s="20"/>
    </row>
    <row r="1318" spans="1:11" x14ac:dyDescent="0.2">
      <c r="A1318" s="61"/>
      <c r="E1318" s="78"/>
      <c r="K1318" s="20"/>
    </row>
    <row r="1319" spans="1:11" x14ac:dyDescent="0.2">
      <c r="A1319" s="61"/>
      <c r="E1319" s="78"/>
      <c r="K1319" s="20"/>
    </row>
    <row r="1320" spans="1:11" x14ac:dyDescent="0.2">
      <c r="A1320" s="61"/>
      <c r="E1320" s="78"/>
      <c r="K1320" s="20"/>
    </row>
    <row r="1321" spans="1:11" x14ac:dyDescent="0.2">
      <c r="A1321" s="61"/>
      <c r="E1321" s="78"/>
      <c r="K1321" s="20"/>
    </row>
    <row r="1322" spans="1:11" x14ac:dyDescent="0.2">
      <c r="A1322" s="61"/>
      <c r="E1322" s="78"/>
      <c r="K1322" s="20"/>
    </row>
    <row r="1323" spans="1:11" x14ac:dyDescent="0.2">
      <c r="A1323" s="61"/>
      <c r="E1323" s="78"/>
      <c r="K1323" s="20"/>
    </row>
    <row r="1324" spans="1:11" x14ac:dyDescent="0.2">
      <c r="A1324" s="61"/>
      <c r="E1324" s="78"/>
      <c r="K1324" s="20"/>
    </row>
    <row r="1325" spans="1:11" x14ac:dyDescent="0.2">
      <c r="A1325" s="61"/>
      <c r="E1325" s="78"/>
      <c r="K1325" s="20"/>
    </row>
    <row r="1326" spans="1:11" x14ac:dyDescent="0.2">
      <c r="A1326" s="61"/>
      <c r="E1326" s="78"/>
      <c r="K1326" s="20"/>
    </row>
    <row r="1327" spans="1:11" x14ac:dyDescent="0.2">
      <c r="A1327" s="61"/>
      <c r="E1327" s="78"/>
      <c r="K1327" s="20"/>
    </row>
    <row r="1328" spans="1:11" x14ac:dyDescent="0.2">
      <c r="A1328" s="61"/>
      <c r="E1328" s="78"/>
      <c r="K1328" s="20"/>
    </row>
    <row r="1329" spans="1:11" x14ac:dyDescent="0.2">
      <c r="A1329" s="61"/>
      <c r="E1329" s="78"/>
      <c r="K1329" s="20"/>
    </row>
    <row r="1330" spans="1:11" x14ac:dyDescent="0.2">
      <c r="A1330" s="61"/>
      <c r="E1330" s="78"/>
      <c r="K1330" s="20"/>
    </row>
    <row r="1331" spans="1:11" x14ac:dyDescent="0.2">
      <c r="A1331" s="61"/>
      <c r="E1331" s="78"/>
      <c r="K1331" s="20"/>
    </row>
    <row r="1332" spans="1:11" x14ac:dyDescent="0.2">
      <c r="A1332" s="61"/>
      <c r="E1332" s="78"/>
      <c r="K1332" s="20"/>
    </row>
    <row r="1333" spans="1:11" x14ac:dyDescent="0.2">
      <c r="A1333" s="61"/>
      <c r="E1333" s="78"/>
      <c r="K1333" s="20"/>
    </row>
    <row r="1334" spans="1:11" x14ac:dyDescent="0.2">
      <c r="A1334" s="61"/>
      <c r="E1334" s="78"/>
      <c r="K1334" s="20"/>
    </row>
    <row r="1335" spans="1:11" x14ac:dyDescent="0.2">
      <c r="A1335" s="61"/>
      <c r="E1335" s="78"/>
      <c r="K1335" s="20"/>
    </row>
    <row r="1336" spans="1:11" x14ac:dyDescent="0.2">
      <c r="A1336" s="61"/>
      <c r="E1336" s="78"/>
      <c r="K1336" s="20"/>
    </row>
    <row r="1337" spans="1:11" x14ac:dyDescent="0.2">
      <c r="A1337" s="61"/>
      <c r="E1337" s="78"/>
      <c r="K1337" s="20"/>
    </row>
    <row r="1338" spans="1:11" x14ac:dyDescent="0.2">
      <c r="A1338" s="61"/>
      <c r="E1338" s="78"/>
      <c r="K1338" s="20"/>
    </row>
    <row r="1339" spans="1:11" x14ac:dyDescent="0.2">
      <c r="A1339" s="61"/>
      <c r="E1339" s="78"/>
      <c r="K1339" s="20"/>
    </row>
    <row r="1340" spans="1:11" x14ac:dyDescent="0.2">
      <c r="A1340" s="61"/>
      <c r="E1340" s="78"/>
      <c r="K1340" s="20"/>
    </row>
    <row r="1341" spans="1:11" x14ac:dyDescent="0.2">
      <c r="A1341" s="61"/>
      <c r="E1341" s="78"/>
      <c r="K1341" s="20"/>
    </row>
    <row r="1342" spans="1:11" x14ac:dyDescent="0.2">
      <c r="A1342" s="61"/>
      <c r="E1342" s="78"/>
      <c r="K1342" s="20"/>
    </row>
    <row r="1343" spans="1:11" x14ac:dyDescent="0.2">
      <c r="A1343" s="61"/>
      <c r="E1343" s="78"/>
      <c r="K1343" s="20"/>
    </row>
    <row r="1344" spans="1:11" x14ac:dyDescent="0.2">
      <c r="A1344" s="61"/>
      <c r="E1344" s="78"/>
      <c r="K1344" s="20"/>
    </row>
    <row r="1345" spans="1:11" x14ac:dyDescent="0.2">
      <c r="A1345" s="61"/>
      <c r="E1345" s="78"/>
      <c r="K1345" s="20"/>
    </row>
    <row r="1346" spans="1:11" x14ac:dyDescent="0.2">
      <c r="A1346" s="61"/>
      <c r="E1346" s="78"/>
      <c r="K1346" s="20"/>
    </row>
    <row r="1347" spans="1:11" x14ac:dyDescent="0.2">
      <c r="A1347" s="61"/>
      <c r="E1347" s="78"/>
      <c r="K1347" s="20"/>
    </row>
    <row r="1348" spans="1:11" x14ac:dyDescent="0.2">
      <c r="A1348" s="61"/>
      <c r="E1348" s="78"/>
      <c r="K1348" s="20"/>
    </row>
    <row r="1349" spans="1:11" x14ac:dyDescent="0.2">
      <c r="A1349" s="61"/>
      <c r="E1349" s="78"/>
      <c r="K1349" s="20"/>
    </row>
    <row r="1350" spans="1:11" x14ac:dyDescent="0.2">
      <c r="A1350" s="61"/>
      <c r="E1350" s="78"/>
      <c r="K1350" s="20"/>
    </row>
    <row r="1351" spans="1:11" x14ac:dyDescent="0.2">
      <c r="A1351" s="61"/>
      <c r="E1351" s="78"/>
      <c r="K1351" s="20"/>
    </row>
    <row r="1352" spans="1:11" x14ac:dyDescent="0.2">
      <c r="A1352" s="61"/>
      <c r="E1352" s="78"/>
      <c r="K1352" s="20"/>
    </row>
    <row r="1353" spans="1:11" x14ac:dyDescent="0.2">
      <c r="A1353" s="61"/>
      <c r="E1353" s="78"/>
      <c r="K1353" s="20"/>
    </row>
    <row r="1354" spans="1:11" x14ac:dyDescent="0.2">
      <c r="A1354" s="61"/>
      <c r="E1354" s="78"/>
      <c r="K1354" s="20"/>
    </row>
    <row r="1355" spans="1:11" x14ac:dyDescent="0.2">
      <c r="A1355" s="61"/>
      <c r="E1355" s="78"/>
      <c r="K1355" s="20"/>
    </row>
    <row r="1356" spans="1:11" x14ac:dyDescent="0.2">
      <c r="A1356" s="61"/>
      <c r="E1356" s="78"/>
      <c r="K1356" s="20"/>
    </row>
    <row r="1357" spans="1:11" x14ac:dyDescent="0.2">
      <c r="A1357" s="61"/>
      <c r="E1357" s="78"/>
      <c r="K1357" s="20"/>
    </row>
    <row r="1358" spans="1:11" x14ac:dyDescent="0.2">
      <c r="A1358" s="61"/>
      <c r="E1358" s="78"/>
      <c r="K1358" s="20"/>
    </row>
    <row r="1359" spans="1:11" x14ac:dyDescent="0.2">
      <c r="A1359" s="61"/>
      <c r="E1359" s="78"/>
      <c r="K1359" s="20"/>
    </row>
    <row r="1360" spans="1:11" x14ac:dyDescent="0.2">
      <c r="A1360" s="61"/>
      <c r="E1360" s="78"/>
      <c r="K1360" s="20"/>
    </row>
    <row r="1361" spans="1:11" x14ac:dyDescent="0.2">
      <c r="A1361" s="61"/>
      <c r="E1361" s="78"/>
      <c r="K1361" s="20"/>
    </row>
    <row r="1362" spans="1:11" x14ac:dyDescent="0.2">
      <c r="A1362" s="61"/>
      <c r="E1362" s="78"/>
      <c r="K1362" s="20"/>
    </row>
    <row r="1363" spans="1:11" x14ac:dyDescent="0.2">
      <c r="A1363" s="61"/>
      <c r="E1363" s="78"/>
      <c r="K1363" s="20"/>
    </row>
    <row r="1364" spans="1:11" x14ac:dyDescent="0.2">
      <c r="A1364" s="61"/>
      <c r="E1364" s="78"/>
      <c r="K1364" s="20"/>
    </row>
    <row r="1365" spans="1:11" x14ac:dyDescent="0.2">
      <c r="A1365" s="61"/>
      <c r="E1365" s="78"/>
      <c r="K1365" s="20"/>
    </row>
    <row r="1366" spans="1:11" x14ac:dyDescent="0.2">
      <c r="A1366" s="61"/>
      <c r="E1366" s="78"/>
      <c r="K1366" s="20"/>
    </row>
    <row r="1367" spans="1:11" x14ac:dyDescent="0.2">
      <c r="A1367" s="61"/>
      <c r="E1367" s="78"/>
      <c r="K1367" s="20"/>
    </row>
    <row r="1368" spans="1:11" x14ac:dyDescent="0.2">
      <c r="A1368" s="61"/>
      <c r="E1368" s="78"/>
      <c r="K1368" s="20"/>
    </row>
    <row r="1369" spans="1:11" x14ac:dyDescent="0.2">
      <c r="A1369" s="61"/>
      <c r="E1369" s="78"/>
      <c r="K1369" s="20"/>
    </row>
    <row r="1370" spans="1:11" x14ac:dyDescent="0.2">
      <c r="A1370" s="61"/>
      <c r="E1370" s="78"/>
      <c r="K1370" s="20"/>
    </row>
    <row r="1371" spans="1:11" x14ac:dyDescent="0.2">
      <c r="A1371" s="61"/>
      <c r="E1371" s="78"/>
      <c r="K1371" s="20"/>
    </row>
    <row r="1372" spans="1:11" x14ac:dyDescent="0.2">
      <c r="A1372" s="61"/>
      <c r="E1372" s="78"/>
      <c r="K1372" s="20"/>
    </row>
    <row r="1373" spans="1:11" x14ac:dyDescent="0.2">
      <c r="A1373" s="61"/>
      <c r="E1373" s="78"/>
      <c r="K1373" s="20"/>
    </row>
    <row r="1374" spans="1:11" x14ac:dyDescent="0.2">
      <c r="A1374" s="61"/>
      <c r="E1374" s="78"/>
      <c r="K1374" s="20"/>
    </row>
    <row r="1375" spans="1:11" x14ac:dyDescent="0.2">
      <c r="A1375" s="61"/>
      <c r="E1375" s="78"/>
      <c r="K1375" s="20"/>
    </row>
    <row r="1376" spans="1:11" x14ac:dyDescent="0.2">
      <c r="A1376" s="61"/>
      <c r="E1376" s="78"/>
      <c r="K1376" s="20"/>
    </row>
    <row r="1377" spans="1:11" x14ac:dyDescent="0.2">
      <c r="A1377" s="61"/>
      <c r="E1377" s="78"/>
      <c r="K1377" s="20"/>
    </row>
    <row r="1378" spans="1:11" x14ac:dyDescent="0.2">
      <c r="A1378" s="61"/>
      <c r="E1378" s="78"/>
      <c r="K1378" s="20"/>
    </row>
    <row r="1379" spans="1:11" x14ac:dyDescent="0.2">
      <c r="A1379" s="61"/>
      <c r="E1379" s="78"/>
      <c r="K1379" s="20"/>
    </row>
    <row r="1380" spans="1:11" x14ac:dyDescent="0.2">
      <c r="A1380" s="61"/>
      <c r="E1380" s="78"/>
      <c r="K1380" s="20"/>
    </row>
    <row r="1381" spans="1:11" x14ac:dyDescent="0.2">
      <c r="A1381" s="61"/>
      <c r="E1381" s="78"/>
      <c r="K1381" s="20"/>
    </row>
    <row r="1382" spans="1:11" x14ac:dyDescent="0.2">
      <c r="A1382" s="61"/>
      <c r="E1382" s="78"/>
      <c r="K1382" s="20"/>
    </row>
    <row r="1383" spans="1:11" x14ac:dyDescent="0.2">
      <c r="A1383" s="61"/>
      <c r="E1383" s="78"/>
      <c r="K1383" s="20"/>
    </row>
    <row r="1384" spans="1:11" x14ac:dyDescent="0.2">
      <c r="A1384" s="61"/>
      <c r="E1384" s="78"/>
      <c r="K1384" s="20"/>
    </row>
    <row r="1385" spans="1:11" x14ac:dyDescent="0.2">
      <c r="A1385" s="61"/>
      <c r="E1385" s="78"/>
      <c r="K1385" s="20"/>
    </row>
    <row r="1386" spans="1:11" x14ac:dyDescent="0.2">
      <c r="A1386" s="61"/>
      <c r="E1386" s="78"/>
      <c r="K1386" s="20"/>
    </row>
    <row r="1387" spans="1:11" x14ac:dyDescent="0.2">
      <c r="A1387" s="61"/>
      <c r="E1387" s="78"/>
      <c r="K1387" s="20"/>
    </row>
    <row r="1388" spans="1:11" x14ac:dyDescent="0.2">
      <c r="A1388" s="61"/>
      <c r="E1388" s="78"/>
      <c r="K1388" s="20"/>
    </row>
    <row r="1389" spans="1:11" x14ac:dyDescent="0.2">
      <c r="A1389" s="61"/>
      <c r="E1389" s="78"/>
      <c r="K1389" s="20"/>
    </row>
    <row r="1390" spans="1:11" x14ac:dyDescent="0.2">
      <c r="A1390" s="61"/>
      <c r="E1390" s="78"/>
      <c r="K1390" s="20"/>
    </row>
    <row r="1391" spans="1:11" x14ac:dyDescent="0.2">
      <c r="A1391" s="61"/>
      <c r="E1391" s="78"/>
      <c r="K1391" s="20"/>
    </row>
    <row r="1392" spans="1:11" x14ac:dyDescent="0.2">
      <c r="A1392" s="61"/>
      <c r="E1392" s="78"/>
      <c r="K1392" s="20"/>
    </row>
    <row r="1393" spans="1:11" x14ac:dyDescent="0.2">
      <c r="A1393" s="61"/>
      <c r="E1393" s="78"/>
      <c r="K1393" s="20"/>
    </row>
    <row r="1394" spans="1:11" x14ac:dyDescent="0.2">
      <c r="A1394" s="61"/>
      <c r="E1394" s="78"/>
      <c r="K1394" s="20"/>
    </row>
    <row r="1395" spans="1:11" x14ac:dyDescent="0.2">
      <c r="A1395" s="61"/>
      <c r="E1395" s="78"/>
      <c r="K1395" s="20"/>
    </row>
    <row r="1396" spans="1:11" x14ac:dyDescent="0.2">
      <c r="A1396" s="61"/>
      <c r="E1396" s="78"/>
      <c r="K1396" s="20"/>
    </row>
    <row r="1397" spans="1:11" x14ac:dyDescent="0.2">
      <c r="A1397" s="61"/>
      <c r="E1397" s="78"/>
      <c r="K1397" s="20"/>
    </row>
    <row r="1398" spans="1:11" x14ac:dyDescent="0.2">
      <c r="A1398" s="61"/>
      <c r="E1398" s="78"/>
      <c r="K1398" s="20"/>
    </row>
    <row r="1399" spans="1:11" x14ac:dyDescent="0.2">
      <c r="A1399" s="61"/>
      <c r="E1399" s="78"/>
      <c r="K1399" s="20"/>
    </row>
    <row r="1400" spans="1:11" x14ac:dyDescent="0.2">
      <c r="A1400" s="61"/>
      <c r="E1400" s="78"/>
      <c r="K1400" s="20"/>
    </row>
    <row r="1401" spans="1:11" x14ac:dyDescent="0.2">
      <c r="A1401" s="61"/>
      <c r="E1401" s="78"/>
      <c r="K1401" s="20"/>
    </row>
    <row r="1402" spans="1:11" x14ac:dyDescent="0.2">
      <c r="A1402" s="61"/>
      <c r="E1402" s="78"/>
      <c r="K1402" s="20"/>
    </row>
    <row r="1403" spans="1:11" x14ac:dyDescent="0.2">
      <c r="A1403" s="61"/>
      <c r="E1403" s="78"/>
      <c r="K1403" s="20"/>
    </row>
    <row r="1404" spans="1:11" x14ac:dyDescent="0.2">
      <c r="A1404" s="61"/>
      <c r="E1404" s="78"/>
      <c r="K1404" s="20"/>
    </row>
    <row r="1405" spans="1:11" x14ac:dyDescent="0.2">
      <c r="A1405" s="61"/>
      <c r="E1405" s="78"/>
      <c r="K1405" s="20"/>
    </row>
    <row r="1406" spans="1:11" x14ac:dyDescent="0.2">
      <c r="A1406" s="61"/>
      <c r="E1406" s="78"/>
      <c r="K1406" s="20"/>
    </row>
    <row r="1407" spans="1:11" x14ac:dyDescent="0.2">
      <c r="A1407" s="61"/>
      <c r="E1407" s="78"/>
      <c r="K1407" s="20"/>
    </row>
    <row r="1408" spans="1:11" x14ac:dyDescent="0.2">
      <c r="A1408" s="61"/>
      <c r="E1408" s="78"/>
      <c r="K1408" s="20"/>
    </row>
    <row r="1409" spans="1:11" x14ac:dyDescent="0.2">
      <c r="A1409" s="61"/>
      <c r="E1409" s="78"/>
      <c r="K1409" s="20"/>
    </row>
    <row r="1410" spans="1:11" x14ac:dyDescent="0.2">
      <c r="A1410" s="61"/>
      <c r="E1410" s="78"/>
      <c r="K1410" s="20"/>
    </row>
    <row r="1411" spans="1:11" x14ac:dyDescent="0.2">
      <c r="A1411" s="61"/>
      <c r="E1411" s="78"/>
      <c r="K1411" s="20"/>
    </row>
    <row r="1412" spans="1:11" x14ac:dyDescent="0.2">
      <c r="A1412" s="61"/>
      <c r="E1412" s="78"/>
      <c r="K1412" s="20"/>
    </row>
    <row r="1413" spans="1:11" x14ac:dyDescent="0.2">
      <c r="A1413" s="61"/>
      <c r="E1413" s="78"/>
      <c r="K1413" s="20"/>
    </row>
    <row r="1414" spans="1:11" x14ac:dyDescent="0.2">
      <c r="A1414" s="61"/>
      <c r="E1414" s="78"/>
      <c r="K1414" s="20"/>
    </row>
    <row r="1415" spans="1:11" x14ac:dyDescent="0.2">
      <c r="A1415" s="61"/>
      <c r="E1415" s="78"/>
      <c r="K1415" s="20"/>
    </row>
    <row r="1416" spans="1:11" x14ac:dyDescent="0.2">
      <c r="A1416" s="61"/>
      <c r="E1416" s="78"/>
      <c r="K1416" s="20"/>
    </row>
    <row r="1417" spans="1:11" x14ac:dyDescent="0.2">
      <c r="A1417" s="61"/>
      <c r="E1417" s="78"/>
      <c r="K1417" s="20"/>
    </row>
    <row r="1418" spans="1:11" x14ac:dyDescent="0.2">
      <c r="A1418" s="61"/>
      <c r="E1418" s="78"/>
      <c r="K1418" s="20"/>
    </row>
    <row r="1419" spans="1:11" x14ac:dyDescent="0.2">
      <c r="A1419" s="61"/>
      <c r="E1419" s="78"/>
      <c r="K1419" s="20"/>
    </row>
    <row r="1420" spans="1:11" x14ac:dyDescent="0.2">
      <c r="A1420" s="61"/>
      <c r="E1420" s="78"/>
      <c r="K1420" s="20"/>
    </row>
    <row r="1421" spans="1:11" x14ac:dyDescent="0.2">
      <c r="A1421" s="61"/>
      <c r="E1421" s="78"/>
      <c r="K1421" s="20"/>
    </row>
    <row r="1422" spans="1:11" x14ac:dyDescent="0.2">
      <c r="A1422" s="61"/>
      <c r="E1422" s="78"/>
      <c r="K1422" s="20"/>
    </row>
    <row r="1423" spans="1:11" x14ac:dyDescent="0.2">
      <c r="A1423" s="61"/>
      <c r="E1423" s="78"/>
      <c r="K1423" s="20"/>
    </row>
    <row r="1424" spans="1:11" x14ac:dyDescent="0.2">
      <c r="A1424" s="61"/>
      <c r="E1424" s="78"/>
      <c r="K1424" s="20"/>
    </row>
    <row r="1425" spans="1:11" x14ac:dyDescent="0.2">
      <c r="A1425" s="61"/>
      <c r="E1425" s="78"/>
      <c r="K1425" s="20"/>
    </row>
    <row r="1426" spans="1:11" x14ac:dyDescent="0.2">
      <c r="A1426" s="61"/>
      <c r="E1426" s="78"/>
      <c r="K1426" s="20"/>
    </row>
    <row r="1427" spans="1:11" x14ac:dyDescent="0.2">
      <c r="A1427" s="61"/>
      <c r="E1427" s="78"/>
      <c r="K1427" s="20"/>
    </row>
    <row r="1428" spans="1:11" x14ac:dyDescent="0.2">
      <c r="A1428" s="61"/>
      <c r="E1428" s="78"/>
      <c r="K1428" s="20"/>
    </row>
    <row r="1429" spans="1:11" x14ac:dyDescent="0.2">
      <c r="A1429" s="61"/>
      <c r="E1429" s="78"/>
      <c r="K1429" s="20"/>
    </row>
    <row r="1430" spans="1:11" x14ac:dyDescent="0.2">
      <c r="A1430" s="61"/>
      <c r="E1430" s="78"/>
      <c r="K1430" s="20"/>
    </row>
    <row r="1431" spans="1:11" x14ac:dyDescent="0.2">
      <c r="A1431" s="61"/>
      <c r="E1431" s="78"/>
      <c r="K1431" s="20"/>
    </row>
    <row r="1432" spans="1:11" x14ac:dyDescent="0.2">
      <c r="A1432" s="61"/>
      <c r="E1432" s="78"/>
      <c r="K1432" s="20"/>
    </row>
    <row r="1433" spans="1:11" x14ac:dyDescent="0.2">
      <c r="A1433" s="61"/>
      <c r="E1433" s="78"/>
      <c r="K1433" s="20"/>
    </row>
    <row r="1434" spans="1:11" x14ac:dyDescent="0.2">
      <c r="A1434" s="61"/>
      <c r="E1434" s="78"/>
      <c r="K1434" s="20"/>
    </row>
    <row r="1435" spans="1:11" x14ac:dyDescent="0.2">
      <c r="A1435" s="61"/>
      <c r="E1435" s="78"/>
      <c r="K1435" s="20"/>
    </row>
    <row r="1436" spans="1:11" x14ac:dyDescent="0.2">
      <c r="A1436" s="61"/>
      <c r="E1436" s="78"/>
      <c r="K1436" s="20"/>
    </row>
    <row r="1437" spans="1:11" x14ac:dyDescent="0.2">
      <c r="A1437" s="61"/>
      <c r="E1437" s="78"/>
      <c r="K1437" s="20"/>
    </row>
    <row r="1438" spans="1:11" x14ac:dyDescent="0.2">
      <c r="A1438" s="61"/>
      <c r="E1438" s="78"/>
      <c r="K1438" s="20"/>
    </row>
    <row r="1439" spans="1:11" x14ac:dyDescent="0.2">
      <c r="A1439" s="61"/>
      <c r="E1439" s="78"/>
      <c r="K1439" s="20"/>
    </row>
    <row r="1440" spans="1:11" x14ac:dyDescent="0.2">
      <c r="A1440" s="61"/>
      <c r="E1440" s="78"/>
      <c r="K1440" s="20"/>
    </row>
    <row r="1441" spans="1:11" x14ac:dyDescent="0.2">
      <c r="A1441" s="61"/>
      <c r="E1441" s="78"/>
      <c r="K1441" s="20"/>
    </row>
    <row r="1442" spans="1:11" x14ac:dyDescent="0.2">
      <c r="A1442" s="61"/>
      <c r="E1442" s="78"/>
      <c r="K1442" s="20"/>
    </row>
    <row r="1443" spans="1:11" x14ac:dyDescent="0.2">
      <c r="A1443" s="61"/>
      <c r="E1443" s="78"/>
      <c r="K1443" s="20"/>
    </row>
    <row r="1444" spans="1:11" x14ac:dyDescent="0.2">
      <c r="A1444" s="61"/>
      <c r="E1444" s="78"/>
      <c r="K1444" s="20"/>
    </row>
    <row r="1445" spans="1:11" x14ac:dyDescent="0.2">
      <c r="A1445" s="61"/>
      <c r="E1445" s="78"/>
      <c r="K1445" s="20"/>
    </row>
    <row r="1446" spans="1:11" x14ac:dyDescent="0.2">
      <c r="A1446" s="61"/>
      <c r="E1446" s="78"/>
      <c r="K1446" s="20"/>
    </row>
    <row r="1447" spans="1:11" x14ac:dyDescent="0.2">
      <c r="A1447" s="61"/>
      <c r="E1447" s="78"/>
      <c r="K1447" s="20"/>
    </row>
    <row r="1448" spans="1:11" x14ac:dyDescent="0.2">
      <c r="A1448" s="61"/>
      <c r="E1448" s="78"/>
      <c r="K1448" s="20"/>
    </row>
    <row r="1449" spans="1:11" x14ac:dyDescent="0.2">
      <c r="A1449" s="61"/>
      <c r="E1449" s="78"/>
      <c r="K1449" s="20"/>
    </row>
    <row r="1450" spans="1:11" x14ac:dyDescent="0.2">
      <c r="A1450" s="61"/>
      <c r="E1450" s="78"/>
      <c r="K1450" s="20"/>
    </row>
    <row r="1451" spans="1:11" x14ac:dyDescent="0.2">
      <c r="A1451" s="61"/>
      <c r="E1451" s="78"/>
      <c r="K1451" s="20"/>
    </row>
    <row r="1452" spans="1:11" x14ac:dyDescent="0.2">
      <c r="A1452" s="61"/>
      <c r="E1452" s="78"/>
      <c r="K1452" s="20"/>
    </row>
    <row r="1453" spans="1:11" x14ac:dyDescent="0.2">
      <c r="A1453" s="61"/>
      <c r="E1453" s="78"/>
      <c r="K1453" s="20"/>
    </row>
    <row r="1454" spans="1:11" x14ac:dyDescent="0.2">
      <c r="A1454" s="61"/>
      <c r="E1454" s="78"/>
      <c r="K1454" s="20"/>
    </row>
    <row r="1455" spans="1:11" x14ac:dyDescent="0.2">
      <c r="A1455" s="61"/>
      <c r="E1455" s="78"/>
      <c r="K1455" s="20"/>
    </row>
    <row r="1456" spans="1:11" x14ac:dyDescent="0.2">
      <c r="A1456" s="61"/>
      <c r="E1456" s="78"/>
      <c r="K1456" s="20"/>
    </row>
    <row r="1457" spans="1:11" x14ac:dyDescent="0.2">
      <c r="A1457" s="61"/>
      <c r="E1457" s="78"/>
      <c r="K1457" s="20"/>
    </row>
    <row r="1458" spans="1:11" x14ac:dyDescent="0.2">
      <c r="A1458" s="61"/>
      <c r="E1458" s="78"/>
      <c r="K1458" s="20"/>
    </row>
    <row r="1459" spans="1:11" x14ac:dyDescent="0.2">
      <c r="A1459" s="61"/>
      <c r="E1459" s="78"/>
      <c r="K1459" s="20"/>
    </row>
    <row r="1460" spans="1:11" x14ac:dyDescent="0.2">
      <c r="A1460" s="61"/>
      <c r="E1460" s="78"/>
      <c r="K1460" s="20"/>
    </row>
    <row r="1461" spans="1:11" x14ac:dyDescent="0.2">
      <c r="A1461" s="61"/>
      <c r="E1461" s="78"/>
      <c r="K1461" s="20"/>
    </row>
    <row r="1462" spans="1:11" x14ac:dyDescent="0.2">
      <c r="A1462" s="61"/>
      <c r="E1462" s="78"/>
      <c r="K1462" s="20"/>
    </row>
    <row r="1463" spans="1:11" x14ac:dyDescent="0.2">
      <c r="A1463" s="61"/>
      <c r="E1463" s="78"/>
      <c r="K1463" s="20"/>
    </row>
    <row r="1464" spans="1:11" x14ac:dyDescent="0.2">
      <c r="A1464" s="61"/>
      <c r="E1464" s="78"/>
      <c r="K1464" s="20"/>
    </row>
    <row r="1465" spans="1:11" x14ac:dyDescent="0.2">
      <c r="A1465" s="61"/>
      <c r="E1465" s="78"/>
      <c r="K1465" s="20"/>
    </row>
    <row r="1466" spans="1:11" x14ac:dyDescent="0.2">
      <c r="A1466" s="61"/>
      <c r="E1466" s="78"/>
      <c r="K1466" s="20"/>
    </row>
    <row r="1467" spans="1:11" x14ac:dyDescent="0.2">
      <c r="A1467" s="61"/>
      <c r="E1467" s="78"/>
      <c r="K1467" s="20"/>
    </row>
    <row r="1468" spans="1:11" x14ac:dyDescent="0.2">
      <c r="A1468" s="61"/>
      <c r="E1468" s="78"/>
      <c r="K1468" s="20"/>
    </row>
    <row r="1469" spans="1:11" x14ac:dyDescent="0.2">
      <c r="A1469" s="61"/>
      <c r="E1469" s="78"/>
      <c r="K1469" s="20"/>
    </row>
    <row r="1470" spans="1:11" x14ac:dyDescent="0.2">
      <c r="A1470" s="61"/>
      <c r="E1470" s="78"/>
      <c r="K1470" s="20"/>
    </row>
    <row r="1471" spans="1:11" x14ac:dyDescent="0.2">
      <c r="A1471" s="61"/>
      <c r="E1471" s="78"/>
      <c r="K1471" s="20"/>
    </row>
    <row r="1472" spans="1:11" x14ac:dyDescent="0.2">
      <c r="A1472" s="61"/>
      <c r="E1472" s="78"/>
      <c r="K1472" s="20"/>
    </row>
    <row r="1473" spans="1:11" x14ac:dyDescent="0.2">
      <c r="A1473" s="61"/>
      <c r="E1473" s="78"/>
      <c r="K1473" s="20"/>
    </row>
    <row r="1474" spans="1:11" x14ac:dyDescent="0.2">
      <c r="A1474" s="61"/>
      <c r="E1474" s="78"/>
      <c r="K1474" s="20"/>
    </row>
    <row r="1475" spans="1:11" x14ac:dyDescent="0.2">
      <c r="A1475" s="61"/>
      <c r="E1475" s="78"/>
      <c r="K1475" s="20"/>
    </row>
    <row r="1476" spans="1:11" x14ac:dyDescent="0.2">
      <c r="A1476" s="61"/>
      <c r="E1476" s="78"/>
      <c r="K1476" s="20"/>
    </row>
    <row r="1477" spans="1:11" x14ac:dyDescent="0.2">
      <c r="A1477" s="61"/>
      <c r="E1477" s="78"/>
      <c r="K1477" s="20"/>
    </row>
    <row r="1478" spans="1:11" x14ac:dyDescent="0.2">
      <c r="A1478" s="61"/>
      <c r="E1478" s="78"/>
      <c r="K1478" s="20"/>
    </row>
    <row r="1479" spans="1:11" x14ac:dyDescent="0.2">
      <c r="A1479" s="61"/>
      <c r="E1479" s="78"/>
      <c r="K1479" s="20"/>
    </row>
    <row r="1480" spans="1:11" x14ac:dyDescent="0.2">
      <c r="A1480" s="61"/>
      <c r="E1480" s="78"/>
      <c r="K1480" s="20"/>
    </row>
    <row r="1481" spans="1:11" x14ac:dyDescent="0.2">
      <c r="A1481" s="61"/>
      <c r="E1481" s="78"/>
      <c r="K1481" s="20"/>
    </row>
    <row r="1482" spans="1:11" x14ac:dyDescent="0.2">
      <c r="A1482" s="61"/>
      <c r="E1482" s="78"/>
      <c r="K1482" s="20"/>
    </row>
    <row r="1483" spans="1:11" x14ac:dyDescent="0.2">
      <c r="A1483" s="61"/>
      <c r="E1483" s="78"/>
      <c r="K1483" s="20"/>
    </row>
    <row r="1484" spans="1:11" x14ac:dyDescent="0.2">
      <c r="A1484" s="61"/>
      <c r="E1484" s="78"/>
      <c r="K1484" s="20"/>
    </row>
    <row r="1485" spans="1:11" x14ac:dyDescent="0.2">
      <c r="A1485" s="61"/>
      <c r="E1485" s="78"/>
      <c r="K1485" s="20"/>
    </row>
    <row r="1486" spans="1:11" x14ac:dyDescent="0.2">
      <c r="A1486" s="61"/>
      <c r="E1486" s="78"/>
      <c r="K1486" s="20"/>
    </row>
    <row r="1487" spans="1:11" x14ac:dyDescent="0.2">
      <c r="A1487" s="61"/>
      <c r="E1487" s="78"/>
      <c r="K1487" s="20"/>
    </row>
    <row r="1488" spans="1:11" x14ac:dyDescent="0.2">
      <c r="A1488" s="61"/>
      <c r="E1488" s="78"/>
      <c r="K1488" s="20"/>
    </row>
    <row r="1489" spans="1:26" x14ac:dyDescent="0.2">
      <c r="A1489" s="61"/>
      <c r="E1489" s="78"/>
      <c r="K1489" s="20"/>
    </row>
    <row r="1490" spans="1:26" x14ac:dyDescent="0.2">
      <c r="A1490" s="61"/>
      <c r="E1490" s="78"/>
      <c r="K1490" s="20"/>
    </row>
    <row r="1491" spans="1:26" x14ac:dyDescent="0.2">
      <c r="A1491" s="61"/>
      <c r="E1491" s="78"/>
      <c r="K1491" s="20"/>
    </row>
    <row r="1492" spans="1:26" x14ac:dyDescent="0.2">
      <c r="A1492" s="61"/>
      <c r="E1492" s="78"/>
      <c r="K1492" s="20"/>
    </row>
    <row r="1493" spans="1:26" x14ac:dyDescent="0.2">
      <c r="A1493" s="61"/>
      <c r="E1493" s="78"/>
      <c r="K1493" s="20"/>
    </row>
    <row r="1494" spans="1:26" x14ac:dyDescent="0.2">
      <c r="A1494" s="61"/>
      <c r="E1494" s="78"/>
      <c r="K1494" s="20"/>
    </row>
    <row r="1495" spans="1:26" x14ac:dyDescent="0.2">
      <c r="A1495" s="61"/>
      <c r="E1495" s="78"/>
      <c r="K1495" s="20"/>
    </row>
    <row r="1496" spans="1:26" x14ac:dyDescent="0.2">
      <c r="A1496" s="61"/>
      <c r="E1496" s="78"/>
      <c r="K1496" s="20"/>
    </row>
    <row r="1497" spans="1:26" x14ac:dyDescent="0.2">
      <c r="A1497" s="61"/>
      <c r="E1497" s="78"/>
      <c r="K1497" s="20"/>
    </row>
    <row r="1498" spans="1:26" x14ac:dyDescent="0.2">
      <c r="A1498" s="61"/>
      <c r="E1498" s="78"/>
      <c r="K1498" s="20"/>
    </row>
    <row r="1499" spans="1:26" x14ac:dyDescent="0.2">
      <c r="A1499" s="61"/>
      <c r="E1499" s="78"/>
      <c r="K1499" s="20"/>
      <c r="Z1499" s="10" t="s">
        <v>19</v>
      </c>
    </row>
    <row r="1500" spans="1:26" x14ac:dyDescent="0.2">
      <c r="A1500" s="61"/>
      <c r="E1500" s="78"/>
      <c r="K1500" s="20"/>
    </row>
    <row r="1501" spans="1:26" x14ac:dyDescent="0.2">
      <c r="A1501" s="61"/>
      <c r="E1501" s="78"/>
      <c r="K1501" s="20"/>
    </row>
    <row r="1502" spans="1:26" x14ac:dyDescent="0.2">
      <c r="A1502" s="61"/>
      <c r="E1502" s="78"/>
      <c r="K1502" s="20"/>
    </row>
    <row r="1503" spans="1:26" x14ac:dyDescent="0.2">
      <c r="A1503" s="61"/>
      <c r="E1503" s="78"/>
      <c r="K1503" s="20"/>
    </row>
    <row r="1504" spans="1:26" x14ac:dyDescent="0.2">
      <c r="A1504" s="61"/>
      <c r="E1504" s="78"/>
      <c r="K1504" s="20"/>
    </row>
    <row r="1505" spans="1:11" x14ac:dyDescent="0.2">
      <c r="A1505" s="61"/>
      <c r="E1505" s="78"/>
      <c r="K1505" s="20"/>
    </row>
    <row r="1506" spans="1:11" x14ac:dyDescent="0.2">
      <c r="A1506" s="61"/>
      <c r="E1506" s="78"/>
      <c r="K1506" s="20"/>
    </row>
    <row r="1507" spans="1:11" x14ac:dyDescent="0.2">
      <c r="A1507" s="61"/>
      <c r="E1507" s="78"/>
      <c r="K1507" s="20"/>
    </row>
    <row r="1508" spans="1:11" x14ac:dyDescent="0.2">
      <c r="A1508" s="61"/>
      <c r="E1508" s="78"/>
      <c r="K1508" s="20"/>
    </row>
    <row r="1509" spans="1:11" x14ac:dyDescent="0.2">
      <c r="A1509" s="61"/>
      <c r="E1509" s="78"/>
      <c r="K1509" s="20"/>
    </row>
    <row r="1510" spans="1:11" x14ac:dyDescent="0.2">
      <c r="A1510" s="61"/>
      <c r="E1510" s="78"/>
      <c r="K1510" s="20"/>
    </row>
    <row r="1511" spans="1:11" x14ac:dyDescent="0.2">
      <c r="A1511" s="61"/>
      <c r="E1511" s="78"/>
      <c r="K1511" s="20"/>
    </row>
    <row r="1512" spans="1:11" x14ac:dyDescent="0.2">
      <c r="A1512" s="61"/>
      <c r="E1512" s="78"/>
      <c r="K1512" s="20"/>
    </row>
    <row r="1513" spans="1:11" x14ac:dyDescent="0.2">
      <c r="A1513" s="61"/>
      <c r="E1513" s="78"/>
      <c r="K1513" s="20"/>
    </row>
    <row r="1514" spans="1:11" x14ac:dyDescent="0.2">
      <c r="A1514" s="61"/>
      <c r="E1514" s="78"/>
      <c r="K1514" s="20"/>
    </row>
    <row r="1515" spans="1:11" x14ac:dyDescent="0.2">
      <c r="A1515" s="61"/>
      <c r="E1515" s="78"/>
      <c r="K1515" s="20"/>
    </row>
    <row r="1516" spans="1:11" x14ac:dyDescent="0.2">
      <c r="A1516" s="61"/>
      <c r="E1516" s="78"/>
      <c r="K1516" s="20"/>
    </row>
    <row r="1517" spans="1:11" x14ac:dyDescent="0.2">
      <c r="A1517" s="61"/>
      <c r="E1517" s="78"/>
      <c r="K1517" s="20"/>
    </row>
    <row r="1518" spans="1:11" x14ac:dyDescent="0.2">
      <c r="A1518" s="61"/>
      <c r="E1518" s="78"/>
      <c r="K1518" s="20"/>
    </row>
    <row r="1519" spans="1:11" x14ac:dyDescent="0.2">
      <c r="A1519" s="61"/>
      <c r="E1519" s="78"/>
      <c r="K1519" s="20"/>
    </row>
    <row r="1520" spans="1:11" x14ac:dyDescent="0.2">
      <c r="A1520" s="61"/>
      <c r="E1520" s="78"/>
      <c r="K1520" s="20"/>
    </row>
    <row r="1521" spans="1:11" x14ac:dyDescent="0.2">
      <c r="A1521" s="61"/>
      <c r="E1521" s="78"/>
      <c r="K1521" s="20"/>
    </row>
    <row r="1522" spans="1:11" x14ac:dyDescent="0.2">
      <c r="A1522" s="61"/>
      <c r="E1522" s="78"/>
      <c r="K1522" s="20"/>
    </row>
    <row r="1523" spans="1:11" x14ac:dyDescent="0.2">
      <c r="A1523" s="61"/>
      <c r="E1523" s="78"/>
      <c r="K1523" s="20"/>
    </row>
    <row r="1524" spans="1:11" x14ac:dyDescent="0.2">
      <c r="A1524" s="61"/>
      <c r="E1524" s="78"/>
      <c r="K1524" s="20"/>
    </row>
    <row r="1525" spans="1:11" x14ac:dyDescent="0.2">
      <c r="A1525" s="61"/>
      <c r="E1525" s="78"/>
      <c r="K1525" s="20"/>
    </row>
    <row r="1526" spans="1:11" x14ac:dyDescent="0.2">
      <c r="A1526" s="61"/>
      <c r="E1526" s="78"/>
      <c r="K1526" s="20"/>
    </row>
    <row r="1527" spans="1:11" x14ac:dyDescent="0.2">
      <c r="A1527" s="61"/>
      <c r="E1527" s="78"/>
      <c r="K1527" s="20"/>
    </row>
    <row r="1528" spans="1:11" x14ac:dyDescent="0.2">
      <c r="A1528" s="61"/>
      <c r="E1528" s="78"/>
      <c r="K1528" s="20"/>
    </row>
    <row r="1529" spans="1:11" x14ac:dyDescent="0.2">
      <c r="A1529" s="61"/>
      <c r="E1529" s="78"/>
      <c r="K1529" s="20"/>
    </row>
    <row r="1530" spans="1:11" x14ac:dyDescent="0.2">
      <c r="A1530" s="61"/>
      <c r="E1530" s="78"/>
      <c r="K1530" s="20"/>
    </row>
    <row r="1531" spans="1:11" x14ac:dyDescent="0.2">
      <c r="A1531" s="61"/>
      <c r="E1531" s="78"/>
      <c r="K1531" s="20"/>
    </row>
    <row r="1532" spans="1:11" x14ac:dyDescent="0.2">
      <c r="A1532" s="61"/>
      <c r="E1532" s="78"/>
      <c r="K1532" s="20"/>
    </row>
    <row r="1533" spans="1:11" x14ac:dyDescent="0.2">
      <c r="A1533" s="61"/>
      <c r="E1533" s="78"/>
      <c r="K1533" s="20"/>
    </row>
    <row r="1534" spans="1:11" x14ac:dyDescent="0.2">
      <c r="A1534" s="61"/>
      <c r="E1534" s="78"/>
      <c r="K1534" s="20"/>
    </row>
    <row r="1535" spans="1:11" x14ac:dyDescent="0.2">
      <c r="A1535" s="61"/>
      <c r="E1535" s="78"/>
      <c r="K1535" s="20"/>
    </row>
    <row r="1536" spans="1:11" x14ac:dyDescent="0.2">
      <c r="A1536" s="61"/>
      <c r="E1536" s="78"/>
      <c r="K1536" s="20"/>
    </row>
    <row r="1537" spans="1:11" x14ac:dyDescent="0.2">
      <c r="A1537" s="61"/>
      <c r="E1537" s="78"/>
      <c r="K1537" s="20"/>
    </row>
    <row r="1538" spans="1:11" x14ac:dyDescent="0.2">
      <c r="A1538" s="61"/>
      <c r="E1538" s="78"/>
      <c r="K1538" s="20"/>
    </row>
    <row r="1539" spans="1:11" x14ac:dyDescent="0.2">
      <c r="A1539" s="61"/>
      <c r="E1539" s="78"/>
      <c r="K1539" s="20"/>
    </row>
    <row r="1540" spans="1:11" x14ac:dyDescent="0.2">
      <c r="A1540" s="61"/>
      <c r="E1540" s="78"/>
      <c r="K1540" s="20"/>
    </row>
    <row r="1541" spans="1:11" x14ac:dyDescent="0.2">
      <c r="A1541" s="61"/>
      <c r="E1541" s="78"/>
      <c r="K1541" s="20"/>
    </row>
    <row r="1542" spans="1:11" x14ac:dyDescent="0.2">
      <c r="A1542" s="61"/>
      <c r="E1542" s="78"/>
      <c r="K1542" s="20"/>
    </row>
    <row r="1543" spans="1:11" x14ac:dyDescent="0.2">
      <c r="A1543" s="61"/>
      <c r="E1543" s="78"/>
      <c r="K1543" s="20"/>
    </row>
    <row r="1544" spans="1:11" x14ac:dyDescent="0.2">
      <c r="A1544" s="61"/>
      <c r="E1544" s="78"/>
      <c r="K1544" s="20"/>
    </row>
    <row r="1545" spans="1:11" x14ac:dyDescent="0.2">
      <c r="A1545" s="61"/>
      <c r="E1545" s="78"/>
      <c r="K1545" s="20"/>
    </row>
    <row r="1546" spans="1:11" x14ac:dyDescent="0.2">
      <c r="A1546" s="61"/>
      <c r="E1546" s="78"/>
      <c r="K1546" s="20"/>
    </row>
    <row r="1547" spans="1:11" x14ac:dyDescent="0.2">
      <c r="A1547" s="61"/>
      <c r="E1547" s="78"/>
      <c r="K1547" s="20"/>
    </row>
    <row r="1548" spans="1:11" x14ac:dyDescent="0.2">
      <c r="A1548" s="61"/>
      <c r="E1548" s="78"/>
      <c r="K1548" s="20"/>
    </row>
    <row r="1549" spans="1:11" x14ac:dyDescent="0.2">
      <c r="A1549" s="61"/>
      <c r="E1549" s="78"/>
      <c r="K1549" s="20"/>
    </row>
    <row r="1550" spans="1:11" x14ac:dyDescent="0.2">
      <c r="A1550" s="61"/>
      <c r="E1550" s="78"/>
      <c r="K1550" s="20"/>
    </row>
    <row r="1551" spans="1:11" x14ac:dyDescent="0.2">
      <c r="A1551" s="61"/>
      <c r="E1551" s="78"/>
      <c r="K1551" s="20"/>
    </row>
    <row r="1552" spans="1:11" x14ac:dyDescent="0.2">
      <c r="A1552" s="61"/>
      <c r="E1552" s="78"/>
      <c r="K1552" s="20"/>
    </row>
    <row r="1553" spans="1:11" x14ac:dyDescent="0.2">
      <c r="A1553" s="61"/>
      <c r="E1553" s="78"/>
      <c r="K1553" s="20"/>
    </row>
    <row r="1554" spans="1:11" x14ac:dyDescent="0.2">
      <c r="A1554" s="61"/>
      <c r="E1554" s="78"/>
      <c r="K1554" s="20"/>
    </row>
    <row r="1555" spans="1:11" x14ac:dyDescent="0.2">
      <c r="A1555" s="61"/>
      <c r="E1555" s="78"/>
      <c r="K1555" s="20"/>
    </row>
    <row r="1556" spans="1:11" x14ac:dyDescent="0.2">
      <c r="A1556" s="61"/>
      <c r="E1556" s="78"/>
      <c r="K1556" s="20"/>
    </row>
    <row r="1557" spans="1:11" x14ac:dyDescent="0.2">
      <c r="A1557" s="61"/>
      <c r="E1557" s="78"/>
      <c r="K1557" s="20"/>
    </row>
    <row r="1558" spans="1:11" x14ac:dyDescent="0.2">
      <c r="A1558" s="61"/>
      <c r="E1558" s="78"/>
      <c r="K1558" s="20"/>
    </row>
    <row r="1559" spans="1:11" x14ac:dyDescent="0.2">
      <c r="A1559" s="61"/>
      <c r="E1559" s="78"/>
      <c r="K1559" s="20"/>
    </row>
    <row r="1560" spans="1:11" x14ac:dyDescent="0.2">
      <c r="A1560" s="61"/>
      <c r="E1560" s="78"/>
      <c r="K1560" s="20"/>
    </row>
    <row r="1561" spans="1:11" x14ac:dyDescent="0.2">
      <c r="A1561" s="61"/>
      <c r="E1561" s="78"/>
      <c r="K1561" s="20"/>
    </row>
    <row r="1562" spans="1:11" x14ac:dyDescent="0.2">
      <c r="A1562" s="61"/>
      <c r="E1562" s="78"/>
      <c r="K1562" s="20"/>
    </row>
    <row r="1563" spans="1:11" x14ac:dyDescent="0.2">
      <c r="A1563" s="61"/>
      <c r="E1563" s="78"/>
      <c r="K1563" s="20"/>
    </row>
    <row r="1564" spans="1:11" x14ac:dyDescent="0.2">
      <c r="A1564" s="61"/>
      <c r="E1564" s="78"/>
      <c r="K1564" s="20"/>
    </row>
    <row r="1565" spans="1:11" x14ac:dyDescent="0.2">
      <c r="A1565" s="61"/>
      <c r="E1565" s="78"/>
      <c r="K1565" s="20"/>
    </row>
    <row r="1566" spans="1:11" x14ac:dyDescent="0.2">
      <c r="A1566" s="61"/>
      <c r="E1566" s="78"/>
      <c r="K1566" s="20"/>
    </row>
    <row r="1567" spans="1:11" x14ac:dyDescent="0.2">
      <c r="A1567" s="61"/>
      <c r="E1567" s="78"/>
      <c r="K1567" s="20"/>
    </row>
    <row r="1568" spans="1:11" x14ac:dyDescent="0.2">
      <c r="A1568" s="61"/>
      <c r="E1568" s="78"/>
      <c r="K1568" s="20"/>
    </row>
    <row r="1569" spans="1:11" x14ac:dyDescent="0.2">
      <c r="A1569" s="61"/>
      <c r="E1569" s="78"/>
      <c r="K1569" s="20"/>
    </row>
    <row r="1570" spans="1:11" x14ac:dyDescent="0.2">
      <c r="A1570" s="61"/>
      <c r="E1570" s="78"/>
      <c r="K1570" s="20"/>
    </row>
    <row r="1571" spans="1:11" x14ac:dyDescent="0.2">
      <c r="A1571" s="61"/>
      <c r="E1571" s="78"/>
      <c r="K1571" s="20"/>
    </row>
    <row r="1572" spans="1:11" x14ac:dyDescent="0.2">
      <c r="A1572" s="61"/>
      <c r="E1572" s="78"/>
      <c r="K1572" s="20"/>
    </row>
    <row r="1573" spans="1:11" x14ac:dyDescent="0.2">
      <c r="A1573" s="61"/>
      <c r="E1573" s="78"/>
      <c r="K1573" s="20"/>
    </row>
    <row r="1574" spans="1:11" x14ac:dyDescent="0.2">
      <c r="A1574" s="61"/>
      <c r="E1574" s="78"/>
      <c r="K1574" s="20"/>
    </row>
    <row r="1575" spans="1:11" x14ac:dyDescent="0.2">
      <c r="A1575" s="61"/>
      <c r="E1575" s="78"/>
      <c r="K1575" s="20"/>
    </row>
    <row r="1576" spans="1:11" x14ac:dyDescent="0.2">
      <c r="A1576" s="61"/>
      <c r="E1576" s="78"/>
      <c r="K1576" s="20"/>
    </row>
    <row r="1577" spans="1:11" x14ac:dyDescent="0.2">
      <c r="A1577" s="61"/>
      <c r="E1577" s="78"/>
      <c r="K1577" s="20"/>
    </row>
    <row r="1578" spans="1:11" x14ac:dyDescent="0.2">
      <c r="A1578" s="61"/>
      <c r="E1578" s="78"/>
      <c r="K1578" s="20"/>
    </row>
    <row r="1579" spans="1:11" x14ac:dyDescent="0.2">
      <c r="A1579" s="61"/>
      <c r="E1579" s="78"/>
      <c r="K1579" s="20"/>
    </row>
    <row r="1580" spans="1:11" x14ac:dyDescent="0.2">
      <c r="A1580" s="61"/>
      <c r="E1580" s="78"/>
      <c r="K1580" s="20"/>
    </row>
    <row r="1581" spans="1:11" x14ac:dyDescent="0.2">
      <c r="A1581" s="61"/>
      <c r="E1581" s="78"/>
      <c r="K1581" s="20"/>
    </row>
    <row r="1582" spans="1:11" x14ac:dyDescent="0.2">
      <c r="A1582" s="61"/>
      <c r="E1582" s="78"/>
      <c r="K1582" s="20"/>
    </row>
    <row r="1583" spans="1:11" x14ac:dyDescent="0.2">
      <c r="A1583" s="61"/>
      <c r="E1583" s="78"/>
      <c r="K1583" s="20"/>
    </row>
    <row r="1584" spans="1:11" x14ac:dyDescent="0.2">
      <c r="A1584" s="61"/>
      <c r="E1584" s="78"/>
      <c r="K1584" s="20"/>
    </row>
    <row r="1585" spans="1:11" x14ac:dyDescent="0.2">
      <c r="A1585" s="61"/>
      <c r="E1585" s="78"/>
      <c r="K1585" s="20"/>
    </row>
    <row r="1586" spans="1:11" x14ac:dyDescent="0.2">
      <c r="A1586" s="61"/>
      <c r="E1586" s="78"/>
      <c r="K1586" s="20"/>
    </row>
    <row r="1587" spans="1:11" x14ac:dyDescent="0.2">
      <c r="A1587" s="61"/>
      <c r="E1587" s="78"/>
      <c r="K1587" s="20"/>
    </row>
    <row r="1588" spans="1:11" x14ac:dyDescent="0.2">
      <c r="A1588" s="61"/>
      <c r="E1588" s="78"/>
      <c r="K1588" s="20"/>
    </row>
    <row r="1589" spans="1:11" x14ac:dyDescent="0.2">
      <c r="A1589" s="61"/>
      <c r="E1589" s="78"/>
      <c r="K1589" s="20"/>
    </row>
    <row r="1590" spans="1:11" x14ac:dyDescent="0.2">
      <c r="A1590" s="61"/>
      <c r="E1590" s="78"/>
      <c r="K1590" s="20"/>
    </row>
    <row r="1591" spans="1:11" x14ac:dyDescent="0.2">
      <c r="A1591" s="61"/>
      <c r="E1591" s="78"/>
      <c r="K1591" s="20"/>
    </row>
    <row r="1592" spans="1:11" x14ac:dyDescent="0.2">
      <c r="A1592" s="61"/>
      <c r="E1592" s="78"/>
      <c r="K1592" s="20"/>
    </row>
    <row r="1593" spans="1:11" x14ac:dyDescent="0.2">
      <c r="A1593" s="61"/>
      <c r="E1593" s="78"/>
      <c r="K1593" s="20"/>
    </row>
    <row r="1594" spans="1:11" x14ac:dyDescent="0.2">
      <c r="A1594" s="61"/>
      <c r="E1594" s="78"/>
      <c r="K1594" s="20"/>
    </row>
    <row r="1595" spans="1:11" x14ac:dyDescent="0.2">
      <c r="A1595" s="61"/>
      <c r="E1595" s="78"/>
      <c r="K1595" s="20"/>
    </row>
    <row r="1596" spans="1:11" x14ac:dyDescent="0.2">
      <c r="A1596" s="61"/>
      <c r="E1596" s="78"/>
      <c r="K1596" s="20"/>
    </row>
    <row r="1597" spans="1:11" x14ac:dyDescent="0.2">
      <c r="A1597" s="61"/>
      <c r="E1597" s="78"/>
      <c r="K1597" s="20"/>
    </row>
    <row r="1598" spans="1:11" x14ac:dyDescent="0.2">
      <c r="A1598" s="61"/>
      <c r="E1598" s="78"/>
      <c r="K1598" s="20"/>
    </row>
    <row r="1599" spans="1:11" x14ac:dyDescent="0.2">
      <c r="A1599" s="61"/>
      <c r="E1599" s="78"/>
      <c r="K1599" s="20"/>
    </row>
    <row r="1600" spans="1:11" x14ac:dyDescent="0.2">
      <c r="A1600" s="61"/>
      <c r="E1600" s="78"/>
      <c r="K1600" s="20"/>
    </row>
    <row r="1601" spans="1:11" x14ac:dyDescent="0.2">
      <c r="A1601" s="61"/>
      <c r="E1601" s="78"/>
      <c r="K1601" s="20"/>
    </row>
    <row r="1602" spans="1:11" x14ac:dyDescent="0.2">
      <c r="A1602" s="61"/>
      <c r="E1602" s="78"/>
      <c r="K1602" s="20"/>
    </row>
    <row r="1603" spans="1:11" x14ac:dyDescent="0.2">
      <c r="A1603" s="61"/>
      <c r="E1603" s="78"/>
      <c r="K1603" s="20"/>
    </row>
    <row r="1604" spans="1:11" x14ac:dyDescent="0.2">
      <c r="A1604" s="61"/>
      <c r="E1604" s="78"/>
      <c r="K1604" s="20"/>
    </row>
    <row r="1605" spans="1:11" x14ac:dyDescent="0.2">
      <c r="A1605" s="61"/>
      <c r="E1605" s="78"/>
      <c r="K1605" s="20"/>
    </row>
    <row r="1606" spans="1:11" x14ac:dyDescent="0.2">
      <c r="A1606" s="61"/>
      <c r="E1606" s="78"/>
      <c r="K1606" s="20"/>
    </row>
    <row r="1607" spans="1:11" x14ac:dyDescent="0.2">
      <c r="A1607" s="61"/>
      <c r="E1607" s="78"/>
      <c r="K1607" s="20"/>
    </row>
    <row r="1608" spans="1:11" x14ac:dyDescent="0.2">
      <c r="A1608" s="61"/>
      <c r="E1608" s="78"/>
      <c r="K1608" s="20"/>
    </row>
    <row r="1609" spans="1:11" x14ac:dyDescent="0.2">
      <c r="A1609" s="61"/>
      <c r="E1609" s="78"/>
      <c r="K1609" s="20"/>
    </row>
    <row r="1610" spans="1:11" x14ac:dyDescent="0.2">
      <c r="A1610" s="61"/>
      <c r="E1610" s="78"/>
      <c r="K1610" s="20"/>
    </row>
    <row r="1611" spans="1:11" x14ac:dyDescent="0.2">
      <c r="A1611" s="61"/>
      <c r="E1611" s="78"/>
      <c r="K1611" s="20"/>
    </row>
    <row r="1612" spans="1:11" x14ac:dyDescent="0.2">
      <c r="A1612" s="61"/>
      <c r="E1612" s="78"/>
      <c r="K1612" s="20"/>
    </row>
    <row r="1613" spans="1:11" x14ac:dyDescent="0.2">
      <c r="A1613" s="61"/>
      <c r="E1613" s="78"/>
      <c r="K1613" s="20"/>
    </row>
    <row r="1614" spans="1:11" x14ac:dyDescent="0.2">
      <c r="A1614" s="61"/>
      <c r="E1614" s="78"/>
      <c r="K1614" s="20"/>
    </row>
    <row r="1615" spans="1:11" x14ac:dyDescent="0.2">
      <c r="A1615" s="61"/>
      <c r="E1615" s="78"/>
      <c r="K1615" s="20"/>
    </row>
    <row r="1616" spans="1:11" x14ac:dyDescent="0.2">
      <c r="A1616" s="61"/>
      <c r="E1616" s="78"/>
      <c r="K1616" s="20"/>
    </row>
    <row r="1617" spans="1:11" x14ac:dyDescent="0.2">
      <c r="A1617" s="61"/>
      <c r="E1617" s="78"/>
      <c r="K1617" s="20"/>
    </row>
    <row r="1618" spans="1:11" x14ac:dyDescent="0.2">
      <c r="A1618" s="61"/>
      <c r="E1618" s="78"/>
      <c r="K1618" s="20"/>
    </row>
    <row r="1619" spans="1:11" x14ac:dyDescent="0.2">
      <c r="A1619" s="61"/>
      <c r="E1619" s="78"/>
      <c r="K1619" s="20"/>
    </row>
    <row r="1620" spans="1:11" x14ac:dyDescent="0.2">
      <c r="A1620" s="61"/>
      <c r="E1620" s="78"/>
      <c r="K1620" s="20"/>
    </row>
    <row r="1621" spans="1:11" x14ac:dyDescent="0.2">
      <c r="A1621" s="61"/>
      <c r="E1621" s="78"/>
      <c r="K1621" s="20"/>
    </row>
    <row r="1622" spans="1:11" x14ac:dyDescent="0.2">
      <c r="A1622" s="61"/>
      <c r="E1622" s="78"/>
      <c r="K1622" s="20"/>
    </row>
    <row r="1623" spans="1:11" x14ac:dyDescent="0.2">
      <c r="A1623" s="61"/>
      <c r="E1623" s="78"/>
      <c r="K1623" s="20"/>
    </row>
    <row r="1624" spans="1:11" x14ac:dyDescent="0.2">
      <c r="A1624" s="61"/>
      <c r="E1624" s="78"/>
      <c r="K1624" s="20"/>
    </row>
    <row r="1625" spans="1:11" x14ac:dyDescent="0.2">
      <c r="A1625" s="61"/>
      <c r="E1625" s="78"/>
      <c r="K1625" s="20"/>
    </row>
    <row r="1626" spans="1:11" x14ac:dyDescent="0.2">
      <c r="A1626" s="61"/>
      <c r="E1626" s="78"/>
      <c r="K1626" s="20"/>
    </row>
    <row r="1627" spans="1:11" x14ac:dyDescent="0.2">
      <c r="A1627" s="61"/>
      <c r="E1627" s="78"/>
      <c r="K1627" s="20"/>
    </row>
    <row r="1628" spans="1:11" x14ac:dyDescent="0.2">
      <c r="A1628" s="61"/>
      <c r="E1628" s="78"/>
      <c r="K1628" s="20"/>
    </row>
    <row r="1629" spans="1:11" x14ac:dyDescent="0.2">
      <c r="A1629" s="61"/>
      <c r="E1629" s="78"/>
      <c r="K1629" s="20"/>
    </row>
    <row r="1630" spans="1:11" x14ac:dyDescent="0.2">
      <c r="A1630" s="61"/>
      <c r="E1630" s="78"/>
      <c r="K1630" s="20"/>
    </row>
    <row r="1631" spans="1:11" x14ac:dyDescent="0.2">
      <c r="A1631" s="61"/>
      <c r="E1631" s="78"/>
      <c r="K1631" s="20"/>
    </row>
    <row r="1632" spans="1:11" x14ac:dyDescent="0.2">
      <c r="A1632" s="61"/>
      <c r="E1632" s="78"/>
      <c r="K1632" s="20"/>
    </row>
    <row r="1633" spans="1:11" x14ac:dyDescent="0.2">
      <c r="A1633" s="61"/>
      <c r="E1633" s="78"/>
      <c r="K1633" s="20"/>
    </row>
    <row r="1634" spans="1:11" x14ac:dyDescent="0.2">
      <c r="A1634" s="61"/>
      <c r="E1634" s="78"/>
      <c r="K1634" s="20"/>
    </row>
    <row r="1635" spans="1:11" x14ac:dyDescent="0.2">
      <c r="A1635" s="61"/>
      <c r="E1635" s="78"/>
      <c r="K1635" s="20"/>
    </row>
    <row r="1636" spans="1:11" x14ac:dyDescent="0.2">
      <c r="A1636" s="61"/>
      <c r="E1636" s="78"/>
      <c r="K1636" s="20"/>
    </row>
    <row r="1637" spans="1:11" x14ac:dyDescent="0.2">
      <c r="A1637" s="61"/>
      <c r="E1637" s="78"/>
      <c r="K1637" s="20"/>
    </row>
    <row r="1638" spans="1:11" x14ac:dyDescent="0.2">
      <c r="A1638" s="61"/>
      <c r="E1638" s="78"/>
      <c r="K1638" s="20"/>
    </row>
    <row r="1639" spans="1:11" x14ac:dyDescent="0.2">
      <c r="A1639" s="61"/>
      <c r="E1639" s="78"/>
      <c r="K1639" s="20"/>
    </row>
    <row r="1640" spans="1:11" x14ac:dyDescent="0.2">
      <c r="A1640" s="61"/>
      <c r="E1640" s="78"/>
      <c r="K1640" s="20"/>
    </row>
    <row r="1641" spans="1:11" x14ac:dyDescent="0.2">
      <c r="A1641" s="61"/>
      <c r="E1641" s="78"/>
      <c r="K1641" s="20"/>
    </row>
    <row r="1642" spans="1:11" x14ac:dyDescent="0.2">
      <c r="A1642" s="61"/>
      <c r="E1642" s="78"/>
      <c r="K1642" s="20"/>
    </row>
    <row r="1643" spans="1:11" x14ac:dyDescent="0.2">
      <c r="A1643" s="61"/>
      <c r="E1643" s="78"/>
      <c r="K1643" s="20"/>
    </row>
    <row r="1644" spans="1:11" x14ac:dyDescent="0.2">
      <c r="A1644" s="61"/>
      <c r="E1644" s="78"/>
      <c r="K1644" s="20"/>
    </row>
    <row r="1645" spans="1:11" x14ac:dyDescent="0.2">
      <c r="A1645" s="61"/>
      <c r="E1645" s="78"/>
      <c r="K1645" s="20"/>
    </row>
    <row r="1646" spans="1:11" x14ac:dyDescent="0.2">
      <c r="A1646" s="61"/>
      <c r="E1646" s="78"/>
      <c r="K1646" s="20"/>
    </row>
    <row r="1647" spans="1:11" x14ac:dyDescent="0.2">
      <c r="A1647" s="61"/>
      <c r="E1647" s="78"/>
      <c r="K1647" s="20"/>
    </row>
    <row r="1648" spans="1:11" x14ac:dyDescent="0.2">
      <c r="A1648" s="61"/>
      <c r="E1648" s="78"/>
      <c r="K1648" s="20"/>
    </row>
    <row r="1649" spans="1:11" x14ac:dyDescent="0.2">
      <c r="A1649" s="61"/>
      <c r="E1649" s="78"/>
      <c r="K1649" s="20"/>
    </row>
    <row r="1650" spans="1:11" x14ac:dyDescent="0.2">
      <c r="A1650" s="61"/>
      <c r="E1650" s="78"/>
      <c r="K1650" s="20"/>
    </row>
    <row r="1651" spans="1:11" x14ac:dyDescent="0.2">
      <c r="A1651" s="61"/>
      <c r="E1651" s="78"/>
      <c r="K1651" s="20"/>
    </row>
    <row r="1652" spans="1:11" x14ac:dyDescent="0.2">
      <c r="A1652" s="61"/>
      <c r="E1652" s="78"/>
      <c r="K1652" s="20"/>
    </row>
    <row r="1653" spans="1:11" x14ac:dyDescent="0.2">
      <c r="A1653" s="61"/>
      <c r="E1653" s="78"/>
      <c r="K1653" s="20"/>
    </row>
    <row r="1654" spans="1:11" x14ac:dyDescent="0.2">
      <c r="A1654" s="61"/>
      <c r="E1654" s="78"/>
      <c r="K1654" s="20"/>
    </row>
    <row r="1655" spans="1:11" x14ac:dyDescent="0.2">
      <c r="A1655" s="61"/>
      <c r="E1655" s="78"/>
      <c r="K1655" s="20"/>
    </row>
    <row r="1656" spans="1:11" x14ac:dyDescent="0.2">
      <c r="A1656" s="61"/>
      <c r="E1656" s="78"/>
      <c r="K1656" s="20"/>
    </row>
    <row r="1657" spans="1:11" x14ac:dyDescent="0.2">
      <c r="A1657" s="61"/>
      <c r="E1657" s="78"/>
      <c r="K1657" s="20"/>
    </row>
    <row r="1658" spans="1:11" x14ac:dyDescent="0.2">
      <c r="A1658" s="61"/>
      <c r="E1658" s="78"/>
      <c r="K1658" s="20"/>
    </row>
    <row r="1659" spans="1:11" x14ac:dyDescent="0.2">
      <c r="A1659" s="61"/>
      <c r="E1659" s="78"/>
      <c r="K1659" s="20"/>
    </row>
    <row r="1660" spans="1:11" x14ac:dyDescent="0.2">
      <c r="A1660" s="61"/>
      <c r="E1660" s="78"/>
      <c r="K1660" s="20"/>
    </row>
    <row r="1661" spans="1:11" x14ac:dyDescent="0.2">
      <c r="A1661" s="61"/>
      <c r="E1661" s="78"/>
      <c r="K1661" s="20"/>
    </row>
    <row r="1662" spans="1:11" x14ac:dyDescent="0.2">
      <c r="A1662" s="61"/>
      <c r="E1662" s="78"/>
      <c r="K1662" s="20"/>
    </row>
    <row r="1663" spans="1:11" x14ac:dyDescent="0.2">
      <c r="A1663" s="61"/>
      <c r="E1663" s="78"/>
      <c r="K1663" s="20"/>
    </row>
    <row r="1664" spans="1:11" x14ac:dyDescent="0.2">
      <c r="A1664" s="61"/>
      <c r="E1664" s="78"/>
      <c r="K1664" s="20"/>
    </row>
    <row r="1665" spans="1:11" x14ac:dyDescent="0.2">
      <c r="A1665" s="61"/>
      <c r="E1665" s="78"/>
      <c r="K1665" s="20"/>
    </row>
    <row r="1666" spans="1:11" x14ac:dyDescent="0.2">
      <c r="A1666" s="61"/>
      <c r="E1666" s="78"/>
      <c r="K1666" s="20"/>
    </row>
    <row r="1667" spans="1:11" x14ac:dyDescent="0.2">
      <c r="A1667" s="61"/>
      <c r="E1667" s="78"/>
      <c r="K1667" s="20"/>
    </row>
    <row r="1668" spans="1:11" x14ac:dyDescent="0.2">
      <c r="A1668" s="61"/>
      <c r="E1668" s="78"/>
      <c r="K1668" s="20"/>
    </row>
    <row r="1669" spans="1:11" x14ac:dyDescent="0.2">
      <c r="A1669" s="61"/>
      <c r="E1669" s="78"/>
      <c r="K1669" s="20"/>
    </row>
    <row r="1670" spans="1:11" x14ac:dyDescent="0.2">
      <c r="A1670" s="61"/>
      <c r="E1670" s="78"/>
      <c r="K1670" s="20"/>
    </row>
    <row r="1671" spans="1:11" x14ac:dyDescent="0.2">
      <c r="A1671" s="61"/>
      <c r="E1671" s="78"/>
      <c r="K1671" s="20"/>
    </row>
    <row r="1672" spans="1:11" x14ac:dyDescent="0.2">
      <c r="A1672" s="61"/>
      <c r="E1672" s="78"/>
      <c r="K1672" s="20"/>
    </row>
    <row r="1673" spans="1:11" x14ac:dyDescent="0.2">
      <c r="A1673" s="61"/>
      <c r="E1673" s="78"/>
      <c r="K1673" s="20"/>
    </row>
    <row r="1674" spans="1:11" x14ac:dyDescent="0.2">
      <c r="A1674" s="61"/>
      <c r="E1674" s="78"/>
      <c r="K1674" s="20"/>
    </row>
    <row r="1675" spans="1:11" x14ac:dyDescent="0.2">
      <c r="A1675" s="61"/>
      <c r="E1675" s="78"/>
      <c r="K1675" s="20"/>
    </row>
    <row r="1676" spans="1:11" x14ac:dyDescent="0.2">
      <c r="A1676" s="61"/>
      <c r="E1676" s="78"/>
      <c r="K1676" s="20"/>
    </row>
    <row r="1677" spans="1:11" x14ac:dyDescent="0.2">
      <c r="A1677" s="61"/>
      <c r="E1677" s="78"/>
      <c r="K1677" s="20"/>
    </row>
    <row r="1678" spans="1:11" x14ac:dyDescent="0.2">
      <c r="A1678" s="61"/>
      <c r="E1678" s="78"/>
      <c r="K1678" s="20"/>
    </row>
    <row r="1679" spans="1:11" x14ac:dyDescent="0.2">
      <c r="A1679" s="61"/>
      <c r="E1679" s="78"/>
      <c r="K1679" s="20"/>
    </row>
    <row r="1680" spans="1:11" x14ac:dyDescent="0.2">
      <c r="A1680" s="61"/>
      <c r="E1680" s="78"/>
      <c r="K1680" s="20"/>
    </row>
    <row r="1681" spans="1:11" x14ac:dyDescent="0.2">
      <c r="A1681" s="61"/>
      <c r="E1681" s="78"/>
      <c r="K1681" s="20"/>
    </row>
    <row r="1682" spans="1:11" x14ac:dyDescent="0.2">
      <c r="A1682" s="61"/>
      <c r="E1682" s="78"/>
      <c r="K1682" s="20"/>
    </row>
    <row r="1683" spans="1:11" x14ac:dyDescent="0.2">
      <c r="A1683" s="61"/>
      <c r="E1683" s="78"/>
      <c r="K1683" s="20"/>
    </row>
    <row r="1684" spans="1:11" x14ac:dyDescent="0.2">
      <c r="A1684" s="61"/>
      <c r="E1684" s="78"/>
      <c r="K1684" s="20"/>
    </row>
    <row r="1685" spans="1:11" x14ac:dyDescent="0.2">
      <c r="A1685" s="61"/>
      <c r="E1685" s="78"/>
      <c r="K1685" s="20"/>
    </row>
    <row r="1686" spans="1:11" x14ac:dyDescent="0.2">
      <c r="A1686" s="61"/>
      <c r="E1686" s="78"/>
      <c r="K1686" s="20"/>
    </row>
    <row r="1687" spans="1:11" x14ac:dyDescent="0.2">
      <c r="A1687" s="61"/>
      <c r="E1687" s="78"/>
      <c r="K1687" s="20"/>
    </row>
    <row r="1688" spans="1:11" x14ac:dyDescent="0.2">
      <c r="A1688" s="61"/>
      <c r="E1688" s="78"/>
      <c r="K1688" s="20"/>
    </row>
    <row r="1689" spans="1:11" x14ac:dyDescent="0.2">
      <c r="A1689" s="61"/>
      <c r="E1689" s="78"/>
      <c r="K1689" s="20"/>
    </row>
    <row r="1690" spans="1:11" x14ac:dyDescent="0.2">
      <c r="A1690" s="61"/>
      <c r="E1690" s="78"/>
      <c r="K1690" s="20"/>
    </row>
    <row r="1691" spans="1:11" x14ac:dyDescent="0.2">
      <c r="A1691" s="61"/>
      <c r="E1691" s="78"/>
      <c r="K1691" s="20"/>
    </row>
    <row r="1692" spans="1:11" x14ac:dyDescent="0.2">
      <c r="A1692" s="61"/>
      <c r="E1692" s="78"/>
      <c r="K1692" s="20"/>
    </row>
    <row r="1693" spans="1:11" x14ac:dyDescent="0.2">
      <c r="A1693" s="61"/>
      <c r="E1693" s="78"/>
      <c r="K1693" s="20"/>
    </row>
    <row r="1694" spans="1:11" x14ac:dyDescent="0.2">
      <c r="A1694" s="61"/>
      <c r="E1694" s="78"/>
      <c r="K1694" s="20"/>
    </row>
    <row r="1695" spans="1:11" x14ac:dyDescent="0.2">
      <c r="A1695" s="61"/>
      <c r="E1695" s="78"/>
      <c r="K1695" s="20"/>
    </row>
    <row r="1696" spans="1:11" x14ac:dyDescent="0.2">
      <c r="A1696" s="61"/>
      <c r="E1696" s="78"/>
      <c r="K1696" s="20"/>
    </row>
    <row r="1697" spans="1:11" x14ac:dyDescent="0.2">
      <c r="A1697" s="61"/>
      <c r="E1697" s="78"/>
      <c r="K1697" s="20"/>
    </row>
    <row r="1698" spans="1:11" x14ac:dyDescent="0.2">
      <c r="A1698" s="61"/>
      <c r="E1698" s="78"/>
      <c r="K1698" s="20"/>
    </row>
    <row r="1699" spans="1:11" x14ac:dyDescent="0.2">
      <c r="A1699" s="61"/>
      <c r="E1699" s="78"/>
      <c r="K1699" s="20"/>
    </row>
    <row r="1700" spans="1:11" x14ac:dyDescent="0.2">
      <c r="A1700" s="61"/>
      <c r="E1700" s="78"/>
      <c r="K1700" s="20"/>
    </row>
    <row r="1701" spans="1:11" x14ac:dyDescent="0.2">
      <c r="A1701" s="61"/>
      <c r="E1701" s="78"/>
      <c r="K1701" s="20"/>
    </row>
    <row r="1702" spans="1:11" x14ac:dyDescent="0.2">
      <c r="A1702" s="61"/>
      <c r="E1702" s="78"/>
      <c r="K1702" s="20"/>
    </row>
    <row r="1703" spans="1:11" x14ac:dyDescent="0.2">
      <c r="A1703" s="61"/>
      <c r="E1703" s="78"/>
      <c r="K1703" s="20"/>
    </row>
    <row r="1704" spans="1:11" x14ac:dyDescent="0.2">
      <c r="A1704" s="61"/>
      <c r="E1704" s="78"/>
      <c r="K1704" s="20"/>
    </row>
    <row r="1705" spans="1:11" x14ac:dyDescent="0.2">
      <c r="A1705" s="61"/>
      <c r="E1705" s="78"/>
      <c r="K1705" s="20"/>
    </row>
    <row r="1706" spans="1:11" x14ac:dyDescent="0.2">
      <c r="A1706" s="61"/>
      <c r="E1706" s="78"/>
      <c r="K1706" s="20"/>
    </row>
    <row r="1707" spans="1:11" x14ac:dyDescent="0.2">
      <c r="A1707" s="61"/>
      <c r="E1707" s="78"/>
      <c r="K1707" s="20"/>
    </row>
    <row r="1708" spans="1:11" x14ac:dyDescent="0.2">
      <c r="A1708" s="61"/>
      <c r="E1708" s="78"/>
      <c r="K1708" s="20"/>
    </row>
    <row r="1709" spans="1:11" x14ac:dyDescent="0.2">
      <c r="A1709" s="61"/>
      <c r="E1709" s="78"/>
      <c r="K1709" s="20"/>
    </row>
    <row r="1710" spans="1:11" x14ac:dyDescent="0.2">
      <c r="A1710" s="61"/>
      <c r="E1710" s="78"/>
      <c r="K1710" s="20"/>
    </row>
    <row r="1711" spans="1:11" x14ac:dyDescent="0.2">
      <c r="A1711" s="61"/>
      <c r="E1711" s="78"/>
      <c r="K1711" s="20"/>
    </row>
    <row r="1712" spans="1:11" x14ac:dyDescent="0.2">
      <c r="A1712" s="61"/>
      <c r="E1712" s="78"/>
      <c r="K1712" s="20"/>
    </row>
    <row r="1713" spans="1:11" x14ac:dyDescent="0.2">
      <c r="A1713" s="61"/>
      <c r="E1713" s="78"/>
      <c r="K1713" s="20"/>
    </row>
    <row r="1714" spans="1:11" x14ac:dyDescent="0.2">
      <c r="A1714" s="61"/>
      <c r="E1714" s="78"/>
      <c r="K1714" s="20"/>
    </row>
    <row r="1715" spans="1:11" x14ac:dyDescent="0.2">
      <c r="A1715" s="61"/>
      <c r="E1715" s="78"/>
      <c r="K1715" s="20"/>
    </row>
    <row r="1716" spans="1:11" x14ac:dyDescent="0.2">
      <c r="A1716" s="61"/>
      <c r="E1716" s="78"/>
      <c r="K1716" s="20"/>
    </row>
    <row r="1717" spans="1:11" x14ac:dyDescent="0.2">
      <c r="A1717" s="61"/>
      <c r="E1717" s="78"/>
      <c r="K1717" s="20"/>
    </row>
    <row r="1718" spans="1:11" x14ac:dyDescent="0.2">
      <c r="A1718" s="61"/>
      <c r="E1718" s="78"/>
      <c r="K1718" s="20"/>
    </row>
    <row r="1719" spans="1:11" x14ac:dyDescent="0.2">
      <c r="A1719" s="61"/>
      <c r="E1719" s="78"/>
      <c r="K1719" s="20"/>
    </row>
    <row r="1720" spans="1:11" x14ac:dyDescent="0.2">
      <c r="A1720" s="61"/>
      <c r="E1720" s="78"/>
      <c r="K1720" s="20"/>
    </row>
    <row r="1721" spans="1:11" x14ac:dyDescent="0.2">
      <c r="A1721" s="61"/>
      <c r="E1721" s="78"/>
      <c r="K1721" s="20"/>
    </row>
    <row r="1722" spans="1:11" x14ac:dyDescent="0.2">
      <c r="A1722" s="61"/>
      <c r="E1722" s="78"/>
      <c r="K1722" s="20"/>
    </row>
    <row r="1723" spans="1:11" x14ac:dyDescent="0.2">
      <c r="A1723" s="61"/>
      <c r="E1723" s="78"/>
      <c r="K1723" s="20"/>
    </row>
    <row r="1724" spans="1:11" x14ac:dyDescent="0.2">
      <c r="A1724" s="61"/>
      <c r="E1724" s="78"/>
      <c r="K1724" s="20"/>
    </row>
    <row r="1725" spans="1:11" x14ac:dyDescent="0.2">
      <c r="A1725" s="61"/>
      <c r="E1725" s="78"/>
      <c r="K1725" s="20"/>
    </row>
    <row r="1726" spans="1:11" x14ac:dyDescent="0.2">
      <c r="A1726" s="61"/>
      <c r="E1726" s="78"/>
      <c r="K1726" s="20"/>
    </row>
    <row r="1727" spans="1:11" x14ac:dyDescent="0.2">
      <c r="A1727" s="61"/>
      <c r="E1727" s="78"/>
      <c r="K1727" s="20"/>
    </row>
    <row r="1728" spans="1:11" x14ac:dyDescent="0.2">
      <c r="A1728" s="61"/>
      <c r="E1728" s="78"/>
      <c r="K1728" s="20"/>
    </row>
    <row r="1729" spans="1:11" x14ac:dyDescent="0.2">
      <c r="A1729" s="61"/>
      <c r="E1729" s="78"/>
      <c r="K1729" s="20"/>
    </row>
    <row r="1730" spans="1:11" x14ac:dyDescent="0.2">
      <c r="A1730" s="61"/>
      <c r="E1730" s="78"/>
      <c r="K1730" s="20"/>
    </row>
    <row r="1731" spans="1:11" x14ac:dyDescent="0.2">
      <c r="A1731" s="61"/>
      <c r="E1731" s="78"/>
      <c r="K1731" s="20"/>
    </row>
    <row r="1732" spans="1:11" x14ac:dyDescent="0.2">
      <c r="A1732" s="61"/>
      <c r="E1732" s="78"/>
      <c r="K1732" s="20"/>
    </row>
    <row r="1733" spans="1:11" x14ac:dyDescent="0.2">
      <c r="A1733" s="61"/>
      <c r="E1733" s="78"/>
      <c r="K1733" s="20"/>
    </row>
    <row r="1734" spans="1:11" x14ac:dyDescent="0.2">
      <c r="A1734" s="61"/>
      <c r="E1734" s="78"/>
      <c r="K1734" s="20"/>
    </row>
    <row r="1735" spans="1:11" x14ac:dyDescent="0.2">
      <c r="A1735" s="61"/>
      <c r="E1735" s="78"/>
      <c r="K1735" s="20"/>
    </row>
    <row r="1736" spans="1:11" x14ac:dyDescent="0.2">
      <c r="A1736" s="61"/>
      <c r="E1736" s="78"/>
      <c r="K1736" s="20"/>
    </row>
    <row r="1737" spans="1:11" x14ac:dyDescent="0.2">
      <c r="A1737" s="61"/>
      <c r="E1737" s="78"/>
      <c r="K1737" s="20"/>
    </row>
    <row r="1738" spans="1:11" x14ac:dyDescent="0.2">
      <c r="A1738" s="61"/>
      <c r="E1738" s="78"/>
      <c r="K1738" s="20"/>
    </row>
    <row r="1739" spans="1:11" x14ac:dyDescent="0.2">
      <c r="A1739" s="61"/>
      <c r="E1739" s="78"/>
      <c r="K1739" s="20"/>
    </row>
    <row r="1740" spans="1:11" x14ac:dyDescent="0.2">
      <c r="A1740" s="61"/>
      <c r="E1740" s="78"/>
      <c r="K1740" s="20"/>
    </row>
    <row r="1741" spans="1:11" x14ac:dyDescent="0.2">
      <c r="A1741" s="61"/>
      <c r="E1741" s="78"/>
      <c r="K1741" s="20"/>
    </row>
    <row r="1742" spans="1:11" x14ac:dyDescent="0.2">
      <c r="A1742" s="61"/>
      <c r="E1742" s="78"/>
      <c r="K1742" s="20"/>
    </row>
    <row r="1743" spans="1:11" x14ac:dyDescent="0.2">
      <c r="A1743" s="61"/>
      <c r="E1743" s="78"/>
      <c r="K1743" s="20"/>
    </row>
  </sheetData>
  <dataConsolidate/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1009650</xdr:colOff>
                <xdr:row>1</xdr:row>
                <xdr:rowOff>314325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866775</xdr:colOff>
                <xdr:row>1</xdr:row>
                <xdr:rowOff>295275</xdr:rowOff>
              </from>
              <to>
                <xdr:col>5</xdr:col>
                <xdr:colOff>2352675</xdr:colOff>
                <xdr:row>2</xdr:row>
                <xdr:rowOff>38100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866775</xdr:colOff>
                <xdr:row>1</xdr:row>
                <xdr:rowOff>38100</xdr:rowOff>
              </from>
              <to>
                <xdr:col>5</xdr:col>
                <xdr:colOff>2352675</xdr:colOff>
                <xdr:row>1</xdr:row>
                <xdr:rowOff>238125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600075</xdr:colOff>
                <xdr:row>1</xdr:row>
                <xdr:rowOff>295275</xdr:rowOff>
              </from>
              <to>
                <xdr:col>10</xdr:col>
                <xdr:colOff>1714500</xdr:colOff>
                <xdr:row>2</xdr:row>
                <xdr:rowOff>38100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28575</xdr:rowOff>
              </from>
              <to>
                <xdr:col>12</xdr:col>
                <xdr:colOff>1419225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8" r:id="rId13" name="btnNo">
          <controlPr defaultSize="0" autoLine="0" autoPict="0" r:id="rId14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28575</xdr:colOff>
                <xdr:row>6</xdr:row>
                <xdr:rowOff>28575</xdr:rowOff>
              </to>
            </anchor>
          </controlPr>
        </control>
      </mc:Choice>
      <mc:Fallback>
        <control shapeId="1048" r:id="rId13" name="btnNo"/>
      </mc:Fallback>
    </mc:AlternateContent>
    <mc:AlternateContent xmlns:mc="http://schemas.openxmlformats.org/markup-compatibility/2006">
      <mc:Choice Requires="x14">
        <control shapeId="1049" r:id="rId15" name="btnYesNO">
          <controlPr defaultSize="0" autoLine="0" r:id="rId16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523875</xdr:colOff>
                <xdr:row>6</xdr:row>
                <xdr:rowOff>28575</xdr:rowOff>
              </to>
            </anchor>
          </controlPr>
        </control>
      </mc:Choice>
      <mc:Fallback>
        <control shapeId="1049" r:id="rId15" name="btnYesNO"/>
      </mc:Fallback>
    </mc:AlternateContent>
    <mc:AlternateContent xmlns:mc="http://schemas.openxmlformats.org/markup-compatibility/2006">
      <mc:Choice Requires="x14">
        <control shapeId="1050" r:id="rId17" name="btnYes">
          <controlPr defaultSize="0" autoLine="0" r:id="rId18">
            <anchor moveWithCells="1" sizeWithCells="1">
              <from>
                <xdr:col>0</xdr:col>
                <xdr:colOff>219075</xdr:colOff>
                <xdr:row>5</xdr:row>
                <xdr:rowOff>0</xdr:rowOff>
              </from>
              <to>
                <xdr:col>1</xdr:col>
                <xdr:colOff>219075</xdr:colOff>
                <xdr:row>6</xdr:row>
                <xdr:rowOff>28575</xdr:rowOff>
              </to>
            </anchor>
          </controlPr>
        </control>
      </mc:Choice>
      <mc:Fallback>
        <control shapeId="1050" r:id="rId17" name="btnYes"/>
      </mc:Fallback>
    </mc:AlternateContent>
    <mc:AlternateContent xmlns:mc="http://schemas.openxmlformats.org/markup-compatibility/2006">
      <mc:Choice Requires="x14">
        <control shapeId="1051" r:id="rId19" name="btnTimeSeries">
          <controlPr defaultSize="0" autoLine="0" r:id="rId20">
            <anchor moveWithCells="1" sizeWithCells="1">
              <from>
                <xdr:col>2</xdr:col>
                <xdr:colOff>447675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28575</xdr:rowOff>
              </to>
            </anchor>
          </controlPr>
        </control>
      </mc:Choice>
      <mc:Fallback>
        <control shapeId="1051" r:id="rId19" name="btnTimeSeries"/>
      </mc:Fallback>
    </mc:AlternateContent>
    <mc:AlternateContent xmlns:mc="http://schemas.openxmlformats.org/markup-compatibility/2006">
      <mc:Choice Requires="x14">
        <control shapeId="1052" r:id="rId21" name="btnStatic">
          <controlPr defaultSize="0" autoLine="0" autoPict="0" r:id="rId22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447675</xdr:colOff>
                <xdr:row>6</xdr:row>
                <xdr:rowOff>28575</xdr:rowOff>
              </to>
            </anchor>
          </controlPr>
        </control>
      </mc:Choice>
      <mc:Fallback>
        <control shapeId="1052" r:id="rId21" name="btnStatic"/>
      </mc:Fallback>
    </mc:AlternateContent>
    <mc:AlternateContent xmlns:mc="http://schemas.openxmlformats.org/markup-compatibility/2006">
      <mc:Choice Requires="x14">
        <control shapeId="1053" r:id="rId23" name="btnList">
          <controlPr autoLine="0" r:id="rId24">
            <anchor moveWithCells="1" sizeWithCells="1">
              <from>
                <xdr:col>2</xdr:col>
                <xdr:colOff>1323975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1053" r:id="rId23" name="btnList"/>
      </mc:Fallback>
    </mc:AlternateContent>
    <mc:AlternateContent xmlns:mc="http://schemas.openxmlformats.org/markup-compatibility/2006">
      <mc:Choice Requires="x14">
        <control shapeId="1054" r:id="rId25" name="btnFormatOptions">
          <controlPr defaultSize="0" autoLine="0" r:id="rId26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28575</xdr:rowOff>
              </to>
            </anchor>
          </controlPr>
        </control>
      </mc:Choice>
      <mc:Fallback>
        <control shapeId="1054" r:id="rId25" name="btnFormatOptions"/>
      </mc:Fallback>
    </mc:AlternateContent>
    <mc:AlternateContent xmlns:mc="http://schemas.openxmlformats.org/markup-compatibility/2006">
      <mc:Choice Requires="x14">
        <control shapeId="1055" r:id="rId27" name="btnListPicker">
          <controlPr defaultSize="0" autoFill="0" autoLine="0" autoPict="0" r:id="rId28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1971675</xdr:colOff>
                <xdr:row>6</xdr:row>
                <xdr:rowOff>28575</xdr:rowOff>
              </to>
            </anchor>
          </controlPr>
        </control>
      </mc:Choice>
      <mc:Fallback>
        <control shapeId="1055" r:id="rId27" name="btnListPicker"/>
      </mc:Fallback>
    </mc:AlternateContent>
    <mc:AlternateContent xmlns:mc="http://schemas.openxmlformats.org/markup-compatibility/2006">
      <mc:Choice Requires="x14">
        <control shapeId="1056" r:id="rId29" name="btnSeries">
          <controlPr defaultSize="0" autoLine="0" autoPict="0" r:id="rId30">
            <anchor moveWithCells="1" sizeWithCells="1">
              <from>
                <xdr:col>4</xdr:col>
                <xdr:colOff>28575</xdr:colOff>
                <xdr:row>5</xdr:row>
                <xdr:rowOff>0</xdr:rowOff>
              </from>
              <to>
                <xdr:col>4</xdr:col>
                <xdr:colOff>1133475</xdr:colOff>
                <xdr:row>6</xdr:row>
                <xdr:rowOff>28575</xdr:rowOff>
              </to>
            </anchor>
          </controlPr>
        </control>
      </mc:Choice>
      <mc:Fallback>
        <control shapeId="1056" r:id="rId29" name="btnSeries"/>
      </mc:Fallback>
    </mc:AlternateContent>
    <mc:AlternateContent xmlns:mc="http://schemas.openxmlformats.org/markup-compatibility/2006">
      <mc:Choice Requires="x14">
        <control shapeId="1057" r:id="rId31" name="btnListCreate">
          <controlPr autoLine="0" autoPict="0" r:id="rId32">
            <anchor moveWithCells="1" sizeWithCells="1">
              <from>
                <xdr:col>4</xdr:col>
                <xdr:colOff>1971675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1057" r:id="rId31" name="btnListCreate"/>
      </mc:Fallback>
    </mc:AlternateContent>
    <mc:AlternateContent xmlns:mc="http://schemas.openxmlformats.org/markup-compatibility/2006">
      <mc:Choice Requires="x14">
        <control shapeId="1058" r:id="rId33" name="btnExpressionPicker">
          <controlPr defaultSize="0" autoLine="0" r:id="rId34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1781175</xdr:colOff>
                <xdr:row>6</xdr:row>
                <xdr:rowOff>28575</xdr:rowOff>
              </to>
            </anchor>
          </controlPr>
        </control>
      </mc:Choice>
      <mc:Fallback>
        <control shapeId="1058" r:id="rId33" name="btnExpressionPicker"/>
      </mc:Fallback>
    </mc:AlternateContent>
    <mc:AlternateContent xmlns:mc="http://schemas.openxmlformats.org/markup-compatibility/2006">
      <mc:Choice Requires="x14">
        <control shapeId="1059" r:id="rId35" name="btnFunctions">
          <controlPr defaultSize="0" autoLine="0" r:id="rId36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1059" r:id="rId35" name="btnFunctions"/>
      </mc:Fallback>
    </mc:AlternateContent>
    <mc:AlternateContent xmlns:mc="http://schemas.openxmlformats.org/markup-compatibility/2006">
      <mc:Choice Requires="x14">
        <control shapeId="1060" r:id="rId37" name="btnDatatypes">
          <controlPr defaultSize="0" autoLine="0" r:id="rId38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28575</xdr:rowOff>
              </to>
            </anchor>
          </controlPr>
        </control>
      </mc:Choice>
      <mc:Fallback>
        <control shapeId="1060" r:id="rId37" name="btnDatatypes"/>
      </mc:Fallback>
    </mc:AlternateContent>
    <mc:AlternateContent xmlns:mc="http://schemas.openxmlformats.org/markup-compatibility/2006">
      <mc:Choice Requires="x14">
        <control shapeId="1061" r:id="rId39" name="btnSeriesEditor">
          <controlPr defaultSize="0" autoLine="0" r:id="rId40">
            <anchor moveWithCells="1" sizeWithCells="1">
              <from>
                <xdr:col>4</xdr:col>
                <xdr:colOff>28575</xdr:colOff>
                <xdr:row>3</xdr:row>
                <xdr:rowOff>371475</xdr:rowOff>
              </from>
              <to>
                <xdr:col>4</xdr:col>
                <xdr:colOff>371475</xdr:colOff>
                <xdr:row>5</xdr:row>
                <xdr:rowOff>0</xdr:rowOff>
              </to>
            </anchor>
          </controlPr>
        </control>
      </mc:Choice>
      <mc:Fallback>
        <control shapeId="1061" r:id="rId39" name="btnSeriesEditor"/>
      </mc:Fallback>
    </mc:AlternateContent>
    <mc:AlternateContent xmlns:mc="http://schemas.openxmlformats.org/markup-compatibility/2006">
      <mc:Choice Requires="x14">
        <control shapeId="1062" r:id="rId41" name="btnDatatypeEditor">
          <controlPr defaultSize="0" autoLine="0" r:id="rId42">
            <anchor moveWithCells="1" sizeWithCells="1">
              <from>
                <xdr:col>5</xdr:col>
                <xdr:colOff>28575</xdr:colOff>
                <xdr:row>3</xdr:row>
                <xdr:rowOff>371475</xdr:rowOff>
              </from>
              <to>
                <xdr:col>5</xdr:col>
                <xdr:colOff>371475</xdr:colOff>
                <xdr:row>5</xdr:row>
                <xdr:rowOff>0</xdr:rowOff>
              </to>
            </anchor>
          </controlPr>
        </control>
      </mc:Choice>
      <mc:Fallback>
        <control shapeId="1062" r:id="rId41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28575</xdr:colOff>
                <xdr:row>6</xdr:row>
                <xdr:rowOff>28575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28575</xdr:rowOff>
              </from>
              <to>
                <xdr:col>10</xdr:col>
                <xdr:colOff>28575</xdr:colOff>
                <xdr:row>6</xdr:row>
                <xdr:rowOff>28575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1323975</xdr:colOff>
                <xdr:row>6</xdr:row>
                <xdr:rowOff>28575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28575</xdr:colOff>
                <xdr:row>2</xdr:row>
                <xdr:rowOff>28575</xdr:rowOff>
              </from>
              <to>
                <xdr:col>12</xdr:col>
                <xdr:colOff>1447800</xdr:colOff>
                <xdr:row>2</xdr:row>
                <xdr:rowOff>200025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752475</xdr:colOff>
                <xdr:row>1</xdr:row>
                <xdr:rowOff>419100</xdr:rowOff>
              </from>
              <to>
                <xdr:col>4</xdr:col>
                <xdr:colOff>476250</xdr:colOff>
                <xdr:row>2</xdr:row>
                <xdr:rowOff>200025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409575</xdr:colOff>
                <xdr:row>5</xdr:row>
                <xdr:rowOff>28575</xdr:rowOff>
              </from>
              <to>
                <xdr:col>20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28575</xdr:colOff>
                <xdr:row>5</xdr:row>
                <xdr:rowOff>28575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1057275</xdr:colOff>
                <xdr:row>6</xdr:row>
                <xdr:rowOff>28575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1057275</xdr:colOff>
                <xdr:row>5</xdr:row>
                <xdr:rowOff>0</xdr:rowOff>
              </from>
              <to>
                <xdr:col>8</xdr:col>
                <xdr:colOff>28575</xdr:colOff>
                <xdr:row>6</xdr:row>
                <xdr:rowOff>28575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027" r:id="rId61" name="btnProcessTable">
          <controlPr defaultSize="0" autoFill="0" autoLine="0" autoPict="0" macro="[0]!btnProcessTable_Click">
            <anchor>
              <from>
                <xdr:col>1</xdr:col>
                <xdr:colOff>66675</xdr:colOff>
                <xdr:row>1</xdr:row>
                <xdr:rowOff>447675</xdr:rowOff>
              </from>
              <to>
                <xdr:col>2</xdr:col>
                <xdr:colOff>180975</xdr:colOff>
                <xdr:row>2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2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28575</xdr:rowOff>
              </from>
              <to>
                <xdr:col>7</xdr:col>
                <xdr:colOff>523875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3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4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180975</xdr:rowOff>
              </from>
              <to>
                <xdr:col>10</xdr:col>
                <xdr:colOff>1362075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5" name="chkR1C1Ref">
          <controlPr defaultSize="0" autoFill="0" autoLine="0" autoPict="0" macro="[0]!chkR1C1Ref_click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1323975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104775</xdr:rowOff>
              </from>
              <to>
                <xdr:col>10</xdr:col>
                <xdr:colOff>333375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7" name="chkProcessTbl">
          <controlPr defaultSize="0" autoFill="0" autoLine="0" autoPict="0" altText="Process Table">
            <anchor>
              <from>
                <xdr:col>5</xdr:col>
                <xdr:colOff>828675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68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295275</xdr:rowOff>
              </from>
              <to>
                <xdr:col>8</xdr:col>
                <xdr:colOff>295275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0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28575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104775</xdr:rowOff>
              </from>
              <to>
                <xdr:col>5</xdr:col>
                <xdr:colOff>790575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2" name="Label 67">
          <controlPr defaultSize="0" autoFill="0" autoLine="0" autoPict="0" altText="">
            <anchor>
              <from>
                <xdr:col>4</xdr:col>
                <xdr:colOff>2390775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3" name="Label 69">
          <controlPr defaultSize="0" autoFill="0" autoLine="0" autoPict="0" altText="">
            <anchor>
              <from>
                <xdr:col>4</xdr:col>
                <xdr:colOff>2390775</xdr:colOff>
                <xdr:row>1</xdr:row>
                <xdr:rowOff>333375</xdr:rowOff>
              </from>
              <to>
                <xdr:col>5</xdr:col>
                <xdr:colOff>790575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4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2124075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5" name="Label 73">
          <controlPr defaultSize="0" autoFill="0" autoLine="0" autoPict="0" altText="">
            <anchor>
              <from>
                <xdr:col>8</xdr:col>
                <xdr:colOff>142875</xdr:colOff>
                <xdr:row>1</xdr:row>
                <xdr:rowOff>333375</xdr:rowOff>
              </from>
              <to>
                <xdr:col>10</xdr:col>
                <xdr:colOff>676275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6" name="btnAddToIndex">
          <controlPr defaultSize="0" print="0" autoFill="0" autoLine="0" autoPict="0" macro="[0]!btnAddToIndex_Click">
            <anchor>
              <from>
                <xdr:col>2</xdr:col>
                <xdr:colOff>371475</xdr:colOff>
                <xdr:row>1</xdr:row>
                <xdr:rowOff>447675</xdr:rowOff>
              </from>
              <to>
                <xdr:col>2</xdr:col>
                <xdr:colOff>1295400</xdr:colOff>
                <xdr:row>2</xdr:row>
                <xdr:rowOff>219075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WELCOME</vt:lpstr>
      <vt:lpstr>Data</vt:lpstr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SowjanyaRao Yadavalli</dc:creator>
  <cp:lastModifiedBy>LEMOINE Damien</cp:lastModifiedBy>
  <dcterms:created xsi:type="dcterms:W3CDTF">2011-08-01T12:44:02Z</dcterms:created>
  <dcterms:modified xsi:type="dcterms:W3CDTF">2024-06-22T09:40:44Z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