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5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6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3.xml" ContentType="application/vnd.openxmlformats-officedocument.spreadsheetml.comments+xml"/>
  <Override PartName="/xl/customProperty4.bin" ContentType="application/vnd.openxmlformats-officedocument.spreadsheetml.customProperty"/>
  <Override PartName="/xl/comments4.xml" ContentType="application/vnd.openxmlformats-officedocument.spreadsheetml.comments+xml"/>
  <Override PartName="/xl/customProperty5.bin" ContentType="application/vnd.openxmlformats-officedocument.spreadsheetml.customProperty"/>
  <Override PartName="/xl/comments5.xml" ContentType="application/vnd.openxmlformats-officedocument.spreadsheetml.comments+xml"/>
  <Override PartName="/xl/customProperty6.bin" ContentType="application/vnd.openxmlformats-officedocument.spreadsheetml.customProperty"/>
  <Override PartName="/xl/comments6.xml" ContentType="application/vnd.openxmlformats-officedocument.spreadsheetml.comments+xml"/>
  <Override PartName="/xl/customProperty7.bin" ContentType="application/vnd.openxmlformats-officedocument.spreadsheetml.customProperty"/>
  <Override PartName="/xl/comments7.xml" ContentType="application/vnd.openxmlformats-officedocument.spreadsheetml.comments+xml"/>
  <Override PartName="/xl/customProperty8.bin" ContentType="application/vnd.openxmlformats-officedocument.spreadsheetml.customProperty"/>
  <Override PartName="/xl/comments8.xml" ContentType="application/vnd.openxmlformats-officedocument.spreadsheetml.comments+xml"/>
  <Override PartName="/xl/customProperty9.bin" ContentType="application/vnd.openxmlformats-officedocument.spreadsheetml.customProperty"/>
  <Override PartName="/xl/comments9.xml" ContentType="application/vnd.openxmlformats-officedocument.spreadsheetml.comments+xml"/>
  <Override PartName="/xl/customProperty10.bin" ContentType="application/vnd.openxmlformats-officedocument.spreadsheetml.customProperty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mien\FILES\PRO\TRADING\2024\STATION\"/>
    </mc:Choice>
  </mc:AlternateContent>
  <xr:revisionPtr revIDLastSave="0" documentId="13_ncr:1_{795D3ACF-012C-4DE3-A620-620434AD5E62}" xr6:coauthVersionLast="47" xr6:coauthVersionMax="47" xr10:uidLastSave="{00000000-0000-0000-0000-000000000000}"/>
  <bookViews>
    <workbookView xWindow="-120" yWindow="-120" windowWidth="29040" windowHeight="15720" firstSheet="1" activeTab="1" xr2:uid="{39868789-928F-40EB-9A2B-3C1D940FCE49}"/>
  </bookViews>
  <sheets>
    <sheet name="GLOBAL" sheetId="3" r:id="rId1"/>
    <sheet name="Spread" sheetId="11" r:id="rId2"/>
    <sheet name="VS" sheetId="10" r:id="rId3"/>
    <sheet name="USD" sheetId="2" r:id="rId4"/>
    <sheet name="EUR" sheetId="1" r:id="rId5"/>
    <sheet name="JPY" sheetId="4" r:id="rId6"/>
    <sheet name="GBP" sheetId="5" r:id="rId7"/>
    <sheet name="CAD" sheetId="6" r:id="rId8"/>
    <sheet name="AUD" sheetId="7" r:id="rId9"/>
    <sheet name="NZD" sheetId="8" r:id="rId10"/>
    <sheet name="CHF" sheetId="9" r:id="rId11"/>
  </sheets>
  <definedNames>
    <definedName name="_xlnm._FilterDatabase" localSheetId="0" hidden="1">GLOBAL!$AC$3:$AJ$3</definedName>
    <definedName name="_xlnm._FilterDatabase" localSheetId="1" hidden="1">Spread!$C$21:$C$29</definedName>
    <definedName name="_xlchart.v2.0" hidden="1">(GLOBAL!$D$6,GLOBAL!$G$6,GLOBAL!$J$6,GLOBAL!$M$6,GLOBAL!$P$6,GLOBAL!$S$6,GLOBAL!$V$6,GLOBAL!$Y$6)</definedName>
    <definedName name="_xlchart.v2.1" hidden="1">(GLOBAL!$E$6,GLOBAL!$H$6,GLOBAL!$K$6,GLOBAL!$N$6,GLOBAL!$Q$6,GLOBAL!$T$6,GLOBAL!$W$6,GLOBAL!$Z$6)</definedName>
    <definedName name="_xlchart.v2.10" hidden="1">(GLOBAL!$D$8,GLOBAL!$G$8,GLOBAL!$J$8,GLOBAL!$M$8,GLOBAL!$P$8,GLOBAL!$S$8,GLOBAL!$V$8,GLOBAL!$Y$8)</definedName>
    <definedName name="_xlchart.v2.11" hidden="1">(GLOBAL!$E$8,GLOBAL!$H$8,GLOBAL!$K$8,GLOBAL!$N$8,GLOBAL!$Q$8,GLOBAL!$T$8,GLOBAL!$W$8,GLOBAL!$Z$8)</definedName>
    <definedName name="_xlchart.v2.2" hidden="1">(GLOBAL!$D$7,GLOBAL!$G$7,GLOBAL!$J$7,GLOBAL!$M$7,GLOBAL!$P$7,GLOBAL!$S$7,GLOBAL!$V$7,GLOBAL!$Y$7)</definedName>
    <definedName name="_xlchart.v2.3" hidden="1">(GLOBAL!$E$7,GLOBAL!$H$7,GLOBAL!$K$7,GLOBAL!$N$7,GLOBAL!$Q$7,GLOBAL!$T$7,GLOBAL!$W$7,GLOBAL!$Z$7)</definedName>
    <definedName name="_xlchart.v2.4" hidden="1">(GLOBAL!$D$3,GLOBAL!$G$3,GLOBAL!$J$3,GLOBAL!$M$3,GLOBAL!$P$3,GLOBAL!$S$3,GLOBAL!$V$3,GLOBAL!$Y$3)</definedName>
    <definedName name="_xlchart.v2.5" hidden="1">GLOBAL!$E$3,GLOBAL!$H$3,GLOBAL!$K$3,GLOBAL!$N$3,GLOBAL!$Q$3,GLOBAL!$T$3,GLOBAL!$W$3,GLOBAL!$Z$3</definedName>
    <definedName name="_xlchart.v2.6" hidden="1">(GLOBAL!$D$4,GLOBAL!$G$4,GLOBAL!$J$4,GLOBAL!$M$4,GLOBAL!$P$4,GLOBAL!$S$4,GLOBAL!$V$4,GLOBAL!$Y$4)</definedName>
    <definedName name="_xlchart.v2.7" hidden="1">(GLOBAL!$E$4,GLOBAL!$H$4,GLOBAL!$K$4,GLOBAL!$N$4,GLOBAL!$Q$4,GLOBAL!$T$4,GLOBAL!$W$4,GLOBAL!$Z$4)</definedName>
    <definedName name="_xlchart.v2.8" hidden="1">(GLOBAL!$D$5,GLOBAL!$G$5,GLOBAL!$J$5,GLOBAL!$M$5,GLOBAL!$P$5,GLOBAL!$S$5,GLOBAL!$V$5,GLOBAL!$Y$5)</definedName>
    <definedName name="_xlchart.v2.9" hidden="1">(GLOBAL!$E$5,GLOBAL!$H$5,GLOBAL!$K$5,GLOBAL!$N$5,GLOBAL!$Q$5,GLOBAL!$T$5,GLOBAL!$W$5,GLOBAL!$Z$5)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11" l="1"/>
  <c r="E25" i="11"/>
  <c r="BM28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AA21" i="11"/>
  <c r="AB21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X21" i="11"/>
  <c r="AY21" i="11"/>
  <c r="AZ21" i="11"/>
  <c r="BA21" i="11"/>
  <c r="BB21" i="11"/>
  <c r="BC21" i="11"/>
  <c r="BD21" i="11"/>
  <c r="BE21" i="11"/>
  <c r="BF21" i="11"/>
  <c r="BG21" i="11"/>
  <c r="BH21" i="11"/>
  <c r="BI21" i="11"/>
  <c r="BJ21" i="11"/>
  <c r="BK21" i="11"/>
  <c r="BL21" i="11"/>
  <c r="BM21" i="11"/>
  <c r="F23" i="11"/>
  <c r="G23" i="11"/>
  <c r="E24" i="11"/>
  <c r="F24" i="11"/>
  <c r="G24" i="11"/>
  <c r="F25" i="11"/>
  <c r="G25" i="11"/>
  <c r="E26" i="11"/>
  <c r="F26" i="11"/>
  <c r="G26" i="11"/>
  <c r="E27" i="11"/>
  <c r="F27" i="11"/>
  <c r="G27" i="11"/>
  <c r="E28" i="11"/>
  <c r="F28" i="11"/>
  <c r="G28" i="11"/>
  <c r="E29" i="11"/>
  <c r="F29" i="11"/>
  <c r="G29" i="11"/>
  <c r="E22" i="11"/>
  <c r="F22" i="11"/>
  <c r="G22" i="11"/>
  <c r="H22" i="11"/>
  <c r="E21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AA23" i="11"/>
  <c r="AB23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X23" i="11"/>
  <c r="AY23" i="11"/>
  <c r="AZ23" i="11"/>
  <c r="BA23" i="11"/>
  <c r="BB23" i="11"/>
  <c r="BC23" i="11"/>
  <c r="BD23" i="11"/>
  <c r="BE23" i="11"/>
  <c r="BF23" i="11"/>
  <c r="BG23" i="11"/>
  <c r="BH23" i="11"/>
  <c r="BI23" i="11"/>
  <c r="BJ23" i="11"/>
  <c r="BK23" i="11"/>
  <c r="BL23" i="11"/>
  <c r="BM23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Z24" i="11"/>
  <c r="AA24" i="11"/>
  <c r="AB24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W24" i="11"/>
  <c r="AX24" i="11"/>
  <c r="AY24" i="11"/>
  <c r="AZ24" i="11"/>
  <c r="BA24" i="11"/>
  <c r="BB24" i="11"/>
  <c r="BC24" i="11"/>
  <c r="BD24" i="11"/>
  <c r="BE24" i="11"/>
  <c r="BF24" i="11"/>
  <c r="BG24" i="11"/>
  <c r="BH24" i="11"/>
  <c r="BI24" i="11"/>
  <c r="BJ24" i="11"/>
  <c r="BK24" i="11"/>
  <c r="BL24" i="11"/>
  <c r="BM24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X25" i="11"/>
  <c r="AY25" i="11"/>
  <c r="AZ25" i="11"/>
  <c r="BA25" i="11"/>
  <c r="BB25" i="11"/>
  <c r="BC25" i="11"/>
  <c r="BD25" i="11"/>
  <c r="BE25" i="11"/>
  <c r="BF25" i="11"/>
  <c r="BG25" i="11"/>
  <c r="BH25" i="11"/>
  <c r="BI25" i="11"/>
  <c r="BJ25" i="11"/>
  <c r="BK25" i="11"/>
  <c r="BL25" i="11"/>
  <c r="BM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X26" i="11"/>
  <c r="AY26" i="11"/>
  <c r="AZ26" i="11"/>
  <c r="BA26" i="11"/>
  <c r="BB26" i="11"/>
  <c r="BC26" i="11"/>
  <c r="BD26" i="11"/>
  <c r="BE26" i="11"/>
  <c r="BF26" i="11"/>
  <c r="BG26" i="11"/>
  <c r="BH26" i="11"/>
  <c r="BI26" i="11"/>
  <c r="BJ26" i="11"/>
  <c r="BK26" i="11"/>
  <c r="BL26" i="11"/>
  <c r="BM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X27" i="11"/>
  <c r="AY27" i="11"/>
  <c r="AZ27" i="11"/>
  <c r="BA27" i="11"/>
  <c r="BB27" i="11"/>
  <c r="BC27" i="11"/>
  <c r="BD27" i="11"/>
  <c r="BE27" i="11"/>
  <c r="BF27" i="11"/>
  <c r="BG27" i="11"/>
  <c r="BH27" i="11"/>
  <c r="BI27" i="11"/>
  <c r="BJ27" i="11"/>
  <c r="BK27" i="11"/>
  <c r="BL27" i="11"/>
  <c r="BM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X28" i="11"/>
  <c r="AY28" i="11"/>
  <c r="AZ28" i="11"/>
  <c r="BA28" i="11"/>
  <c r="BB28" i="11"/>
  <c r="BC28" i="11"/>
  <c r="BD28" i="11"/>
  <c r="BE28" i="11"/>
  <c r="BF28" i="11"/>
  <c r="BG28" i="11"/>
  <c r="BH28" i="11"/>
  <c r="BI28" i="11"/>
  <c r="BJ28" i="11"/>
  <c r="BK28" i="11"/>
  <c r="BL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W29" i="11"/>
  <c r="AX29" i="11"/>
  <c r="AY29" i="11"/>
  <c r="AZ29" i="11"/>
  <c r="BA29" i="11"/>
  <c r="BB29" i="11"/>
  <c r="BC29" i="11"/>
  <c r="BD29" i="11"/>
  <c r="BE29" i="11"/>
  <c r="BF29" i="11"/>
  <c r="BG29" i="11"/>
  <c r="BH29" i="11"/>
  <c r="BI29" i="11"/>
  <c r="BJ29" i="11"/>
  <c r="BK29" i="11"/>
  <c r="BL29" i="11"/>
  <c r="BM29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AA22" i="11"/>
  <c r="AB22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X22" i="11"/>
  <c r="AY22" i="11"/>
  <c r="AZ22" i="11"/>
  <c r="BA22" i="11"/>
  <c r="BB22" i="11"/>
  <c r="BC22" i="11"/>
  <c r="BD22" i="11"/>
  <c r="BE22" i="11"/>
  <c r="BF22" i="11"/>
  <c r="BG22" i="11"/>
  <c r="BH22" i="11"/>
  <c r="BI22" i="11"/>
  <c r="BJ22" i="11"/>
  <c r="BK22" i="11"/>
  <c r="BL22" i="11"/>
  <c r="BM22" i="11"/>
  <c r="X9" i="9"/>
  <c r="W9" i="9"/>
  <c r="V9" i="9"/>
  <c r="X8" i="9"/>
  <c r="W8" i="9"/>
  <c r="V8" i="9"/>
  <c r="X7" i="9"/>
  <c r="W7" i="9"/>
  <c r="V7" i="9"/>
  <c r="X6" i="9"/>
  <c r="W6" i="9"/>
  <c r="V6" i="9"/>
  <c r="X5" i="9"/>
  <c r="W5" i="9"/>
  <c r="V5" i="9"/>
  <c r="X4" i="9"/>
  <c r="W4" i="9"/>
  <c r="V4" i="9"/>
  <c r="X3" i="9"/>
  <c r="W3" i="9"/>
  <c r="V3" i="9"/>
  <c r="X12" i="8"/>
  <c r="W12" i="8"/>
  <c r="V12" i="8"/>
  <c r="X11" i="8"/>
  <c r="W11" i="8"/>
  <c r="V11" i="8"/>
  <c r="X10" i="8"/>
  <c r="W10" i="8"/>
  <c r="V10" i="8"/>
  <c r="X9" i="8"/>
  <c r="W9" i="8"/>
  <c r="V9" i="8"/>
  <c r="X8" i="8"/>
  <c r="W8" i="8"/>
  <c r="V8" i="8"/>
  <c r="X7" i="8"/>
  <c r="W7" i="8"/>
  <c r="V7" i="8"/>
  <c r="X6" i="8"/>
  <c r="W6" i="8"/>
  <c r="V6" i="8"/>
  <c r="X5" i="8"/>
  <c r="W5" i="8"/>
  <c r="V5" i="8"/>
  <c r="X4" i="8"/>
  <c r="W4" i="8"/>
  <c r="V4" i="8"/>
  <c r="X3" i="8"/>
  <c r="W3" i="8"/>
  <c r="V3" i="8"/>
  <c r="X12" i="7"/>
  <c r="W12" i="7"/>
  <c r="V12" i="7"/>
  <c r="X11" i="7"/>
  <c r="W11" i="7"/>
  <c r="V11" i="7"/>
  <c r="X10" i="7"/>
  <c r="W10" i="7"/>
  <c r="V10" i="7"/>
  <c r="X9" i="7"/>
  <c r="W9" i="7"/>
  <c r="V9" i="7"/>
  <c r="X8" i="7"/>
  <c r="W8" i="7"/>
  <c r="V8" i="7"/>
  <c r="X7" i="7"/>
  <c r="W7" i="7"/>
  <c r="V7" i="7"/>
  <c r="X6" i="7"/>
  <c r="W6" i="7"/>
  <c r="V6" i="7"/>
  <c r="X5" i="7"/>
  <c r="W5" i="7"/>
  <c r="V5" i="7"/>
  <c r="X4" i="7"/>
  <c r="W4" i="7"/>
  <c r="V4" i="7"/>
  <c r="X3" i="7"/>
  <c r="W3" i="7"/>
  <c r="V3" i="7"/>
  <c r="X12" i="6"/>
  <c r="W12" i="6"/>
  <c r="V12" i="6"/>
  <c r="X11" i="6"/>
  <c r="W11" i="6"/>
  <c r="V11" i="6"/>
  <c r="X10" i="6"/>
  <c r="W10" i="6"/>
  <c r="V10" i="6"/>
  <c r="X9" i="6"/>
  <c r="W9" i="6"/>
  <c r="V9" i="6"/>
  <c r="X8" i="6"/>
  <c r="W8" i="6"/>
  <c r="V8" i="6"/>
  <c r="X7" i="6"/>
  <c r="W7" i="6"/>
  <c r="V7" i="6"/>
  <c r="X6" i="6"/>
  <c r="W6" i="6"/>
  <c r="V6" i="6"/>
  <c r="X5" i="6"/>
  <c r="W5" i="6"/>
  <c r="V5" i="6"/>
  <c r="X4" i="6"/>
  <c r="W4" i="6"/>
  <c r="V4" i="6"/>
  <c r="X3" i="6"/>
  <c r="W3" i="6"/>
  <c r="V3" i="6"/>
  <c r="X12" i="5"/>
  <c r="W12" i="5"/>
  <c r="V12" i="5"/>
  <c r="X11" i="5"/>
  <c r="W11" i="5"/>
  <c r="V11" i="5"/>
  <c r="X10" i="5"/>
  <c r="W10" i="5"/>
  <c r="V10" i="5"/>
  <c r="X9" i="5"/>
  <c r="W9" i="5"/>
  <c r="V9" i="5"/>
  <c r="X8" i="5"/>
  <c r="W8" i="5"/>
  <c r="V8" i="5"/>
  <c r="X7" i="5"/>
  <c r="W7" i="5"/>
  <c r="V7" i="5"/>
  <c r="X6" i="5"/>
  <c r="W6" i="5"/>
  <c r="V6" i="5"/>
  <c r="X5" i="5"/>
  <c r="W5" i="5"/>
  <c r="V5" i="5"/>
  <c r="X4" i="5"/>
  <c r="W4" i="5"/>
  <c r="V4" i="5"/>
  <c r="X3" i="5"/>
  <c r="W3" i="5"/>
  <c r="V3" i="5"/>
  <c r="X12" i="4"/>
  <c r="W12" i="4"/>
  <c r="V12" i="4"/>
  <c r="X11" i="4"/>
  <c r="W11" i="4"/>
  <c r="V11" i="4"/>
  <c r="X10" i="4"/>
  <c r="W10" i="4"/>
  <c r="V10" i="4"/>
  <c r="X9" i="4"/>
  <c r="W9" i="4"/>
  <c r="V9" i="4"/>
  <c r="X8" i="4"/>
  <c r="W8" i="4"/>
  <c r="V8" i="4"/>
  <c r="X7" i="4"/>
  <c r="W7" i="4"/>
  <c r="V7" i="4"/>
  <c r="X6" i="4"/>
  <c r="W6" i="4"/>
  <c r="V6" i="4"/>
  <c r="X5" i="4"/>
  <c r="W5" i="4"/>
  <c r="V5" i="4"/>
  <c r="X4" i="4"/>
  <c r="W4" i="4"/>
  <c r="V4" i="4"/>
  <c r="X3" i="4"/>
  <c r="W3" i="4"/>
  <c r="V3" i="4"/>
  <c r="X12" i="1"/>
  <c r="W12" i="1"/>
  <c r="V12" i="1"/>
  <c r="X11" i="1"/>
  <c r="W11" i="1"/>
  <c r="V11" i="1"/>
  <c r="X10" i="1"/>
  <c r="W10" i="1"/>
  <c r="V10" i="1"/>
  <c r="X9" i="1"/>
  <c r="W9" i="1"/>
  <c r="V9" i="1"/>
  <c r="X8" i="1"/>
  <c r="W8" i="1"/>
  <c r="V8" i="1"/>
  <c r="X7" i="1"/>
  <c r="W7" i="1"/>
  <c r="V7" i="1"/>
  <c r="X6" i="1"/>
  <c r="W6" i="1"/>
  <c r="V6" i="1"/>
  <c r="X5" i="1"/>
  <c r="W5" i="1"/>
  <c r="V5" i="1"/>
  <c r="X4" i="1"/>
  <c r="W4" i="1"/>
  <c r="V4" i="1"/>
  <c r="X3" i="1"/>
  <c r="W3" i="1"/>
  <c r="V3" i="1"/>
  <c r="Y12" i="2"/>
  <c r="X12" i="2"/>
  <c r="W12" i="2"/>
  <c r="Y11" i="2"/>
  <c r="X11" i="2"/>
  <c r="W11" i="2"/>
  <c r="Y10" i="2"/>
  <c r="X10" i="2"/>
  <c r="W10" i="2"/>
  <c r="Y9" i="2"/>
  <c r="X9" i="2"/>
  <c r="W9" i="2"/>
  <c r="Y8" i="2"/>
  <c r="X8" i="2"/>
  <c r="W8" i="2"/>
  <c r="Y7" i="2"/>
  <c r="X7" i="2"/>
  <c r="W7" i="2"/>
  <c r="Y6" i="2"/>
  <c r="X6" i="2"/>
  <c r="W6" i="2"/>
  <c r="Y5" i="2"/>
  <c r="X5" i="2"/>
  <c r="W5" i="2"/>
  <c r="Y4" i="2"/>
  <c r="X4" i="2"/>
  <c r="W4" i="2"/>
  <c r="Y3" i="2"/>
  <c r="X3" i="2"/>
  <c r="W3" i="2"/>
  <c r="M2" i="3"/>
  <c r="J2" i="3"/>
  <c r="P2" i="3"/>
  <c r="D13" i="2"/>
  <c r="D13" i="4"/>
  <c r="C2" i="2"/>
  <c r="G2" i="3"/>
  <c r="C2" i="4"/>
  <c r="C2" i="9"/>
  <c r="D2" i="3"/>
  <c r="D13" i="5"/>
  <c r="D13" i="8"/>
  <c r="C2" i="8"/>
  <c r="C2" i="7"/>
  <c r="B1" i="11"/>
  <c r="D13" i="7"/>
  <c r="V2" i="3"/>
  <c r="C2" i="5"/>
  <c r="S2" i="3"/>
  <c r="D10" i="9"/>
  <c r="C2" i="1"/>
  <c r="Y2" i="3"/>
  <c r="B10" i="11"/>
  <c r="D13" i="6"/>
  <c r="C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Damien</author>
  </authors>
  <commentList>
    <comment ref="D2" authorId="0" shapeId="0" xr:uid="{1B967DED-2199-4F6D-AD50-F4B7A68227D2}">
      <text>
        <r>
          <rPr>
            <b/>
            <sz val="9"/>
            <color indexed="81"/>
            <rFont val="Tahoma"/>
            <family val="2"/>
          </rPr>
          <t>=DSGRID("USIRPR1, USIRPR2, USIRPR3, USIRPR4, USIRPR5, USIRPR6, USIRPR7","X","-1D","TIMEADJ","D","CustomHeader=true;RowHeader=false;ColHeader=true;Transpose=true;Code=true;DispSeriesDescription=false;YearlyTSFormat=false;QuarterlyTSFormat=false;MonthlyTSFormat=false;AutoResize=true")</t>
        </r>
      </text>
    </comment>
    <comment ref="G2" authorId="0" shapeId="0" xr:uid="{DD28596A-06C0-4B00-BB6F-5D23FED50B55}">
      <text>
        <r>
          <rPr>
            <b/>
            <sz val="9"/>
            <color indexed="81"/>
            <rFont val="Tahoma"/>
            <family val="2"/>
          </rPr>
          <t>=DSGRID("EUIRPR1, EUIRPR2, EUIRPR3, EUIRPR4, EUIRPR5, EUIRPR6, EUIRPR7","X","-1D","TIMEADJ","D","CustomHeader=true;RowHeader=false;ColHeader=true;Transpose=true;Code=true;DispSeriesDescription=true;YearlyTSFormat=false;QuarterlyTSFormat=false;MonthlyTSFormat=false;AutoResize=true")</t>
        </r>
      </text>
    </comment>
    <comment ref="J2" authorId="0" shapeId="0" xr:uid="{E782D35E-CB7C-4EDD-9C83-3BE91052C863}">
      <text>
        <r>
          <rPr>
            <b/>
            <sz val="9"/>
            <color indexed="81"/>
            <rFont val="Tahoma"/>
            <family val="2"/>
          </rPr>
          <t>=DSGRID("JPIRPR1, JPIRPR2, JPIRPR3, JPIRPR4, JPIRPR5, JPIRPR6, JPIRPR7","X","-1D","TIMEADJ","D","CustomHeader=true;ColHeader=true;Transpose=true;Code=true;DispSeriesDescription=true;YearlyTSFormat=false;QuarterlyTSFormat=false;MonthlyTSFormat=false;AutoResize=true")</t>
        </r>
      </text>
    </comment>
    <comment ref="M2" authorId="0" shapeId="0" xr:uid="{C7C8008E-10FE-44E5-81AC-9CC1711F789B}">
      <text>
        <r>
          <rPr>
            <b/>
            <sz val="9"/>
            <color indexed="81"/>
            <rFont val="Tahoma"/>
            <family val="2"/>
          </rPr>
          <t>=DSGRID("UKIRPR1, UKIRPR2, UKIRPR3, UKIRPR4, UKIRPR5, UKIRPR6, UKIRPR7","X","-1D","TIMEADJ","D","CustomHeader=true;ColHeader=true;Transpose=true;Code=true;DispSeriesDescription=true;YearlyTSFormat=false;QuarterlyTSFormat=false;MonthlyTSFormat=false;AutoResize=true")</t>
        </r>
      </text>
    </comment>
    <comment ref="P2" authorId="0" shapeId="0" xr:uid="{DE7529D5-501C-412F-BFBF-AE05173DAC9A}">
      <text>
        <r>
          <rPr>
            <b/>
            <sz val="9"/>
            <color indexed="81"/>
            <rFont val="Tahoma"/>
            <family val="2"/>
          </rPr>
          <t>=DSGRID("CAIRPR1, CAIRPR2, CAIRPR3, CAIRPR4, CAIRPR5, CAIRPR6, CAIRPR7","X","-1D","TIMEADJ","D","CustomHeader=true;ColHeader=true;Transpose=true;Code=true;DispSeriesDescription=true;YearlyTSFormat=false;QuarterlyTSFormat=false;MonthlyTSFormat=false;AutoResize=true")</t>
        </r>
      </text>
    </comment>
    <comment ref="S2" authorId="0" shapeId="0" xr:uid="{E8394E7D-36BD-4F65-8810-7C1235078332}">
      <text>
        <r>
          <rPr>
            <b/>
            <sz val="9"/>
            <color indexed="81"/>
            <rFont val="Tahoma"/>
            <family val="2"/>
          </rPr>
          <t>=DSGRID("AUIRPR1, AUIRPR2, AUIRPR3, AUIRPR4, AUIRPR5, AUIRPR6, AUIRPR7","X","-1D","TIMEADJ","D","CustomHeader=true;ColHeader=true;Transpose=true;Code=true;DispSeriesDescription=true;YearlyTSFormat=false;QuarterlyTSFormat=false;MonthlyTSFormat=false;AutoResize=true")</t>
        </r>
      </text>
    </comment>
    <comment ref="V2" authorId="0" shapeId="0" xr:uid="{B36B9593-4B3C-4870-B93A-1D08730F0A73}">
      <text>
        <r>
          <rPr>
            <b/>
            <sz val="9"/>
            <color indexed="81"/>
            <rFont val="Tahoma"/>
            <family val="2"/>
          </rPr>
          <t>=DSGRID("NZIRPR1, NZIRPR2, NZIRPR3, NZIRPR4, NZIRPR5, NZIRPR6, NZIRPR7","X","-1D","TIMEADJ","D","CustomHeader=true;ColHeader=true;Transpose=true;Code=true;DispSeriesDescription=true;YearlyTSFormat=false;QuarterlyTSFormat=false;MonthlyTSFormat=false;AutoResize=true")</t>
        </r>
      </text>
    </comment>
    <comment ref="Y2" authorId="0" shapeId="0" xr:uid="{AF47212D-7B39-415B-9487-F908532B2C04}">
      <text>
        <r>
          <rPr>
            <b/>
            <sz val="9"/>
            <color indexed="81"/>
            <rFont val="Tahoma"/>
            <family val="2"/>
          </rPr>
          <t>=DSGRID("SFIRPR1, SFIRPR2, SFIRPR3, SFIRPR4, SFIRPR5, SFIRPR6, SFIRPR7","X","-1D","TIMEADJ","D","CustomHeader=true;ColHeader=true;Transpose=true;Code=true;DispSeriesDescription=true;YearlyTSFormat=false;QuarterlyTSFormat=false;MonthlyTSFormat=false;AutoResize=true")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Damien</author>
  </authors>
  <commentList>
    <comment ref="B1" authorId="0" shapeId="0" xr:uid="{164EF182-93FA-445A-9DFE-74A2F85415BA}">
      <text>
        <r>
          <rPr>
            <b/>
            <sz val="9"/>
            <color indexed="81"/>
            <rFont val="Tahoma"/>
            <family val="2"/>
          </rPr>
          <t>=DSGRID("EUIRPR1, UKIRPR1, USIRPR1, JPIRPR1, AUIRPR1, NZIRPR1, CAIRPR1, SFIRPR1","X","-60D","TIME","D","CustomHeader=true;CustHeaderDatatypes=GEOGN;RowHeader=true;ColHeader=true;Transpose=true;Code=true;DispSeriesDescription=true;YearlyTSFormat=false;QuarterlyTSFormat=false;MonthlyTSFormat=false;AutoResize=true")</t>
        </r>
      </text>
    </comment>
    <comment ref="G1" authorId="0" shapeId="0" xr:uid="{F302B116-C9C4-47D2-B7FA-5E881170A1B2}">
      <text>
        <r>
          <rPr>
            <b/>
            <sz val="9"/>
            <color indexed="81"/>
            <rFont val="Tahoma"/>
            <family val="2"/>
          </rPr>
          <t>=DSGRID("EUIRPR1, UKIRPR1, USIRPR1, JPIRPR1, AUIRPR1, NZIRPR1, CAIRPR1, SFIRPR1","X","-60D","TIME","D","CustomHeader=true;CustHeaderDatatypes=GEOGN;RowHeader=true;ColHeader=true;Transpose=true;Code=true;DispSeriesDescription=true;YearlyTSFormat=false;QuarterlyTSFormat=false;MonthlyTSFormat=false;AutoResize=true")</t>
        </r>
      </text>
    </comment>
    <comment ref="B10" authorId="0" shapeId="0" xr:uid="{90407F2D-C9B3-4AC8-AEB5-099D163F61D4}">
      <text>
        <r>
          <rPr>
            <b/>
            <sz val="9"/>
            <color indexed="81"/>
            <rFont val="Tahoma"/>
            <family val="2"/>
          </rPr>
          <t>=DSGRID("EUIRPR3, UKIRPR3, USIRPR3, JPIRPR3, AUIRPR3, NZIRPR3, CAIRPR3, SFIRPR3","X","-60D","TIME","D","CustomHeader=true;CustHeaderDatatypes=GEOGN;RowHeader=true;ColHeader=true;Transpose=true;Code=true;DispSeriesDescription=true;YearlyTSFormat=false;QuarterlyTSFormat=false;MonthlyTSFormat=false;AutoResize=true")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Damien</author>
  </authors>
  <commentList>
    <comment ref="C2" authorId="0" shapeId="0" xr:uid="{54C88A33-4EF8-4438-AAF6-93D09B8B543D}">
      <text>
        <r>
          <rPr>
            <b/>
            <sz val="9"/>
            <color indexed="81"/>
            <rFont val="Tahoma"/>
            <family val="2"/>
          </rPr>
          <t>=DSGRID("USIRPR1, USIRPR2, USIRPR3, USIRPR4, USIRPR5, USIRPR6, USIRPR7, USIRPR8, USIRPR9, USIRP10","X","-15D","TIME","D","CustomHeader=true;CustHeaderDatatypes=GEOGN;RowHeader=true;ColHeader=true;Transpose=true;Code=true;DispSeriesDescription=true;YearlyTSFormat=false;QuarterlyTSFormat=false;MonthlyTSFormat=false;AutoResize=true")</t>
        </r>
      </text>
    </comment>
    <comment ref="D13" authorId="0" shapeId="0" xr:uid="{AEDEFFB3-E010-4B00-8D7E-C45B5636236D}">
      <text>
        <r>
          <rPr>
            <b/>
            <sz val="9"/>
            <color indexed="81"/>
            <rFont val="Tahoma"/>
            <family val="2"/>
          </rPr>
          <t>=DSGRID("USPRATE.","","-1Q","QTE","Q","RowHeader=false;ColHeader=false;DispSeriesDescription=false;YearlyTSFormat=false;QuarterlyTSFormat=false;MonthlyTSFormat=false")</t>
        </r>
      </text>
    </comment>
    <comment ref="O28" authorId="0" shapeId="0" xr:uid="{D74D5C74-D2CB-43A7-825B-B96A21E4B23D}">
      <text>
        <r>
          <rPr>
            <b/>
            <sz val="9"/>
            <color indexed="81"/>
            <rFont val="Tahoma"/>
            <family val="2"/>
          </rPr>
          <t>=DSGRID("UKPRATE.,USPRATE.","","-30Y","2024-10-01","M","RowHeader=true;ColHeader=true;DispSeriesDescription=false;YearlyTSFormat=false;QuarterlyTSFormat=false","")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Damien</author>
  </authors>
  <commentList>
    <comment ref="C2" authorId="0" shapeId="0" xr:uid="{111F492F-28BE-46B4-9AEE-D07D97C8EFB9}">
      <text>
        <r>
          <rPr>
            <b/>
            <sz val="9"/>
            <color indexed="81"/>
            <rFont val="Tahoma"/>
            <family val="2"/>
          </rPr>
          <t>=DSGRID("EUIRPR1, EUIRPR2, EUIRPR3, EUIRPR4, EUIRPR5, EUIRPR6, EUIRPR7, EUIRPR8, EUIRPR9, EUIRP10","X","-15D","TIMEADJ","D","CustomHeader=true;CustHeaderDatatypes=GEOGN;RowHeader=true;ColHeader=true;Transpose=true;Code=true;DispSeriesDescription=true;YearlyTSFormat=false;QuarterlyTSFormat=false;MonthlyTSFormat=false;AutoResize=true")</t>
        </r>
      </text>
    </comment>
    <comment ref="D13" authorId="0" shapeId="0" xr:uid="{14FC7F48-20B3-46D6-A995-A1FE51507144}">
      <text>
        <r>
          <rPr>
            <b/>
            <sz val="9"/>
            <color indexed="81"/>
            <rFont val="Tahoma"/>
            <family val="2"/>
          </rPr>
          <t>4.25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Damien</author>
  </authors>
  <commentList>
    <comment ref="C2" authorId="0" shapeId="0" xr:uid="{50643A60-D6CC-4864-92D1-6AE92DF80372}">
      <text>
        <r>
          <rPr>
            <b/>
            <sz val="9"/>
            <color indexed="81"/>
            <rFont val="Tahoma"/>
            <family val="2"/>
          </rPr>
          <t>=DSGRID("JPIRPR1, JPIRPR2, JPIRPR3, JPIRPR4, JPIRPR5, JPIRPR6, JPIRPR7, JPIRPR8, JPIRPR9, JPIRP10","X","-15D","TIMEADJ","D","CustomHeader=true;CustHeaderDatatypes=GEOGN;RowHeader=true;ColHeader=true;Transpose=true;Code=true;DispSeriesDescription=true;YearlyTSFormat=false;QuarterlyTSFormat=false;MonthlyTSFormat=false;AutoResize=true")</t>
        </r>
      </text>
    </comment>
    <comment ref="D13" authorId="0" shapeId="0" xr:uid="{5755D84F-0C9E-41FC-A9AA-795C14216C1B}">
      <text>
        <r>
          <rPr>
            <b/>
            <sz val="9"/>
            <color indexed="81"/>
            <rFont val="Tahoma"/>
            <family val="2"/>
          </rPr>
          <t>=DSGRID("JPPRATE.","","-1Q","QTE","Q","RowHeader=false;ColHeader=false;DispSeriesDescription=false;YearlyTSFormat=false;QuarterlyTSFormat=false;MonthlyTSFormat=false")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Damien</author>
  </authors>
  <commentList>
    <comment ref="C2" authorId="0" shapeId="0" xr:uid="{B1FD50F1-3C82-4E0D-9A57-B978D6423630}">
      <text>
        <r>
          <rPr>
            <b/>
            <sz val="9"/>
            <color indexed="81"/>
            <rFont val="Tahoma"/>
            <family val="2"/>
          </rPr>
          <t>=DSGRID("UKIRPR1, UKIRPR2, UKIRPR3, UKIRPR4, UKIRPR5, UKIRPR6, UKIRPR7, UKIRPR8, UKIRPR9, UKIRP10","X","-15D","TIMEADJ","D","CustomHeader=true;CustHeaderDatatypes=GEOGN;RowHeader=true;ColHeader=true;Transpose=true;Code=true;DispSeriesDescription=true;YearlyTSFormat=false;QuarterlyTSFormat=false;MonthlyTSFormat=false;AutoResize=true")</t>
        </r>
      </text>
    </comment>
    <comment ref="D13" authorId="0" shapeId="0" xr:uid="{F4361CFD-BBE4-459B-A1B7-A4FFB96AF1EC}">
      <text>
        <r>
          <rPr>
            <b/>
            <sz val="9"/>
            <color indexed="81"/>
            <rFont val="Tahoma"/>
            <family val="2"/>
          </rPr>
          <t>=DSGRID("UKPRATE.","","-1Q","QTE","Q","RowHeader=false;ColHeader=false;DispSeriesDescription=false;YearlyTSFormat=false;QuarterlyTSFormat=false;MonthlyTSFormat=false")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Damien</author>
  </authors>
  <commentList>
    <comment ref="C2" authorId="0" shapeId="0" xr:uid="{538BFCCE-EF77-4F6B-AACD-A7A322FC508F}">
      <text>
        <r>
          <rPr>
            <b/>
            <sz val="9"/>
            <color indexed="81"/>
            <rFont val="Tahoma"/>
            <family val="2"/>
          </rPr>
          <t>=DSGRID("CAIRPR1, CAIRPR2, CAIRPR3, CAIRPR4, CAIRPR5, CAIRPR6, CAIRPR7, CAIRPR8, CAIRPR9, CAIRP10","X","-15D","TIMEADJ","D","CustomHeader=true;CustHeaderDatatypes=GEOGN;RowHeader=true;ColHeader=true;Transpose=true;Code=true;DispSeriesDescription=true;YearlyTSFormat=false;QuarterlyTSFormat=false;MonthlyTSFormat=false;AutoResize=true")</t>
        </r>
      </text>
    </comment>
    <comment ref="D13" authorId="0" shapeId="0" xr:uid="{A9BE74F6-0525-4776-9C2B-635A7E58CB70}">
      <text>
        <r>
          <rPr>
            <b/>
            <sz val="9"/>
            <color indexed="81"/>
            <rFont val="Tahoma"/>
            <family val="2"/>
          </rPr>
          <t>=DSGRID("CAPRATE.","","-3Q","QTE","Q","")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Damien</author>
  </authors>
  <commentList>
    <comment ref="C2" authorId="0" shapeId="0" xr:uid="{7F3DB274-639D-4C71-9991-560F455B6FB5}">
      <text>
        <r>
          <rPr>
            <b/>
            <sz val="9"/>
            <color indexed="81"/>
            <rFont val="Tahoma"/>
            <family val="2"/>
          </rPr>
          <t>=DSGRID("AUIRPR1, AUIRPR2, AUIRPR3, AUIRPR4, AUIRPR5, AUIRPR6, AUIRPR7, AUIRPR8, AUIRPR9, AUIRP10","X","-15D","TIMEADJ","D","CustomHeader=true;CustHeaderDatatypes=GEOGN;RowHeader=true;ColHeader=true;Transpose=true;Code=true;DispSeriesDescription=true;YearlyTSFormat=false;QuarterlyTSFormat=false;MonthlyTSFormat=false;AutoResize=true")</t>
        </r>
      </text>
    </comment>
    <comment ref="D13" authorId="0" shapeId="0" xr:uid="{19866503-85B9-4DBB-8D97-656DD80ECD00}">
      <text>
        <r>
          <rPr>
            <b/>
            <sz val="9"/>
            <color indexed="81"/>
            <rFont val="Tahoma"/>
            <family val="2"/>
          </rPr>
          <t>=DSGRID("AUPRATE.","","-1Q","QTE","Q","RowHeader=false;ColHeader=false;DispSeriesDescription=false;YearlyTSFormat=false;QuarterlyTSFormat=false;MonthlyTSFormat=false")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Damien</author>
  </authors>
  <commentList>
    <comment ref="C2" authorId="0" shapeId="0" xr:uid="{C228569E-2931-484C-BBF1-24DAAFA121DD}">
      <text>
        <r>
          <rPr>
            <b/>
            <sz val="9"/>
            <color indexed="81"/>
            <rFont val="Tahoma"/>
            <family val="2"/>
          </rPr>
          <t>=DSGRID("NZIRPR1, NZIRPR2, NZIRPR3, NZIRPR4, NZIRPR5, NZIRPR6, NZIRPR7, NZIRPR8, NZIRPR9, NZIRP10","X","-15D","TIMEADJ","D","CustomHeader=true;CustHeaderDatatypes=GEOGN;RowHeader=true;ColHeader=true;Transpose=true;Code=true;DispSeriesDescription=true;YearlyTSFormat=false;QuarterlyTSFormat=false;MonthlyTSFormat=false;AutoResize=true")</t>
        </r>
      </text>
    </comment>
    <comment ref="D13" authorId="0" shapeId="0" xr:uid="{AB3726C3-76C6-4553-A7F3-094002BAF520}">
      <text>
        <r>
          <rPr>
            <b/>
            <sz val="9"/>
            <color indexed="81"/>
            <rFont val="Tahoma"/>
            <family val="2"/>
          </rPr>
          <t>=DSGRID("NZPRATE.","","-2Q","QTE","Q","")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Damien</author>
  </authors>
  <commentList>
    <comment ref="C2" authorId="0" shapeId="0" xr:uid="{3E0CBE5E-7B31-4775-9D7A-B628E307C091}">
      <text>
        <r>
          <rPr>
            <b/>
            <sz val="9"/>
            <color indexed="81"/>
            <rFont val="Tahoma"/>
            <family val="2"/>
          </rPr>
          <t>=DSGRID("SFIRPR1, SFIRPR2, SFIRPR3, SFIRPR4, SFIRPR5, SFIRPR6, SFIRPR7","X","-15D","TIMEADJ","D","CustomHeader=true;CustHeaderDatatypes=GEOGN;RowHeader=true;ColHeader=true;Transpose=true;Code=true;DispSeriesDescription=true;YearlyTSFormat=false;QuarterlyTSFormat=false;MonthlyTSFormat=false;AutoResize=true")</t>
        </r>
      </text>
    </comment>
    <comment ref="D10" authorId="0" shapeId="0" xr:uid="{C83CF8FA-62D3-445F-9023-54AD90815CEF}">
      <text>
        <r>
          <rPr>
            <b/>
            <sz val="9"/>
            <color indexed="81"/>
            <rFont val="Tahoma"/>
            <family val="2"/>
          </rPr>
          <t>=DSGRID("SWPRATE.","","-1Q","QTE","Q","RowHeader=false;ColHeader=false;DispSeriesDescription=false;YearlyTSFormat=false;QuarterlyTSFormat=false;MonthlyTSFormat=false")</t>
        </r>
      </text>
    </comment>
  </commentList>
</comments>
</file>

<file path=xl/sharedStrings.xml><?xml version="1.0" encoding="utf-8"?>
<sst xmlns="http://schemas.openxmlformats.org/spreadsheetml/2006/main" count="511" uniqueCount="203">
  <si>
    <t>Currency &amp; Date</t>
  </si>
  <si>
    <t>USIRPR1</t>
  </si>
  <si>
    <t>EUIRPR1</t>
  </si>
  <si>
    <t>JPIRPR1</t>
  </si>
  <si>
    <t>UKIRPR1</t>
  </si>
  <si>
    <t>CAIRPR1</t>
  </si>
  <si>
    <t>AUIRPR1</t>
  </si>
  <si>
    <t>NZIRPR1</t>
  </si>
  <si>
    <t>SFIRPR1</t>
  </si>
  <si>
    <t>USIRPR2</t>
  </si>
  <si>
    <t>EUIRPR2</t>
  </si>
  <si>
    <t>JPIRPR2</t>
  </si>
  <si>
    <t>UKIRPR2</t>
  </si>
  <si>
    <t>CAIRPR2</t>
  </si>
  <si>
    <t>AUIRPR2</t>
  </si>
  <si>
    <t>NZIRPR2</t>
  </si>
  <si>
    <t>SFIRPR2</t>
  </si>
  <si>
    <t>USIRPR3</t>
  </si>
  <si>
    <t>EUIRPR3</t>
  </si>
  <si>
    <t>JPIRPR3</t>
  </si>
  <si>
    <t>UKIRPR3</t>
  </si>
  <si>
    <t>CAIRPR3</t>
  </si>
  <si>
    <t>AUIRPR3</t>
  </si>
  <si>
    <t>NZIRPR3</t>
  </si>
  <si>
    <t>SFIRPR3</t>
  </si>
  <si>
    <t>USIRPR4</t>
  </si>
  <si>
    <t>EUIRPR4</t>
  </si>
  <si>
    <t>JPIRPR4</t>
  </si>
  <si>
    <t>UKIRPR4</t>
  </si>
  <si>
    <t>CAIRPR4</t>
  </si>
  <si>
    <t>AUIRPR4</t>
  </si>
  <si>
    <t>NZIRPR4</t>
  </si>
  <si>
    <t>SFIRPR4</t>
  </si>
  <si>
    <t>USIRPR5</t>
  </si>
  <si>
    <t>EUIRPR5</t>
  </si>
  <si>
    <t>JPIRPR5</t>
  </si>
  <si>
    <t>UKIRPR5</t>
  </si>
  <si>
    <t>CAIRPR5</t>
  </si>
  <si>
    <t>AUIRPR5</t>
  </si>
  <si>
    <t>NZIRPR5</t>
  </si>
  <si>
    <t>SFIRPR5</t>
  </si>
  <si>
    <t>USIRPR6</t>
  </si>
  <si>
    <t>EUIRPR6</t>
  </si>
  <si>
    <t>JPIRPR6</t>
  </si>
  <si>
    <t>UKIRPR6</t>
  </si>
  <si>
    <t>CAIRPR6</t>
  </si>
  <si>
    <t>AUIRPR6</t>
  </si>
  <si>
    <t>NZIRPR6</t>
  </si>
  <si>
    <t>SFIRPR6</t>
  </si>
  <si>
    <t>USIRPR7</t>
  </si>
  <si>
    <t>EUIRPR7</t>
  </si>
  <si>
    <t>JPIRPR7</t>
  </si>
  <si>
    <t>UKIRPR7</t>
  </si>
  <si>
    <t>CAIRPR7</t>
  </si>
  <si>
    <t>AUIRPR7</t>
  </si>
  <si>
    <t>NZIRPR7</t>
  </si>
  <si>
    <t>SFIRPR7</t>
  </si>
  <si>
    <t>Code</t>
  </si>
  <si>
    <t>GEOGN</t>
  </si>
  <si>
    <t>EUR IR PROB 1ST MEET - MIDDLE RATE</t>
  </si>
  <si>
    <t>EURO AREA</t>
  </si>
  <si>
    <t>GBP IR PROB 1ST MEET - MIDDLE RATE</t>
  </si>
  <si>
    <t>UNITED KINGDOM</t>
  </si>
  <si>
    <t>USD IR PROB 1ST MEET - MIDDLE RATE</t>
  </si>
  <si>
    <t>UNITED STATES</t>
  </si>
  <si>
    <t>JPY IR PROB 1ST MEET - MIDDLE RATE</t>
  </si>
  <si>
    <t>JAPAN</t>
  </si>
  <si>
    <t>AUD IR PROB 1ST MEET - MIDDLE RATE</t>
  </si>
  <si>
    <t>AUSTRALIA</t>
  </si>
  <si>
    <t>NZD IR PROB 1ST MEET - MIDDLE RATE</t>
  </si>
  <si>
    <t>NEW ZEALAND</t>
  </si>
  <si>
    <t>CAD IR PROB 1ST MEET - MIDDLE RATE</t>
  </si>
  <si>
    <t>CANADA</t>
  </si>
  <si>
    <t>CHF IR PROB 1ST MEET - MIDDLE RATE</t>
  </si>
  <si>
    <t>SWITZERLAND</t>
  </si>
  <si>
    <t>EUR IR PROB 5TH MEET - MIDDLE RATE</t>
  </si>
  <si>
    <t>GBP IR PROB 5TH MEET - MIDDLE RATE</t>
  </si>
  <si>
    <t>USD IR PROB 5TH MEET - MIDDLE RATE</t>
  </si>
  <si>
    <t>JPY IR PROB 5TH MEET - MIDDLE RATE</t>
  </si>
  <si>
    <t>AUD IR PROB 5TH MEET - MIDDLE RATE</t>
  </si>
  <si>
    <t>NZD IR PROB 5TH MEET - MIDDLE RATE</t>
  </si>
  <si>
    <t>CAD IR PROB 5TH MEET - MIDDLE RATE</t>
  </si>
  <si>
    <t>CHF IR PROB 5TH MEET - MIDDLE RATE</t>
  </si>
  <si>
    <t>Monnaie</t>
  </si>
  <si>
    <t>EUR</t>
  </si>
  <si>
    <t>GBP</t>
  </si>
  <si>
    <t>USD</t>
  </si>
  <si>
    <t>JPY</t>
  </si>
  <si>
    <t>AUD</t>
  </si>
  <si>
    <t>NZD</t>
  </si>
  <si>
    <t>CAD</t>
  </si>
  <si>
    <t>CHF</t>
  </si>
  <si>
    <t>Probablilité des taux d'intérêt</t>
  </si>
  <si>
    <t xml:space="preserve">Monnaies </t>
  </si>
  <si>
    <t>Jours</t>
  </si>
  <si>
    <t>1D</t>
  </si>
  <si>
    <t>7D</t>
  </si>
  <si>
    <t>15D</t>
  </si>
  <si>
    <t>Meeting 1</t>
  </si>
  <si>
    <t>Meeting 2</t>
  </si>
  <si>
    <t>Meeting 3</t>
  </si>
  <si>
    <t>Meeting 4</t>
  </si>
  <si>
    <t>Meeting 5</t>
  </si>
  <si>
    <t>Meeting 6</t>
  </si>
  <si>
    <t>Meeting 7</t>
  </si>
  <si>
    <t>Meeting 8</t>
  </si>
  <si>
    <t>Meeting 9</t>
  </si>
  <si>
    <t>Meeting 10</t>
  </si>
  <si>
    <t>Numero de Réunion</t>
  </si>
  <si>
    <t>Evolution</t>
  </si>
  <si>
    <t xml:space="preserve">Réunion 1 </t>
  </si>
  <si>
    <t>Réunion 2</t>
  </si>
  <si>
    <t>USD IR PROB 2ND MEET - MIDDLE RATE</t>
  </si>
  <si>
    <t>Réunion 3</t>
  </si>
  <si>
    <t>USD IR PROB 3RD MEET - MIDDLE RATE</t>
  </si>
  <si>
    <t>Réunion 4</t>
  </si>
  <si>
    <t>USD IR PROB 4TH MEET - MIDDLE RATE</t>
  </si>
  <si>
    <t>Réunion 5</t>
  </si>
  <si>
    <t>Réunion 6</t>
  </si>
  <si>
    <t>Réunion 7</t>
  </si>
  <si>
    <t>Réunion 8</t>
  </si>
  <si>
    <t>Réunion 9</t>
  </si>
  <si>
    <t>Réunion 10</t>
  </si>
  <si>
    <t>policy rate</t>
  </si>
  <si>
    <t>EUR IR PROB 2ND MEET - MIDDLE RATE</t>
  </si>
  <si>
    <t>EUR IR PROB 3RD MEET - MIDDLE RATE</t>
  </si>
  <si>
    <t>EUR IR PROB 4TH MEET - MIDDLE RATE</t>
  </si>
  <si>
    <t>EUR IR PROB 6TH MEET - MIDDLE RATE</t>
  </si>
  <si>
    <t>EUR IR PROB 7TH MEET - MIDDLE RATE</t>
  </si>
  <si>
    <t>EUR IR PROB 8TH MEET - MIDDLE RATE</t>
  </si>
  <si>
    <t>EUIRPR8</t>
  </si>
  <si>
    <t>EUR IR PROB 9TH MEET - MIDDLE RATE</t>
  </si>
  <si>
    <t>EUIRPR9</t>
  </si>
  <si>
    <t>EUR IR PROB 10TH MEET - MIDDLE RATE</t>
  </si>
  <si>
    <t>EUIRP10</t>
  </si>
  <si>
    <t>JPY IR PROB 2ND MEET - MIDDLE RATE</t>
  </si>
  <si>
    <t>JPY IR PROB 3RD MEET - MIDDLE RATE</t>
  </si>
  <si>
    <t>JPY IR PROB 4TH MEET - MIDDLE RATE</t>
  </si>
  <si>
    <t>JPY IR PROB 6TH MEET - MIDDLE RATE</t>
  </si>
  <si>
    <t>JPY IR PROB 7TH MEET - MIDDLE RATE</t>
  </si>
  <si>
    <t>JPY IR PROB 8TH MEET - MIDDLE RATE</t>
  </si>
  <si>
    <t>JPIRPR8</t>
  </si>
  <si>
    <t>JPY IR PROB 9TH MEET - MIDDLE RATE</t>
  </si>
  <si>
    <t>JPIRPR9</t>
  </si>
  <si>
    <t>JPY IR PROB 10TH MEET - MIDDLE RATE</t>
  </si>
  <si>
    <t>JPIRP10</t>
  </si>
  <si>
    <t>GBP IR PROB 2ND MEET - MIDDLE RATE</t>
  </si>
  <si>
    <t>GBP IR PROB 3RD MEET - MIDDLE RATE</t>
  </si>
  <si>
    <t>GBP IR PROB 4TH MEET - MIDDLE RATE</t>
  </si>
  <si>
    <t>GBP IR PROB 6TH MEET - MIDDLE RATE</t>
  </si>
  <si>
    <t>GBP IR PROB 7TH MEET - MIDDLE RATE</t>
  </si>
  <si>
    <t>GBP IR PROB 8TH MEET - MIDDLE RATE</t>
  </si>
  <si>
    <t>UKIRPR8</t>
  </si>
  <si>
    <t>GBP IR PROB 9TH MEET - MIDDLE RATE</t>
  </si>
  <si>
    <t>UKIRPR9</t>
  </si>
  <si>
    <t>GBP IR PROB 10TH MEET - MIDDLE RATE</t>
  </si>
  <si>
    <t>UKIRP10</t>
  </si>
  <si>
    <t>CAD IR PROB 2ND MEET - MIDDLE RATE</t>
  </si>
  <si>
    <t>CAD IR PROB 3RD MEET - MIDDLE RATE</t>
  </si>
  <si>
    <t>CAD IR PROB 4TH MEET - MIDDLE RATE</t>
  </si>
  <si>
    <t>CAD IR PROB 6TH MEET - MIDDLE RATE</t>
  </si>
  <si>
    <t>CAD IR PROB 7TH MEET - MIDDLE RATE</t>
  </si>
  <si>
    <t>CAD IR PROB 8TH MEET - MIDDLE RATE</t>
  </si>
  <si>
    <t>CAIRPR8</t>
  </si>
  <si>
    <t>CAD IR PROB 9TH MEET - MIDDLE RATE</t>
  </si>
  <si>
    <t>CAIRPR9</t>
  </si>
  <si>
    <t>CAD IR PROB 10TH MEET - MIDDLE RATE</t>
  </si>
  <si>
    <t>CAIRP10</t>
  </si>
  <si>
    <t>AUD IR PROB 2ND MEET - MIDDLE RATE</t>
  </si>
  <si>
    <t>AUD IR PROB 3RD MEET - MIDDLE RATE</t>
  </si>
  <si>
    <t>AUD IR PROB 4TH MEET - MIDDLE RATE</t>
  </si>
  <si>
    <t>AUD IR PROB 6TH MEET - MIDDLE RATE</t>
  </si>
  <si>
    <t>AUD IR PROB 7TH MEET - MIDDLE RATE</t>
  </si>
  <si>
    <t>AUD IR PROB 8TH MEET - MIDDLE RATE</t>
  </si>
  <si>
    <t>AUIRPR8</t>
  </si>
  <si>
    <t>AUD IR PROB 9TH MEET - MIDDLE RATE</t>
  </si>
  <si>
    <t>AUIRPR9</t>
  </si>
  <si>
    <t>AUD IR PROB 10TH MEET - MIDDLE RATE</t>
  </si>
  <si>
    <t>AUIRP10</t>
  </si>
  <si>
    <t>NZD IR PROB 2ND MEET - MIDDLE RATE</t>
  </si>
  <si>
    <t>NZD IR PROB 3RD MEET - MIDDLE RATE</t>
  </si>
  <si>
    <t>NZD IR PROB 4TH MEET - MIDDLE RATE</t>
  </si>
  <si>
    <t>NZD IR PROB 6TH MEET - MIDDLE RATE</t>
  </si>
  <si>
    <t>NZD IR PROB 7TH MEET - MIDDLE RATE</t>
  </si>
  <si>
    <t>NZD IR PROB 8TH MEET - MIDDLE RATE</t>
  </si>
  <si>
    <t>NZIRPR8</t>
  </si>
  <si>
    <t>NZD IR PROB 9TH MEET - MIDDLE RATE</t>
  </si>
  <si>
    <t>NZIRPR9</t>
  </si>
  <si>
    <t>NZD IR PROB 10TH MEET - MIDDLE RATE</t>
  </si>
  <si>
    <t>NZIRP10</t>
  </si>
  <si>
    <t>CHF IR PROB 2ND MEET - MIDDLE RATE</t>
  </si>
  <si>
    <t>CHF IR PROB 3RD MEET - MIDDLE RATE</t>
  </si>
  <si>
    <t>CHF IR PROB 4TH MEET - MIDDLE RATE</t>
  </si>
  <si>
    <t>CHF IR PROB 6TH MEET - MIDDLE RATE</t>
  </si>
  <si>
    <t>CHF IR PROB 7TH MEET - MIDDLE RATE</t>
  </si>
  <si>
    <t>USD IR PROB 6TH MEET - MIDDLE RATE</t>
  </si>
  <si>
    <t>USD IR PROB 7TH MEET - MIDDLE RATE</t>
  </si>
  <si>
    <t>USD IR PROB 8TH MEET - MIDDLE RATE</t>
  </si>
  <si>
    <t>USIRPR8</t>
  </si>
  <si>
    <t>USD IR PROB 9TH MEET - MIDDLE RATE</t>
  </si>
  <si>
    <t>USIRPR9</t>
  </si>
  <si>
    <t>USD IR PROB 10TH MEET - MIDDLE RATE</t>
  </si>
  <si>
    <t>USIRP10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</si>
</sst>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i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94">
    <xf numFmtId="0" fontId="0" fillId="0" borderId="0" xfId="0"/>
    <xf numFmtId="0" fontId="0" fillId="0" borderId="0" xfId="0" quotePrefix="1"/>
    <xf numFmtId="14" fontId="0" fillId="0" borderId="0" xfId="0" applyNumberFormat="1"/>
    <xf numFmtId="2" fontId="0" fillId="0" borderId="0" xfId="0" applyNumberFormat="1"/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8" borderId="6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0" fillId="9" borderId="0" xfId="0" applyFill="1"/>
    <xf numFmtId="0" fontId="0" fillId="9" borderId="17" xfId="0" quotePrefix="1" applyFill="1" applyBorder="1"/>
    <xf numFmtId="0" fontId="0" fillId="9" borderId="19" xfId="0" quotePrefix="1" applyFill="1" applyBorder="1"/>
    <xf numFmtId="0" fontId="0" fillId="9" borderId="0" xfId="0" quotePrefix="1" applyFill="1"/>
    <xf numFmtId="14" fontId="0" fillId="9" borderId="0" xfId="0" applyNumberFormat="1" applyFill="1"/>
    <xf numFmtId="14" fontId="0" fillId="9" borderId="0" xfId="0" quotePrefix="1" applyNumberFormat="1" applyFill="1"/>
    <xf numFmtId="0" fontId="0" fillId="5" borderId="9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quotePrefix="1" applyFill="1" applyAlignment="1">
      <alignment horizontal="center" vertical="center"/>
    </xf>
    <xf numFmtId="10" fontId="0" fillId="9" borderId="22" xfId="1" applyNumberFormat="1" applyFont="1" applyFill="1" applyBorder="1" applyAlignment="1">
      <alignment horizontal="center" vertical="center"/>
    </xf>
    <xf numFmtId="10" fontId="0" fillId="9" borderId="23" xfId="1" applyNumberFormat="1" applyFont="1" applyFill="1" applyBorder="1" applyAlignment="1">
      <alignment horizontal="center" vertical="center"/>
    </xf>
    <xf numFmtId="10" fontId="0" fillId="9" borderId="0" xfId="1" applyNumberFormat="1" applyFont="1" applyFill="1" applyBorder="1" applyAlignment="1">
      <alignment horizontal="center" vertical="center"/>
    </xf>
    <xf numFmtId="10" fontId="0" fillId="9" borderId="11" xfId="1" applyNumberFormat="1" applyFont="1" applyFill="1" applyBorder="1" applyAlignment="1">
      <alignment horizontal="center" vertical="center"/>
    </xf>
    <xf numFmtId="10" fontId="0" fillId="9" borderId="10" xfId="1" applyNumberFormat="1" applyFont="1" applyFill="1" applyBorder="1" applyAlignment="1">
      <alignment horizontal="center" vertical="center"/>
    </xf>
    <xf numFmtId="10" fontId="0" fillId="9" borderId="12" xfId="1" applyNumberFormat="1" applyFont="1" applyFill="1" applyBorder="1" applyAlignment="1">
      <alignment horizontal="center" vertical="center"/>
    </xf>
    <xf numFmtId="10" fontId="0" fillId="9" borderId="13" xfId="1" applyNumberFormat="1" applyFont="1" applyFill="1" applyBorder="1" applyAlignment="1">
      <alignment horizontal="center" vertical="center"/>
    </xf>
    <xf numFmtId="10" fontId="0" fillId="9" borderId="14" xfId="1" applyNumberFormat="1" applyFont="1" applyFill="1" applyBorder="1" applyAlignment="1">
      <alignment horizontal="center" vertical="center"/>
    </xf>
    <xf numFmtId="0" fontId="0" fillId="9" borderId="29" xfId="0" applyFill="1" applyBorder="1" applyAlignment="1">
      <alignment horizontal="center" vertical="center"/>
    </xf>
    <xf numFmtId="0" fontId="0" fillId="9" borderId="30" xfId="0" quotePrefix="1" applyFill="1" applyBorder="1" applyAlignment="1">
      <alignment horizontal="center" vertical="center"/>
    </xf>
    <xf numFmtId="14" fontId="0" fillId="9" borderId="30" xfId="0" applyNumberFormat="1" applyFill="1" applyBorder="1" applyAlignment="1">
      <alignment horizontal="center" vertical="center"/>
    </xf>
    <xf numFmtId="0" fontId="0" fillId="9" borderId="31" xfId="0" applyFill="1" applyBorder="1" applyAlignment="1">
      <alignment horizontal="center" vertical="center"/>
    </xf>
    <xf numFmtId="0" fontId="0" fillId="9" borderId="25" xfId="0" quotePrefix="1" applyFill="1" applyBorder="1" applyAlignment="1">
      <alignment horizontal="center" vertical="center"/>
    </xf>
    <xf numFmtId="2" fontId="0" fillId="9" borderId="25" xfId="0" applyNumberFormat="1" applyFill="1" applyBorder="1" applyAlignment="1">
      <alignment horizontal="center" vertical="center"/>
    </xf>
    <xf numFmtId="0" fontId="0" fillId="9" borderId="28" xfId="0" applyFill="1" applyBorder="1" applyAlignment="1">
      <alignment horizontal="center" vertical="center"/>
    </xf>
    <xf numFmtId="0" fontId="0" fillId="9" borderId="1" xfId="0" quotePrefix="1" applyFill="1" applyBorder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27" xfId="0" quotePrefix="1" applyFill="1" applyBorder="1" applyAlignment="1">
      <alignment horizontal="center" vertical="center"/>
    </xf>
    <xf numFmtId="2" fontId="0" fillId="9" borderId="27" xfId="0" applyNumberFormat="1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14" fontId="0" fillId="9" borderId="0" xfId="0" applyNumberFormat="1" applyFill="1" applyAlignment="1">
      <alignment horizontal="center" vertical="center"/>
    </xf>
    <xf numFmtId="14" fontId="0" fillId="9" borderId="15" xfId="0" applyNumberFormat="1" applyFill="1" applyBorder="1"/>
    <xf numFmtId="14" fontId="0" fillId="9" borderId="16" xfId="0" quotePrefix="1" applyNumberFormat="1" applyFill="1" applyBorder="1"/>
    <xf numFmtId="2" fontId="0" fillId="9" borderId="18" xfId="0" quotePrefix="1" applyNumberFormat="1" applyFill="1" applyBorder="1"/>
    <xf numFmtId="2" fontId="0" fillId="9" borderId="0" xfId="0" quotePrefix="1" applyNumberFormat="1" applyFill="1"/>
    <xf numFmtId="2" fontId="0" fillId="9" borderId="20" xfId="0" quotePrefix="1" applyNumberFormat="1" applyFill="1" applyBorder="1"/>
    <xf numFmtId="0" fontId="1" fillId="9" borderId="29" xfId="0" applyFont="1" applyFill="1" applyBorder="1" applyAlignment="1">
      <alignment horizontal="center" vertical="center"/>
    </xf>
    <xf numFmtId="0" fontId="1" fillId="9" borderId="30" xfId="0" quotePrefix="1" applyFont="1" applyFill="1" applyBorder="1" applyAlignment="1">
      <alignment horizontal="center" vertical="center"/>
    </xf>
    <xf numFmtId="14" fontId="1" fillId="9" borderId="30" xfId="0" applyNumberFormat="1" applyFont="1" applyFill="1" applyBorder="1" applyAlignment="1">
      <alignment horizontal="center" vertical="center"/>
    </xf>
    <xf numFmtId="0" fontId="1" fillId="9" borderId="31" xfId="0" applyFont="1" applyFill="1" applyBorder="1" applyAlignment="1">
      <alignment horizontal="center" vertical="center"/>
    </xf>
    <xf numFmtId="0" fontId="0" fillId="9" borderId="32" xfId="0" quotePrefix="1" applyFill="1" applyBorder="1" applyAlignment="1">
      <alignment horizontal="center" vertical="center" wrapText="1"/>
    </xf>
    <xf numFmtId="0" fontId="0" fillId="9" borderId="33" xfId="0" quotePrefix="1" applyFill="1" applyBorder="1" applyAlignment="1">
      <alignment horizontal="center" vertical="center" wrapText="1"/>
    </xf>
    <xf numFmtId="0" fontId="0" fillId="9" borderId="34" xfId="0" quotePrefix="1" applyFill="1" applyBorder="1" applyAlignment="1">
      <alignment horizontal="center" vertical="center" wrapText="1"/>
    </xf>
    <xf numFmtId="0" fontId="0" fillId="9" borderId="26" xfId="0" quotePrefix="1" applyFill="1" applyBorder="1" applyAlignment="1">
      <alignment horizontal="center" vertical="center" wrapText="1"/>
    </xf>
    <xf numFmtId="0" fontId="0" fillId="9" borderId="1" xfId="0" quotePrefix="1" applyFill="1" applyBorder="1" applyAlignment="1">
      <alignment horizontal="center" vertical="center" wrapText="1"/>
    </xf>
    <xf numFmtId="0" fontId="0" fillId="9" borderId="27" xfId="0" quotePrefix="1" applyFill="1" applyBorder="1" applyAlignment="1">
      <alignment horizontal="center" vertical="center" wrapText="1"/>
    </xf>
    <xf numFmtId="0" fontId="1" fillId="9" borderId="35" xfId="0" applyFont="1" applyFill="1" applyBorder="1" applyAlignment="1">
      <alignment horizontal="center" vertical="center"/>
    </xf>
    <xf numFmtId="0" fontId="0" fillId="9" borderId="30" xfId="0" applyFill="1" applyBorder="1" applyAlignment="1">
      <alignment horizontal="center" vertical="center"/>
    </xf>
    <xf numFmtId="0" fontId="0" fillId="9" borderId="25" xfId="0" quotePrefix="1" applyFill="1" applyBorder="1" applyAlignment="1">
      <alignment horizontal="center" vertical="center" wrapText="1"/>
    </xf>
    <xf numFmtId="0" fontId="0" fillId="9" borderId="35" xfId="0" quotePrefix="1" applyFill="1" applyBorder="1" applyAlignment="1">
      <alignment horizontal="center" vertical="center" wrapText="1"/>
    </xf>
    <xf numFmtId="0" fontId="1" fillId="9" borderId="30" xfId="0" applyFont="1" applyFill="1" applyBorder="1" applyAlignment="1">
      <alignment horizontal="center" vertical="center"/>
    </xf>
    <xf numFmtId="0" fontId="8" fillId="9" borderId="7" xfId="0" applyFont="1" applyFill="1" applyBorder="1"/>
    <xf numFmtId="0" fontId="8" fillId="9" borderId="0" xfId="0" applyFont="1" applyFill="1"/>
    <xf numFmtId="0" fontId="4" fillId="10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9" borderId="39" xfId="0" applyFill="1" applyBorder="1" applyAlignment="1">
      <alignment horizontal="center" vertical="center"/>
    </xf>
    <xf numFmtId="2" fontId="0" fillId="0" borderId="0" xfId="0" quotePrefix="1" applyNumberFormat="1"/>
    <xf numFmtId="14" fontId="0" fillId="0" borderId="0" xfId="0" quotePrefix="1" applyNumberFormat="1"/>
    <xf numFmtId="14" fontId="0" fillId="9" borderId="31" xfId="0" applyNumberFormat="1" applyFill="1" applyBorder="1" applyAlignment="1">
      <alignment horizontal="center" vertical="center"/>
    </xf>
    <xf numFmtId="0" fontId="0" fillId="9" borderId="40" xfId="0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0" fillId="9" borderId="42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14" fontId="0" fillId="9" borderId="7" xfId="0" applyNumberFormat="1" applyFill="1" applyBorder="1" applyAlignment="1">
      <alignment horizontal="center" vertical="center"/>
    </xf>
    <xf numFmtId="2" fontId="0" fillId="9" borderId="1" xfId="0" quotePrefix="1" applyNumberFormat="1" applyFill="1" applyBorder="1" applyAlignment="1">
      <alignment horizontal="center" vertical="center"/>
    </xf>
    <xf numFmtId="2" fontId="0" fillId="9" borderId="27" xfId="0" quotePrefix="1" applyNumberFormat="1" applyFill="1" applyBorder="1" applyAlignment="1">
      <alignment horizontal="center" vertical="center"/>
    </xf>
    <xf numFmtId="14" fontId="0" fillId="9" borderId="30" xfId="0" quotePrefix="1" applyNumberFormat="1" applyFill="1" applyBorder="1" applyAlignment="1">
      <alignment horizontal="center" vertical="center"/>
    </xf>
    <xf numFmtId="14" fontId="1" fillId="9" borderId="30" xfId="0" quotePrefix="1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6" fillId="3" borderId="8" xfId="0" applyFont="1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5" fillId="9" borderId="32" xfId="0" applyFont="1" applyFill="1" applyBorder="1" applyAlignment="1">
      <alignment horizontal="center" vertical="center"/>
    </xf>
    <xf numFmtId="0" fontId="5" fillId="9" borderId="24" xfId="0" applyFont="1" applyFill="1" applyBorder="1" applyAlignment="1">
      <alignment horizontal="center" vertical="center"/>
    </xf>
    <xf numFmtId="0" fontId="5" fillId="9" borderId="35" xfId="0" applyFont="1" applyFill="1" applyBorder="1" applyAlignment="1">
      <alignment horizontal="center" vertical="center" wrapText="1"/>
    </xf>
    <xf numFmtId="0" fontId="5" fillId="9" borderId="38" xfId="0" applyFont="1" applyFill="1" applyBorder="1" applyAlignment="1">
      <alignment horizontal="center" vertical="center" wrapText="1"/>
    </xf>
    <xf numFmtId="0" fontId="1" fillId="9" borderId="33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9" borderId="34" xfId="0" applyFont="1" applyFill="1" applyBorder="1" applyAlignment="1">
      <alignment horizontal="center" vertical="center"/>
    </xf>
    <xf numFmtId="0" fontId="1" fillId="9" borderId="37" xfId="0" applyFont="1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0" fillId="9" borderId="36" xfId="0" applyFill="1" applyBorder="1" applyAlignment="1">
      <alignment horizontal="center" vertic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59C0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dsgrid">
      <tp t="s">
        <v>Name</v>
        <stp/>
        <stp>6</stp>
        <stp>168051625</stp>
        <tr r="C2" s="2"/>
      </tp>
      <tp t="s">
        <v>Code</v>
        <stp/>
        <stp>7</stp>
        <stp>168051625</stp>
        <tr r="G2" s="3"/>
      </tp>
      <tp>
        <v>5</v>
        <stp/>
        <stp>4</stp>
        <stp>168051625</stp>
        <tr r="D13" s="2"/>
      </tp>
      <tp>
        <v>0.25</v>
        <stp/>
        <stp>5</stp>
        <stp>168051625</stp>
        <tr r="D13" s="4"/>
      </tp>
      <tp t="s">
        <v>Code</v>
        <stp/>
        <stp>2</stp>
        <stp>168051625</stp>
        <tr r="J2" s="3"/>
      </tp>
      <tp t="s">
        <v>Code</v>
        <stp/>
        <stp>3</stp>
        <stp>168051625</stp>
        <tr r="P2" s="3"/>
      </tp>
      <tp t="s">
        <v>Code</v>
        <stp/>
        <stp>1</stp>
        <stp>168051625</stp>
        <tr r="M2" s="3"/>
      </tp>
      <tp t="s">
        <v>Name</v>
        <stp/>
        <stp>8</stp>
        <stp>168051625</stp>
        <tr r="C2" s="4"/>
      </tp>
      <tp t="s">
        <v>Name</v>
        <stp/>
        <stp>9</stp>
        <stp>168051625</stp>
        <tr r="C2" s="9"/>
      </tp>
      <tp t="s">
        <v>Name</v>
        <stp/>
        <stp>18</stp>
        <stp>168051625</stp>
        <tr r="C2" s="5"/>
      </tp>
      <tp t="s">
        <v>Code</v>
        <stp/>
        <stp>19</stp>
        <stp>168051625</stp>
        <tr r="S2" s="3"/>
      </tp>
      <tp>
        <v>4.3499999999999996</v>
        <stp/>
        <stp>16</stp>
        <stp>168051625</stp>
        <tr r="D13" s="7"/>
      </tp>
      <tp t="s">
        <v>Code</v>
        <stp/>
        <stp>17</stp>
        <stp>168051625</stp>
        <tr r="V2" s="3"/>
      </tp>
      <tp t="s">
        <v>$$ER: 0628,CAPRATE.  NO ECONOMIC DATA</v>
        <stp/>
        <stp>24</stp>
        <stp>168051625</stp>
        <tr r="D13" s="6"/>
      </tp>
      <tp t="s">
        <v>Name</v>
        <stp/>
        <stp>14</stp>
        <stp>168051625</stp>
        <tr r="C2" s="7"/>
      </tp>
      <tp t="s">
        <v>Name</v>
        <stp/>
        <stp>25</stp>
        <stp>168051625</stp>
        <tr r="C2" s="6"/>
      </tp>
      <tp t="s">
        <v>Name</v>
        <stp/>
        <stp>15</stp>
        <stp>168051625</stp>
        <tr r="B1" s="11"/>
      </tp>
      <tp t="s">
        <v>Code</v>
        <stp/>
        <stp>22</stp>
        <stp>168051625</stp>
        <tr r="Y2" s="3"/>
      </tp>
      <tp>
        <v>5.5</v>
        <stp/>
        <stp>12</stp>
        <stp>168051625</stp>
        <tr r="D13" s="8"/>
      </tp>
      <tp t="s">
        <v>Name</v>
        <stp/>
        <stp>23</stp>
        <stp>168051625</stp>
        <tr r="B10" s="11"/>
      </tp>
      <tp t="s">
        <v>Name</v>
        <stp/>
        <stp>13</stp>
        <stp>168051625</stp>
        <tr r="C2" s="8"/>
      </tp>
      <tp>
        <v>1</v>
        <stp/>
        <stp>20</stp>
        <stp>168051625</stp>
        <tr r="D10" s="9"/>
      </tp>
      <tp t="s">
        <v>Code</v>
        <stp/>
        <stp>10</stp>
        <stp>168051625</stp>
        <tr r="D2" s="3"/>
      </tp>
      <tp t="s">
        <v>Name</v>
        <stp/>
        <stp>21</stp>
        <stp>168051625</stp>
        <tr r="C2" s="1"/>
      </tp>
      <tp>
        <v>5</v>
        <stp/>
        <stp>11</stp>
        <stp>168051625</stp>
        <tr r="D13" s="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Evolution dans le temps</a:t>
            </a:r>
            <a:r>
              <a:rPr lang="fr-FR" baseline="0"/>
              <a:t> (en points) du spread entre l'estimation de la prochaine réunion et celle de la troisième à venir.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078521970443696E-2"/>
          <c:y val="0.15040498884727571"/>
          <c:w val="0.94541512021228535"/>
          <c:h val="0.80048673234302103"/>
        </c:manualLayout>
      </c:layout>
      <c:lineChart>
        <c:grouping val="standard"/>
        <c:varyColors val="0"/>
        <c:ser>
          <c:idx val="0"/>
          <c:order val="0"/>
          <c:tx>
            <c:strRef>
              <c:f>Spread!$C$22</c:f>
              <c:strCache>
                <c:ptCount val="1"/>
                <c:pt idx="0">
                  <c:v>EUR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Spread!$E$21:$BM$21</c:f>
              <c:numCache>
                <c:formatCode>m/d/yyyy</c:formatCode>
                <c:ptCount val="61"/>
                <c:pt idx="0">
                  <c:v>45520</c:v>
                </c:pt>
                <c:pt idx="1">
                  <c:v>45523</c:v>
                </c:pt>
                <c:pt idx="2">
                  <c:v>45524</c:v>
                </c:pt>
                <c:pt idx="3">
                  <c:v>45525</c:v>
                </c:pt>
                <c:pt idx="4">
                  <c:v>45526</c:v>
                </c:pt>
                <c:pt idx="5">
                  <c:v>45527</c:v>
                </c:pt>
                <c:pt idx="6">
                  <c:v>45530</c:v>
                </c:pt>
                <c:pt idx="7">
                  <c:v>45531</c:v>
                </c:pt>
                <c:pt idx="8">
                  <c:v>45532</c:v>
                </c:pt>
                <c:pt idx="9">
                  <c:v>45533</c:v>
                </c:pt>
                <c:pt idx="10">
                  <c:v>45534</c:v>
                </c:pt>
                <c:pt idx="11">
                  <c:v>45537</c:v>
                </c:pt>
                <c:pt idx="12">
                  <c:v>45538</c:v>
                </c:pt>
                <c:pt idx="13">
                  <c:v>45539</c:v>
                </c:pt>
                <c:pt idx="14">
                  <c:v>45540</c:v>
                </c:pt>
                <c:pt idx="15">
                  <c:v>45541</c:v>
                </c:pt>
                <c:pt idx="16">
                  <c:v>45544</c:v>
                </c:pt>
                <c:pt idx="17">
                  <c:v>45545</c:v>
                </c:pt>
                <c:pt idx="18">
                  <c:v>45546</c:v>
                </c:pt>
                <c:pt idx="19">
                  <c:v>45547</c:v>
                </c:pt>
                <c:pt idx="20">
                  <c:v>45548</c:v>
                </c:pt>
                <c:pt idx="21">
                  <c:v>45551</c:v>
                </c:pt>
                <c:pt idx="22">
                  <c:v>45552</c:v>
                </c:pt>
                <c:pt idx="23">
                  <c:v>45553</c:v>
                </c:pt>
                <c:pt idx="24">
                  <c:v>45554</c:v>
                </c:pt>
                <c:pt idx="25">
                  <c:v>45555</c:v>
                </c:pt>
                <c:pt idx="26">
                  <c:v>45558</c:v>
                </c:pt>
                <c:pt idx="27">
                  <c:v>45559</c:v>
                </c:pt>
                <c:pt idx="28">
                  <c:v>45560</c:v>
                </c:pt>
                <c:pt idx="29">
                  <c:v>45561</c:v>
                </c:pt>
                <c:pt idx="30">
                  <c:v>45562</c:v>
                </c:pt>
                <c:pt idx="31">
                  <c:v>45565</c:v>
                </c:pt>
                <c:pt idx="32">
                  <c:v>45566</c:v>
                </c:pt>
                <c:pt idx="33">
                  <c:v>45567</c:v>
                </c:pt>
                <c:pt idx="34">
                  <c:v>45568</c:v>
                </c:pt>
                <c:pt idx="35">
                  <c:v>45569</c:v>
                </c:pt>
                <c:pt idx="36">
                  <c:v>45572</c:v>
                </c:pt>
                <c:pt idx="37">
                  <c:v>45573</c:v>
                </c:pt>
                <c:pt idx="38">
                  <c:v>45574</c:v>
                </c:pt>
                <c:pt idx="39">
                  <c:v>45575</c:v>
                </c:pt>
                <c:pt idx="40">
                  <c:v>45576</c:v>
                </c:pt>
                <c:pt idx="41">
                  <c:v>45579</c:v>
                </c:pt>
                <c:pt idx="42">
                  <c:v>45580</c:v>
                </c:pt>
                <c:pt idx="43">
                  <c:v>45581</c:v>
                </c:pt>
                <c:pt idx="44">
                  <c:v>45582</c:v>
                </c:pt>
                <c:pt idx="45">
                  <c:v>45583</c:v>
                </c:pt>
                <c:pt idx="46">
                  <c:v>45586</c:v>
                </c:pt>
                <c:pt idx="47">
                  <c:v>45587</c:v>
                </c:pt>
                <c:pt idx="48">
                  <c:v>45588</c:v>
                </c:pt>
                <c:pt idx="49">
                  <c:v>45589</c:v>
                </c:pt>
                <c:pt idx="50">
                  <c:v>45590</c:v>
                </c:pt>
                <c:pt idx="51">
                  <c:v>45593</c:v>
                </c:pt>
                <c:pt idx="52">
                  <c:v>45594</c:v>
                </c:pt>
                <c:pt idx="53">
                  <c:v>45595</c:v>
                </c:pt>
                <c:pt idx="54">
                  <c:v>45596</c:v>
                </c:pt>
                <c:pt idx="55">
                  <c:v>45597</c:v>
                </c:pt>
                <c:pt idx="56">
                  <c:v>45600</c:v>
                </c:pt>
                <c:pt idx="57">
                  <c:v>45601</c:v>
                </c:pt>
                <c:pt idx="58">
                  <c:v>45602</c:v>
                </c:pt>
                <c:pt idx="59">
                  <c:v>45603</c:v>
                </c:pt>
                <c:pt idx="60">
                  <c:v>45604</c:v>
                </c:pt>
              </c:numCache>
            </c:numRef>
          </c:cat>
          <c:val>
            <c:numRef>
              <c:f>Spread!$E$22:$BM$22</c:f>
            </c:numRef>
          </c:val>
          <c:smooth val="0"/>
          <c:extLst>
            <c:ext xmlns:c16="http://schemas.microsoft.com/office/drawing/2014/chart" uri="{C3380CC4-5D6E-409C-BE32-E72D297353CC}">
              <c16:uniqueId val="{00000000-1D66-4152-8D38-D54A03B8097E}"/>
            </c:ext>
          </c:extLst>
        </c:ser>
        <c:ser>
          <c:idx val="1"/>
          <c:order val="1"/>
          <c:tx>
            <c:strRef>
              <c:f>Spread!$C$23</c:f>
              <c:strCache>
                <c:ptCount val="1"/>
                <c:pt idx="0">
                  <c:v>GBP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Spread!$E$21:$BM$21</c:f>
              <c:numCache>
                <c:formatCode>m/d/yyyy</c:formatCode>
                <c:ptCount val="61"/>
                <c:pt idx="0">
                  <c:v>45520</c:v>
                </c:pt>
                <c:pt idx="1">
                  <c:v>45523</c:v>
                </c:pt>
                <c:pt idx="2">
                  <c:v>45524</c:v>
                </c:pt>
                <c:pt idx="3">
                  <c:v>45525</c:v>
                </c:pt>
                <c:pt idx="4">
                  <c:v>45526</c:v>
                </c:pt>
                <c:pt idx="5">
                  <c:v>45527</c:v>
                </c:pt>
                <c:pt idx="6">
                  <c:v>45530</c:v>
                </c:pt>
                <c:pt idx="7">
                  <c:v>45531</c:v>
                </c:pt>
                <c:pt idx="8">
                  <c:v>45532</c:v>
                </c:pt>
                <c:pt idx="9">
                  <c:v>45533</c:v>
                </c:pt>
                <c:pt idx="10">
                  <c:v>45534</c:v>
                </c:pt>
                <c:pt idx="11">
                  <c:v>45537</c:v>
                </c:pt>
                <c:pt idx="12">
                  <c:v>45538</c:v>
                </c:pt>
                <c:pt idx="13">
                  <c:v>45539</c:v>
                </c:pt>
                <c:pt idx="14">
                  <c:v>45540</c:v>
                </c:pt>
                <c:pt idx="15">
                  <c:v>45541</c:v>
                </c:pt>
                <c:pt idx="16">
                  <c:v>45544</c:v>
                </c:pt>
                <c:pt idx="17">
                  <c:v>45545</c:v>
                </c:pt>
                <c:pt idx="18">
                  <c:v>45546</c:v>
                </c:pt>
                <c:pt idx="19">
                  <c:v>45547</c:v>
                </c:pt>
                <c:pt idx="20">
                  <c:v>45548</c:v>
                </c:pt>
                <c:pt idx="21">
                  <c:v>45551</c:v>
                </c:pt>
                <c:pt idx="22">
                  <c:v>45552</c:v>
                </c:pt>
                <c:pt idx="23">
                  <c:v>45553</c:v>
                </c:pt>
                <c:pt idx="24">
                  <c:v>45554</c:v>
                </c:pt>
                <c:pt idx="25">
                  <c:v>45555</c:v>
                </c:pt>
                <c:pt idx="26">
                  <c:v>45558</c:v>
                </c:pt>
                <c:pt idx="27">
                  <c:v>45559</c:v>
                </c:pt>
                <c:pt idx="28">
                  <c:v>45560</c:v>
                </c:pt>
                <c:pt idx="29">
                  <c:v>45561</c:v>
                </c:pt>
                <c:pt idx="30">
                  <c:v>45562</c:v>
                </c:pt>
                <c:pt idx="31">
                  <c:v>45565</c:v>
                </c:pt>
                <c:pt idx="32">
                  <c:v>45566</c:v>
                </c:pt>
                <c:pt idx="33">
                  <c:v>45567</c:v>
                </c:pt>
                <c:pt idx="34">
                  <c:v>45568</c:v>
                </c:pt>
                <c:pt idx="35">
                  <c:v>45569</c:v>
                </c:pt>
                <c:pt idx="36">
                  <c:v>45572</c:v>
                </c:pt>
                <c:pt idx="37">
                  <c:v>45573</c:v>
                </c:pt>
                <c:pt idx="38">
                  <c:v>45574</c:v>
                </c:pt>
                <c:pt idx="39">
                  <c:v>45575</c:v>
                </c:pt>
                <c:pt idx="40">
                  <c:v>45576</c:v>
                </c:pt>
                <c:pt idx="41">
                  <c:v>45579</c:v>
                </c:pt>
                <c:pt idx="42">
                  <c:v>45580</c:v>
                </c:pt>
                <c:pt idx="43">
                  <c:v>45581</c:v>
                </c:pt>
                <c:pt idx="44">
                  <c:v>45582</c:v>
                </c:pt>
                <c:pt idx="45">
                  <c:v>45583</c:v>
                </c:pt>
                <c:pt idx="46">
                  <c:v>45586</c:v>
                </c:pt>
                <c:pt idx="47">
                  <c:v>45587</c:v>
                </c:pt>
                <c:pt idx="48">
                  <c:v>45588</c:v>
                </c:pt>
                <c:pt idx="49">
                  <c:v>45589</c:v>
                </c:pt>
                <c:pt idx="50">
                  <c:v>45590</c:v>
                </c:pt>
                <c:pt idx="51">
                  <c:v>45593</c:v>
                </c:pt>
                <c:pt idx="52">
                  <c:v>45594</c:v>
                </c:pt>
                <c:pt idx="53">
                  <c:v>45595</c:v>
                </c:pt>
                <c:pt idx="54">
                  <c:v>45596</c:v>
                </c:pt>
                <c:pt idx="55">
                  <c:v>45597</c:v>
                </c:pt>
                <c:pt idx="56">
                  <c:v>45600</c:v>
                </c:pt>
                <c:pt idx="57">
                  <c:v>45601</c:v>
                </c:pt>
                <c:pt idx="58">
                  <c:v>45602</c:v>
                </c:pt>
                <c:pt idx="59">
                  <c:v>45603</c:v>
                </c:pt>
                <c:pt idx="60">
                  <c:v>45604</c:v>
                </c:pt>
              </c:numCache>
            </c:numRef>
          </c:cat>
          <c:val>
            <c:numRef>
              <c:f>Spread!$E$23:$BM$23</c:f>
              <c:numCache>
                <c:formatCode>General</c:formatCode>
                <c:ptCount val="61"/>
                <c:pt idx="0">
                  <c:v>0.32680000000000042</c:v>
                </c:pt>
                <c:pt idx="1">
                  <c:v>0.3327</c:v>
                </c:pt>
                <c:pt idx="2">
                  <c:v>0.32640000000000047</c:v>
                </c:pt>
                <c:pt idx="3">
                  <c:v>0.34480000000000022</c:v>
                </c:pt>
                <c:pt idx="4">
                  <c:v>0.33209999999999962</c:v>
                </c:pt>
                <c:pt idx="5">
                  <c:v>0.36879999999999935</c:v>
                </c:pt>
                <c:pt idx="6">
                  <c:v>0.36870000000000047</c:v>
                </c:pt>
                <c:pt idx="7">
                  <c:v>0.35789999999999988</c:v>
                </c:pt>
                <c:pt idx="8">
                  <c:v>0.34419999999999984</c:v>
                </c:pt>
                <c:pt idx="9">
                  <c:v>0.34090000000000042</c:v>
                </c:pt>
                <c:pt idx="10">
                  <c:v>0.34689999999999976</c:v>
                </c:pt>
                <c:pt idx="11">
                  <c:v>0.34309999999999974</c:v>
                </c:pt>
                <c:pt idx="12">
                  <c:v>0.34630000000000027</c:v>
                </c:pt>
                <c:pt idx="13">
                  <c:v>0.35790000000000077</c:v>
                </c:pt>
                <c:pt idx="14">
                  <c:v>0.35949999999999971</c:v>
                </c:pt>
                <c:pt idx="15">
                  <c:v>0.38189999999999991</c:v>
                </c:pt>
                <c:pt idx="16">
                  <c:v>0.40610000000000035</c:v>
                </c:pt>
                <c:pt idx="17">
                  <c:v>0.40069999999999961</c:v>
                </c:pt>
                <c:pt idx="18">
                  <c:v>0.44539999999999935</c:v>
                </c:pt>
                <c:pt idx="19">
                  <c:v>0.40840000000000032</c:v>
                </c:pt>
                <c:pt idx="20">
                  <c:v>0.43900000000000006</c:v>
                </c:pt>
                <c:pt idx="21">
                  <c:v>0.45720000000000027</c:v>
                </c:pt>
                <c:pt idx="22">
                  <c:v>0.44310000000000027</c:v>
                </c:pt>
                <c:pt idx="23">
                  <c:v>0.4352999999999998</c:v>
                </c:pt>
                <c:pt idx="24">
                  <c:v>0.3902000000000001</c:v>
                </c:pt>
                <c:pt idx="25">
                  <c:v>0.39480000000000004</c:v>
                </c:pt>
                <c:pt idx="26">
                  <c:v>0.42239999999999966</c:v>
                </c:pt>
                <c:pt idx="27">
                  <c:v>0.41059999999999963</c:v>
                </c:pt>
                <c:pt idx="28">
                  <c:v>0.38240000000000052</c:v>
                </c:pt>
                <c:pt idx="29">
                  <c:v>0.38109999999999999</c:v>
                </c:pt>
                <c:pt idx="30">
                  <c:v>0.42020000000000035</c:v>
                </c:pt>
                <c:pt idx="31">
                  <c:v>0.38609999999999989</c:v>
                </c:pt>
                <c:pt idx="32">
                  <c:v>0.38930000000000042</c:v>
                </c:pt>
                <c:pt idx="33">
                  <c:v>0.37750000000000039</c:v>
                </c:pt>
                <c:pt idx="34">
                  <c:v>0.43310000000000048</c:v>
                </c:pt>
                <c:pt idx="35">
                  <c:v>0.36979999999999968</c:v>
                </c:pt>
                <c:pt idx="36">
                  <c:v>0.32980000000000054</c:v>
                </c:pt>
                <c:pt idx="37">
                  <c:v>0.34830000000000005</c:v>
                </c:pt>
                <c:pt idx="38">
                  <c:v>0.34890000000000043</c:v>
                </c:pt>
                <c:pt idx="39">
                  <c:v>0.35949999999999971</c:v>
                </c:pt>
                <c:pt idx="40">
                  <c:v>0.35310000000000041</c:v>
                </c:pt>
                <c:pt idx="41">
                  <c:v>0.33059999999999956</c:v>
                </c:pt>
                <c:pt idx="42">
                  <c:v>0.34980000000000011</c:v>
                </c:pt>
                <c:pt idx="43">
                  <c:v>0.40599999999999969</c:v>
                </c:pt>
                <c:pt idx="44">
                  <c:v>0.39920000000000044</c:v>
                </c:pt>
                <c:pt idx="45">
                  <c:v>0.38200000000000056</c:v>
                </c:pt>
                <c:pt idx="46">
                  <c:v>0.36319999999999997</c:v>
                </c:pt>
                <c:pt idx="47">
                  <c:v>0.37819999999999965</c:v>
                </c:pt>
                <c:pt idx="48">
                  <c:v>0.38149999999999995</c:v>
                </c:pt>
                <c:pt idx="49">
                  <c:v>0.36490000000000045</c:v>
                </c:pt>
                <c:pt idx="50">
                  <c:v>0.35200000000000031</c:v>
                </c:pt>
                <c:pt idx="51">
                  <c:v>0.36570000000000036</c:v>
                </c:pt>
                <c:pt idx="52">
                  <c:v>0.36280000000000001</c:v>
                </c:pt>
                <c:pt idx="53">
                  <c:v>0.28099999999999969</c:v>
                </c:pt>
                <c:pt idx="54">
                  <c:v>0.29110000000000014</c:v>
                </c:pt>
                <c:pt idx="55">
                  <c:v>0.27660000000000018</c:v>
                </c:pt>
                <c:pt idx="56">
                  <c:v>0.25879999999999992</c:v>
                </c:pt>
                <c:pt idx="57">
                  <c:v>0.25760000000000005</c:v>
                </c:pt>
                <c:pt idx="58">
                  <c:v>0.28840000000000021</c:v>
                </c:pt>
                <c:pt idx="59">
                  <c:v>0.25320000000000054</c:v>
                </c:pt>
                <c:pt idx="60">
                  <c:v>0.25229999999999997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66-4152-8D38-D54A03B8097E}"/>
            </c:ext>
          </c:extLst>
        </c:ser>
        <c:ser>
          <c:idx val="2"/>
          <c:order val="2"/>
          <c:tx>
            <c:strRef>
              <c:f>Spread!$C$24</c:f>
              <c:strCache>
                <c:ptCount val="1"/>
                <c:pt idx="0">
                  <c:v>USD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Spread!$E$21:$BM$21</c:f>
              <c:numCache>
                <c:formatCode>m/d/yyyy</c:formatCode>
                <c:ptCount val="61"/>
                <c:pt idx="0">
                  <c:v>45520</c:v>
                </c:pt>
                <c:pt idx="1">
                  <c:v>45523</c:v>
                </c:pt>
                <c:pt idx="2">
                  <c:v>45524</c:v>
                </c:pt>
                <c:pt idx="3">
                  <c:v>45525</c:v>
                </c:pt>
                <c:pt idx="4">
                  <c:v>45526</c:v>
                </c:pt>
                <c:pt idx="5">
                  <c:v>45527</c:v>
                </c:pt>
                <c:pt idx="6">
                  <c:v>45530</c:v>
                </c:pt>
                <c:pt idx="7">
                  <c:v>45531</c:v>
                </c:pt>
                <c:pt idx="8">
                  <c:v>45532</c:v>
                </c:pt>
                <c:pt idx="9">
                  <c:v>45533</c:v>
                </c:pt>
                <c:pt idx="10">
                  <c:v>45534</c:v>
                </c:pt>
                <c:pt idx="11">
                  <c:v>45537</c:v>
                </c:pt>
                <c:pt idx="12">
                  <c:v>45538</c:v>
                </c:pt>
                <c:pt idx="13">
                  <c:v>45539</c:v>
                </c:pt>
                <c:pt idx="14">
                  <c:v>45540</c:v>
                </c:pt>
                <c:pt idx="15">
                  <c:v>45541</c:v>
                </c:pt>
                <c:pt idx="16">
                  <c:v>45544</c:v>
                </c:pt>
                <c:pt idx="17">
                  <c:v>45545</c:v>
                </c:pt>
                <c:pt idx="18">
                  <c:v>45546</c:v>
                </c:pt>
                <c:pt idx="19">
                  <c:v>45547</c:v>
                </c:pt>
                <c:pt idx="20">
                  <c:v>45548</c:v>
                </c:pt>
                <c:pt idx="21">
                  <c:v>45551</c:v>
                </c:pt>
                <c:pt idx="22">
                  <c:v>45552</c:v>
                </c:pt>
                <c:pt idx="23">
                  <c:v>45553</c:v>
                </c:pt>
                <c:pt idx="24">
                  <c:v>45554</c:v>
                </c:pt>
                <c:pt idx="25">
                  <c:v>45555</c:v>
                </c:pt>
                <c:pt idx="26">
                  <c:v>45558</c:v>
                </c:pt>
                <c:pt idx="27">
                  <c:v>45559</c:v>
                </c:pt>
                <c:pt idx="28">
                  <c:v>45560</c:v>
                </c:pt>
                <c:pt idx="29">
                  <c:v>45561</c:v>
                </c:pt>
                <c:pt idx="30">
                  <c:v>45562</c:v>
                </c:pt>
                <c:pt idx="31">
                  <c:v>45565</c:v>
                </c:pt>
                <c:pt idx="32">
                  <c:v>45566</c:v>
                </c:pt>
                <c:pt idx="33">
                  <c:v>45567</c:v>
                </c:pt>
                <c:pt idx="34">
                  <c:v>45568</c:v>
                </c:pt>
                <c:pt idx="35">
                  <c:v>45569</c:v>
                </c:pt>
                <c:pt idx="36">
                  <c:v>45572</c:v>
                </c:pt>
                <c:pt idx="37">
                  <c:v>45573</c:v>
                </c:pt>
                <c:pt idx="38">
                  <c:v>45574</c:v>
                </c:pt>
                <c:pt idx="39">
                  <c:v>45575</c:v>
                </c:pt>
                <c:pt idx="40">
                  <c:v>45576</c:v>
                </c:pt>
                <c:pt idx="41">
                  <c:v>45579</c:v>
                </c:pt>
                <c:pt idx="42">
                  <c:v>45580</c:v>
                </c:pt>
                <c:pt idx="43">
                  <c:v>45581</c:v>
                </c:pt>
                <c:pt idx="44">
                  <c:v>45582</c:v>
                </c:pt>
                <c:pt idx="45">
                  <c:v>45583</c:v>
                </c:pt>
                <c:pt idx="46">
                  <c:v>45586</c:v>
                </c:pt>
                <c:pt idx="47">
                  <c:v>45587</c:v>
                </c:pt>
                <c:pt idx="48">
                  <c:v>45588</c:v>
                </c:pt>
                <c:pt idx="49">
                  <c:v>45589</c:v>
                </c:pt>
                <c:pt idx="50">
                  <c:v>45590</c:v>
                </c:pt>
                <c:pt idx="51">
                  <c:v>45593</c:v>
                </c:pt>
                <c:pt idx="52">
                  <c:v>45594</c:v>
                </c:pt>
                <c:pt idx="53">
                  <c:v>45595</c:v>
                </c:pt>
                <c:pt idx="54">
                  <c:v>45596</c:v>
                </c:pt>
                <c:pt idx="55">
                  <c:v>45597</c:v>
                </c:pt>
                <c:pt idx="56">
                  <c:v>45600</c:v>
                </c:pt>
                <c:pt idx="57">
                  <c:v>45601</c:v>
                </c:pt>
                <c:pt idx="58">
                  <c:v>45602</c:v>
                </c:pt>
                <c:pt idx="59">
                  <c:v>45603</c:v>
                </c:pt>
                <c:pt idx="60">
                  <c:v>45604</c:v>
                </c:pt>
              </c:numCache>
            </c:numRef>
          </c:cat>
          <c:val>
            <c:numRef>
              <c:f>Spread!$E$24:$BM$24</c:f>
            </c:numRef>
          </c:val>
          <c:smooth val="0"/>
          <c:extLst>
            <c:ext xmlns:c16="http://schemas.microsoft.com/office/drawing/2014/chart" uri="{C3380CC4-5D6E-409C-BE32-E72D297353CC}">
              <c16:uniqueId val="{00000002-1D66-4152-8D38-D54A03B8097E}"/>
            </c:ext>
          </c:extLst>
        </c:ser>
        <c:ser>
          <c:idx val="3"/>
          <c:order val="3"/>
          <c:tx>
            <c:strRef>
              <c:f>Spread!$C$25</c:f>
              <c:strCache>
                <c:ptCount val="1"/>
                <c:pt idx="0">
                  <c:v>JPY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Spread!$E$21:$BM$21</c:f>
              <c:numCache>
                <c:formatCode>m/d/yyyy</c:formatCode>
                <c:ptCount val="61"/>
                <c:pt idx="0">
                  <c:v>45520</c:v>
                </c:pt>
                <c:pt idx="1">
                  <c:v>45523</c:v>
                </c:pt>
                <c:pt idx="2">
                  <c:v>45524</c:v>
                </c:pt>
                <c:pt idx="3">
                  <c:v>45525</c:v>
                </c:pt>
                <c:pt idx="4">
                  <c:v>45526</c:v>
                </c:pt>
                <c:pt idx="5">
                  <c:v>45527</c:v>
                </c:pt>
                <c:pt idx="6">
                  <c:v>45530</c:v>
                </c:pt>
                <c:pt idx="7">
                  <c:v>45531</c:v>
                </c:pt>
                <c:pt idx="8">
                  <c:v>45532</c:v>
                </c:pt>
                <c:pt idx="9">
                  <c:v>45533</c:v>
                </c:pt>
                <c:pt idx="10">
                  <c:v>45534</c:v>
                </c:pt>
                <c:pt idx="11">
                  <c:v>45537</c:v>
                </c:pt>
                <c:pt idx="12">
                  <c:v>45538</c:v>
                </c:pt>
                <c:pt idx="13">
                  <c:v>45539</c:v>
                </c:pt>
                <c:pt idx="14">
                  <c:v>45540</c:v>
                </c:pt>
                <c:pt idx="15">
                  <c:v>45541</c:v>
                </c:pt>
                <c:pt idx="16">
                  <c:v>45544</c:v>
                </c:pt>
                <c:pt idx="17">
                  <c:v>45545</c:v>
                </c:pt>
                <c:pt idx="18">
                  <c:v>45546</c:v>
                </c:pt>
                <c:pt idx="19">
                  <c:v>45547</c:v>
                </c:pt>
                <c:pt idx="20">
                  <c:v>45548</c:v>
                </c:pt>
                <c:pt idx="21">
                  <c:v>45551</c:v>
                </c:pt>
                <c:pt idx="22">
                  <c:v>45552</c:v>
                </c:pt>
                <c:pt idx="23">
                  <c:v>45553</c:v>
                </c:pt>
                <c:pt idx="24">
                  <c:v>45554</c:v>
                </c:pt>
                <c:pt idx="25">
                  <c:v>45555</c:v>
                </c:pt>
                <c:pt idx="26">
                  <c:v>45558</c:v>
                </c:pt>
                <c:pt idx="27">
                  <c:v>45559</c:v>
                </c:pt>
                <c:pt idx="28">
                  <c:v>45560</c:v>
                </c:pt>
                <c:pt idx="29">
                  <c:v>45561</c:v>
                </c:pt>
                <c:pt idx="30">
                  <c:v>45562</c:v>
                </c:pt>
                <c:pt idx="31">
                  <c:v>45565</c:v>
                </c:pt>
                <c:pt idx="32">
                  <c:v>45566</c:v>
                </c:pt>
                <c:pt idx="33">
                  <c:v>45567</c:v>
                </c:pt>
                <c:pt idx="34">
                  <c:v>45568</c:v>
                </c:pt>
                <c:pt idx="35">
                  <c:v>45569</c:v>
                </c:pt>
                <c:pt idx="36">
                  <c:v>45572</c:v>
                </c:pt>
                <c:pt idx="37">
                  <c:v>45573</c:v>
                </c:pt>
                <c:pt idx="38">
                  <c:v>45574</c:v>
                </c:pt>
                <c:pt idx="39">
                  <c:v>45575</c:v>
                </c:pt>
                <c:pt idx="40">
                  <c:v>45576</c:v>
                </c:pt>
                <c:pt idx="41">
                  <c:v>45579</c:v>
                </c:pt>
                <c:pt idx="42">
                  <c:v>45580</c:v>
                </c:pt>
                <c:pt idx="43">
                  <c:v>45581</c:v>
                </c:pt>
                <c:pt idx="44">
                  <c:v>45582</c:v>
                </c:pt>
                <c:pt idx="45">
                  <c:v>45583</c:v>
                </c:pt>
                <c:pt idx="46">
                  <c:v>45586</c:v>
                </c:pt>
                <c:pt idx="47">
                  <c:v>45587</c:v>
                </c:pt>
                <c:pt idx="48">
                  <c:v>45588</c:v>
                </c:pt>
                <c:pt idx="49">
                  <c:v>45589</c:v>
                </c:pt>
                <c:pt idx="50">
                  <c:v>45590</c:v>
                </c:pt>
                <c:pt idx="51">
                  <c:v>45593</c:v>
                </c:pt>
                <c:pt idx="52">
                  <c:v>45594</c:v>
                </c:pt>
                <c:pt idx="53">
                  <c:v>45595</c:v>
                </c:pt>
                <c:pt idx="54">
                  <c:v>45596</c:v>
                </c:pt>
                <c:pt idx="55">
                  <c:v>45597</c:v>
                </c:pt>
                <c:pt idx="56">
                  <c:v>45600</c:v>
                </c:pt>
                <c:pt idx="57">
                  <c:v>45601</c:v>
                </c:pt>
                <c:pt idx="58">
                  <c:v>45602</c:v>
                </c:pt>
                <c:pt idx="59">
                  <c:v>45603</c:v>
                </c:pt>
                <c:pt idx="60">
                  <c:v>45604</c:v>
                </c:pt>
              </c:numCache>
            </c:numRef>
          </c:cat>
          <c:val>
            <c:numRef>
              <c:f>Spread!$E$25:$BM$25</c:f>
            </c:numRef>
          </c:val>
          <c:smooth val="0"/>
          <c:extLst>
            <c:ext xmlns:c16="http://schemas.microsoft.com/office/drawing/2014/chart" uri="{C3380CC4-5D6E-409C-BE32-E72D297353CC}">
              <c16:uniqueId val="{00000003-1D66-4152-8D38-D54A03B8097E}"/>
            </c:ext>
          </c:extLst>
        </c:ser>
        <c:ser>
          <c:idx val="4"/>
          <c:order val="4"/>
          <c:tx>
            <c:strRef>
              <c:f>Spread!$C$26</c:f>
              <c:strCache>
                <c:ptCount val="1"/>
                <c:pt idx="0">
                  <c:v>AUD</c:v>
                </c:pt>
              </c:strCache>
            </c:strRef>
          </c:tx>
          <c:spPr>
            <a:ln w="349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Spread!$E$21:$BM$21</c:f>
              <c:numCache>
                <c:formatCode>m/d/yyyy</c:formatCode>
                <c:ptCount val="61"/>
                <c:pt idx="0">
                  <c:v>45520</c:v>
                </c:pt>
                <c:pt idx="1">
                  <c:v>45523</c:v>
                </c:pt>
                <c:pt idx="2">
                  <c:v>45524</c:v>
                </c:pt>
                <c:pt idx="3">
                  <c:v>45525</c:v>
                </c:pt>
                <c:pt idx="4">
                  <c:v>45526</c:v>
                </c:pt>
                <c:pt idx="5">
                  <c:v>45527</c:v>
                </c:pt>
                <c:pt idx="6">
                  <c:v>45530</c:v>
                </c:pt>
                <c:pt idx="7">
                  <c:v>45531</c:v>
                </c:pt>
                <c:pt idx="8">
                  <c:v>45532</c:v>
                </c:pt>
                <c:pt idx="9">
                  <c:v>45533</c:v>
                </c:pt>
                <c:pt idx="10">
                  <c:v>45534</c:v>
                </c:pt>
                <c:pt idx="11">
                  <c:v>45537</c:v>
                </c:pt>
                <c:pt idx="12">
                  <c:v>45538</c:v>
                </c:pt>
                <c:pt idx="13">
                  <c:v>45539</c:v>
                </c:pt>
                <c:pt idx="14">
                  <c:v>45540</c:v>
                </c:pt>
                <c:pt idx="15">
                  <c:v>45541</c:v>
                </c:pt>
                <c:pt idx="16">
                  <c:v>45544</c:v>
                </c:pt>
                <c:pt idx="17">
                  <c:v>45545</c:v>
                </c:pt>
                <c:pt idx="18">
                  <c:v>45546</c:v>
                </c:pt>
                <c:pt idx="19">
                  <c:v>45547</c:v>
                </c:pt>
                <c:pt idx="20">
                  <c:v>45548</c:v>
                </c:pt>
                <c:pt idx="21">
                  <c:v>45551</c:v>
                </c:pt>
                <c:pt idx="22">
                  <c:v>45552</c:v>
                </c:pt>
                <c:pt idx="23">
                  <c:v>45553</c:v>
                </c:pt>
                <c:pt idx="24">
                  <c:v>45554</c:v>
                </c:pt>
                <c:pt idx="25">
                  <c:v>45555</c:v>
                </c:pt>
                <c:pt idx="26">
                  <c:v>45558</c:v>
                </c:pt>
                <c:pt idx="27">
                  <c:v>45559</c:v>
                </c:pt>
                <c:pt idx="28">
                  <c:v>45560</c:v>
                </c:pt>
                <c:pt idx="29">
                  <c:v>45561</c:v>
                </c:pt>
                <c:pt idx="30">
                  <c:v>45562</c:v>
                </c:pt>
                <c:pt idx="31">
                  <c:v>45565</c:v>
                </c:pt>
                <c:pt idx="32">
                  <c:v>45566</c:v>
                </c:pt>
                <c:pt idx="33">
                  <c:v>45567</c:v>
                </c:pt>
                <c:pt idx="34">
                  <c:v>45568</c:v>
                </c:pt>
                <c:pt idx="35">
                  <c:v>45569</c:v>
                </c:pt>
                <c:pt idx="36">
                  <c:v>45572</c:v>
                </c:pt>
                <c:pt idx="37">
                  <c:v>45573</c:v>
                </c:pt>
                <c:pt idx="38">
                  <c:v>45574</c:v>
                </c:pt>
                <c:pt idx="39">
                  <c:v>45575</c:v>
                </c:pt>
                <c:pt idx="40">
                  <c:v>45576</c:v>
                </c:pt>
                <c:pt idx="41">
                  <c:v>45579</c:v>
                </c:pt>
                <c:pt idx="42">
                  <c:v>45580</c:v>
                </c:pt>
                <c:pt idx="43">
                  <c:v>45581</c:v>
                </c:pt>
                <c:pt idx="44">
                  <c:v>45582</c:v>
                </c:pt>
                <c:pt idx="45">
                  <c:v>45583</c:v>
                </c:pt>
                <c:pt idx="46">
                  <c:v>45586</c:v>
                </c:pt>
                <c:pt idx="47">
                  <c:v>45587</c:v>
                </c:pt>
                <c:pt idx="48">
                  <c:v>45588</c:v>
                </c:pt>
                <c:pt idx="49">
                  <c:v>45589</c:v>
                </c:pt>
                <c:pt idx="50">
                  <c:v>45590</c:v>
                </c:pt>
                <c:pt idx="51">
                  <c:v>45593</c:v>
                </c:pt>
                <c:pt idx="52">
                  <c:v>45594</c:v>
                </c:pt>
                <c:pt idx="53">
                  <c:v>45595</c:v>
                </c:pt>
                <c:pt idx="54">
                  <c:v>45596</c:v>
                </c:pt>
                <c:pt idx="55">
                  <c:v>45597</c:v>
                </c:pt>
                <c:pt idx="56">
                  <c:v>45600</c:v>
                </c:pt>
                <c:pt idx="57">
                  <c:v>45601</c:v>
                </c:pt>
                <c:pt idx="58">
                  <c:v>45602</c:v>
                </c:pt>
                <c:pt idx="59">
                  <c:v>45603</c:v>
                </c:pt>
                <c:pt idx="60">
                  <c:v>45604</c:v>
                </c:pt>
              </c:numCache>
            </c:numRef>
          </c:cat>
          <c:val>
            <c:numRef>
              <c:f>Spread!$E$26:$BM$26</c:f>
            </c:numRef>
          </c:val>
          <c:smooth val="0"/>
          <c:extLst>
            <c:ext xmlns:c16="http://schemas.microsoft.com/office/drawing/2014/chart" uri="{C3380CC4-5D6E-409C-BE32-E72D297353CC}">
              <c16:uniqueId val="{00000004-1D66-4152-8D38-D54A03B8097E}"/>
            </c:ext>
          </c:extLst>
        </c:ser>
        <c:ser>
          <c:idx val="5"/>
          <c:order val="5"/>
          <c:tx>
            <c:strRef>
              <c:f>Spread!$C$27</c:f>
              <c:strCache>
                <c:ptCount val="1"/>
                <c:pt idx="0">
                  <c:v>NZD</c:v>
                </c:pt>
              </c:strCache>
            </c:strRef>
          </c:tx>
          <c:spPr>
            <a:ln w="349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Spread!$E$21:$BM$21</c:f>
              <c:numCache>
                <c:formatCode>m/d/yyyy</c:formatCode>
                <c:ptCount val="61"/>
                <c:pt idx="0">
                  <c:v>45520</c:v>
                </c:pt>
                <c:pt idx="1">
                  <c:v>45523</c:v>
                </c:pt>
                <c:pt idx="2">
                  <c:v>45524</c:v>
                </c:pt>
                <c:pt idx="3">
                  <c:v>45525</c:v>
                </c:pt>
                <c:pt idx="4">
                  <c:v>45526</c:v>
                </c:pt>
                <c:pt idx="5">
                  <c:v>45527</c:v>
                </c:pt>
                <c:pt idx="6">
                  <c:v>45530</c:v>
                </c:pt>
                <c:pt idx="7">
                  <c:v>45531</c:v>
                </c:pt>
                <c:pt idx="8">
                  <c:v>45532</c:v>
                </c:pt>
                <c:pt idx="9">
                  <c:v>45533</c:v>
                </c:pt>
                <c:pt idx="10">
                  <c:v>45534</c:v>
                </c:pt>
                <c:pt idx="11">
                  <c:v>45537</c:v>
                </c:pt>
                <c:pt idx="12">
                  <c:v>45538</c:v>
                </c:pt>
                <c:pt idx="13">
                  <c:v>45539</c:v>
                </c:pt>
                <c:pt idx="14">
                  <c:v>45540</c:v>
                </c:pt>
                <c:pt idx="15">
                  <c:v>45541</c:v>
                </c:pt>
                <c:pt idx="16">
                  <c:v>45544</c:v>
                </c:pt>
                <c:pt idx="17">
                  <c:v>45545</c:v>
                </c:pt>
                <c:pt idx="18">
                  <c:v>45546</c:v>
                </c:pt>
                <c:pt idx="19">
                  <c:v>45547</c:v>
                </c:pt>
                <c:pt idx="20">
                  <c:v>45548</c:v>
                </c:pt>
                <c:pt idx="21">
                  <c:v>45551</c:v>
                </c:pt>
                <c:pt idx="22">
                  <c:v>45552</c:v>
                </c:pt>
                <c:pt idx="23">
                  <c:v>45553</c:v>
                </c:pt>
                <c:pt idx="24">
                  <c:v>45554</c:v>
                </c:pt>
                <c:pt idx="25">
                  <c:v>45555</c:v>
                </c:pt>
                <c:pt idx="26">
                  <c:v>45558</c:v>
                </c:pt>
                <c:pt idx="27">
                  <c:v>45559</c:v>
                </c:pt>
                <c:pt idx="28">
                  <c:v>45560</c:v>
                </c:pt>
                <c:pt idx="29">
                  <c:v>45561</c:v>
                </c:pt>
                <c:pt idx="30">
                  <c:v>45562</c:v>
                </c:pt>
                <c:pt idx="31">
                  <c:v>45565</c:v>
                </c:pt>
                <c:pt idx="32">
                  <c:v>45566</c:v>
                </c:pt>
                <c:pt idx="33">
                  <c:v>45567</c:v>
                </c:pt>
                <c:pt idx="34">
                  <c:v>45568</c:v>
                </c:pt>
                <c:pt idx="35">
                  <c:v>45569</c:v>
                </c:pt>
                <c:pt idx="36">
                  <c:v>45572</c:v>
                </c:pt>
                <c:pt idx="37">
                  <c:v>45573</c:v>
                </c:pt>
                <c:pt idx="38">
                  <c:v>45574</c:v>
                </c:pt>
                <c:pt idx="39">
                  <c:v>45575</c:v>
                </c:pt>
                <c:pt idx="40">
                  <c:v>45576</c:v>
                </c:pt>
                <c:pt idx="41">
                  <c:v>45579</c:v>
                </c:pt>
                <c:pt idx="42">
                  <c:v>45580</c:v>
                </c:pt>
                <c:pt idx="43">
                  <c:v>45581</c:v>
                </c:pt>
                <c:pt idx="44">
                  <c:v>45582</c:v>
                </c:pt>
                <c:pt idx="45">
                  <c:v>45583</c:v>
                </c:pt>
                <c:pt idx="46">
                  <c:v>45586</c:v>
                </c:pt>
                <c:pt idx="47">
                  <c:v>45587</c:v>
                </c:pt>
                <c:pt idx="48">
                  <c:v>45588</c:v>
                </c:pt>
                <c:pt idx="49">
                  <c:v>45589</c:v>
                </c:pt>
                <c:pt idx="50">
                  <c:v>45590</c:v>
                </c:pt>
                <c:pt idx="51">
                  <c:v>45593</c:v>
                </c:pt>
                <c:pt idx="52">
                  <c:v>45594</c:v>
                </c:pt>
                <c:pt idx="53">
                  <c:v>45595</c:v>
                </c:pt>
                <c:pt idx="54">
                  <c:v>45596</c:v>
                </c:pt>
                <c:pt idx="55">
                  <c:v>45597</c:v>
                </c:pt>
                <c:pt idx="56">
                  <c:v>45600</c:v>
                </c:pt>
                <c:pt idx="57">
                  <c:v>45601</c:v>
                </c:pt>
                <c:pt idx="58">
                  <c:v>45602</c:v>
                </c:pt>
                <c:pt idx="59">
                  <c:v>45603</c:v>
                </c:pt>
                <c:pt idx="60">
                  <c:v>45604</c:v>
                </c:pt>
              </c:numCache>
            </c:numRef>
          </c:cat>
          <c:val>
            <c:numRef>
              <c:f>Spread!$E$27:$BM$27</c:f>
            </c:numRef>
          </c:val>
          <c:smooth val="0"/>
          <c:extLst>
            <c:ext xmlns:c16="http://schemas.microsoft.com/office/drawing/2014/chart" uri="{C3380CC4-5D6E-409C-BE32-E72D297353CC}">
              <c16:uniqueId val="{00000005-1D66-4152-8D38-D54A03B8097E}"/>
            </c:ext>
          </c:extLst>
        </c:ser>
        <c:ser>
          <c:idx val="6"/>
          <c:order val="6"/>
          <c:tx>
            <c:strRef>
              <c:f>Spread!$C$28</c:f>
              <c:strCache>
                <c:ptCount val="1"/>
                <c:pt idx="0">
                  <c:v>CAD</c:v>
                </c:pt>
              </c:strCache>
            </c:strRef>
          </c:tx>
          <c:spPr>
            <a:ln w="349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Spread!$E$21:$BM$21</c:f>
              <c:numCache>
                <c:formatCode>m/d/yyyy</c:formatCode>
                <c:ptCount val="61"/>
                <c:pt idx="0">
                  <c:v>45520</c:v>
                </c:pt>
                <c:pt idx="1">
                  <c:v>45523</c:v>
                </c:pt>
                <c:pt idx="2">
                  <c:v>45524</c:v>
                </c:pt>
                <c:pt idx="3">
                  <c:v>45525</c:v>
                </c:pt>
                <c:pt idx="4">
                  <c:v>45526</c:v>
                </c:pt>
                <c:pt idx="5">
                  <c:v>45527</c:v>
                </c:pt>
                <c:pt idx="6">
                  <c:v>45530</c:v>
                </c:pt>
                <c:pt idx="7">
                  <c:v>45531</c:v>
                </c:pt>
                <c:pt idx="8">
                  <c:v>45532</c:v>
                </c:pt>
                <c:pt idx="9">
                  <c:v>45533</c:v>
                </c:pt>
                <c:pt idx="10">
                  <c:v>45534</c:v>
                </c:pt>
                <c:pt idx="11">
                  <c:v>45537</c:v>
                </c:pt>
                <c:pt idx="12">
                  <c:v>45538</c:v>
                </c:pt>
                <c:pt idx="13">
                  <c:v>45539</c:v>
                </c:pt>
                <c:pt idx="14">
                  <c:v>45540</c:v>
                </c:pt>
                <c:pt idx="15">
                  <c:v>45541</c:v>
                </c:pt>
                <c:pt idx="16">
                  <c:v>45544</c:v>
                </c:pt>
                <c:pt idx="17">
                  <c:v>45545</c:v>
                </c:pt>
                <c:pt idx="18">
                  <c:v>45546</c:v>
                </c:pt>
                <c:pt idx="19">
                  <c:v>45547</c:v>
                </c:pt>
                <c:pt idx="20">
                  <c:v>45548</c:v>
                </c:pt>
                <c:pt idx="21">
                  <c:v>45551</c:v>
                </c:pt>
                <c:pt idx="22">
                  <c:v>45552</c:v>
                </c:pt>
                <c:pt idx="23">
                  <c:v>45553</c:v>
                </c:pt>
                <c:pt idx="24">
                  <c:v>45554</c:v>
                </c:pt>
                <c:pt idx="25">
                  <c:v>45555</c:v>
                </c:pt>
                <c:pt idx="26">
                  <c:v>45558</c:v>
                </c:pt>
                <c:pt idx="27">
                  <c:v>45559</c:v>
                </c:pt>
                <c:pt idx="28">
                  <c:v>45560</c:v>
                </c:pt>
                <c:pt idx="29">
                  <c:v>45561</c:v>
                </c:pt>
                <c:pt idx="30">
                  <c:v>45562</c:v>
                </c:pt>
                <c:pt idx="31">
                  <c:v>45565</c:v>
                </c:pt>
                <c:pt idx="32">
                  <c:v>45566</c:v>
                </c:pt>
                <c:pt idx="33">
                  <c:v>45567</c:v>
                </c:pt>
                <c:pt idx="34">
                  <c:v>45568</c:v>
                </c:pt>
                <c:pt idx="35">
                  <c:v>45569</c:v>
                </c:pt>
                <c:pt idx="36">
                  <c:v>45572</c:v>
                </c:pt>
                <c:pt idx="37">
                  <c:v>45573</c:v>
                </c:pt>
                <c:pt idx="38">
                  <c:v>45574</c:v>
                </c:pt>
                <c:pt idx="39">
                  <c:v>45575</c:v>
                </c:pt>
                <c:pt idx="40">
                  <c:v>45576</c:v>
                </c:pt>
                <c:pt idx="41">
                  <c:v>45579</c:v>
                </c:pt>
                <c:pt idx="42">
                  <c:v>45580</c:v>
                </c:pt>
                <c:pt idx="43">
                  <c:v>45581</c:v>
                </c:pt>
                <c:pt idx="44">
                  <c:v>45582</c:v>
                </c:pt>
                <c:pt idx="45">
                  <c:v>45583</c:v>
                </c:pt>
                <c:pt idx="46">
                  <c:v>45586</c:v>
                </c:pt>
                <c:pt idx="47">
                  <c:v>45587</c:v>
                </c:pt>
                <c:pt idx="48">
                  <c:v>45588</c:v>
                </c:pt>
                <c:pt idx="49">
                  <c:v>45589</c:v>
                </c:pt>
                <c:pt idx="50">
                  <c:v>45590</c:v>
                </c:pt>
                <c:pt idx="51">
                  <c:v>45593</c:v>
                </c:pt>
                <c:pt idx="52">
                  <c:v>45594</c:v>
                </c:pt>
                <c:pt idx="53">
                  <c:v>45595</c:v>
                </c:pt>
                <c:pt idx="54">
                  <c:v>45596</c:v>
                </c:pt>
                <c:pt idx="55">
                  <c:v>45597</c:v>
                </c:pt>
                <c:pt idx="56">
                  <c:v>45600</c:v>
                </c:pt>
                <c:pt idx="57">
                  <c:v>45601</c:v>
                </c:pt>
                <c:pt idx="58">
                  <c:v>45602</c:v>
                </c:pt>
                <c:pt idx="59">
                  <c:v>45603</c:v>
                </c:pt>
                <c:pt idx="60">
                  <c:v>45604</c:v>
                </c:pt>
              </c:numCache>
            </c:numRef>
          </c:cat>
          <c:val>
            <c:numRef>
              <c:f>Spread!$E$28:$BM$28</c:f>
            </c:numRef>
          </c:val>
          <c:smooth val="0"/>
          <c:extLst>
            <c:ext xmlns:c16="http://schemas.microsoft.com/office/drawing/2014/chart" uri="{C3380CC4-5D6E-409C-BE32-E72D297353CC}">
              <c16:uniqueId val="{00000006-1D66-4152-8D38-D54A03B8097E}"/>
            </c:ext>
          </c:extLst>
        </c:ser>
        <c:ser>
          <c:idx val="7"/>
          <c:order val="7"/>
          <c:tx>
            <c:strRef>
              <c:f>Spread!$C$29</c:f>
              <c:strCache>
                <c:ptCount val="1"/>
                <c:pt idx="0">
                  <c:v>CHF</c:v>
                </c:pt>
              </c:strCache>
            </c:strRef>
          </c:tx>
          <c:spPr>
            <a:ln w="349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Spread!$E$21:$BM$21</c:f>
              <c:numCache>
                <c:formatCode>m/d/yyyy</c:formatCode>
                <c:ptCount val="61"/>
                <c:pt idx="0">
                  <c:v>45520</c:v>
                </c:pt>
                <c:pt idx="1">
                  <c:v>45523</c:v>
                </c:pt>
                <c:pt idx="2">
                  <c:v>45524</c:v>
                </c:pt>
                <c:pt idx="3">
                  <c:v>45525</c:v>
                </c:pt>
                <c:pt idx="4">
                  <c:v>45526</c:v>
                </c:pt>
                <c:pt idx="5">
                  <c:v>45527</c:v>
                </c:pt>
                <c:pt idx="6">
                  <c:v>45530</c:v>
                </c:pt>
                <c:pt idx="7">
                  <c:v>45531</c:v>
                </c:pt>
                <c:pt idx="8">
                  <c:v>45532</c:v>
                </c:pt>
                <c:pt idx="9">
                  <c:v>45533</c:v>
                </c:pt>
                <c:pt idx="10">
                  <c:v>45534</c:v>
                </c:pt>
                <c:pt idx="11">
                  <c:v>45537</c:v>
                </c:pt>
                <c:pt idx="12">
                  <c:v>45538</c:v>
                </c:pt>
                <c:pt idx="13">
                  <c:v>45539</c:v>
                </c:pt>
                <c:pt idx="14">
                  <c:v>45540</c:v>
                </c:pt>
                <c:pt idx="15">
                  <c:v>45541</c:v>
                </c:pt>
                <c:pt idx="16">
                  <c:v>45544</c:v>
                </c:pt>
                <c:pt idx="17">
                  <c:v>45545</c:v>
                </c:pt>
                <c:pt idx="18">
                  <c:v>45546</c:v>
                </c:pt>
                <c:pt idx="19">
                  <c:v>45547</c:v>
                </c:pt>
                <c:pt idx="20">
                  <c:v>45548</c:v>
                </c:pt>
                <c:pt idx="21">
                  <c:v>45551</c:v>
                </c:pt>
                <c:pt idx="22">
                  <c:v>45552</c:v>
                </c:pt>
                <c:pt idx="23">
                  <c:v>45553</c:v>
                </c:pt>
                <c:pt idx="24">
                  <c:v>45554</c:v>
                </c:pt>
                <c:pt idx="25">
                  <c:v>45555</c:v>
                </c:pt>
                <c:pt idx="26">
                  <c:v>45558</c:v>
                </c:pt>
                <c:pt idx="27">
                  <c:v>45559</c:v>
                </c:pt>
                <c:pt idx="28">
                  <c:v>45560</c:v>
                </c:pt>
                <c:pt idx="29">
                  <c:v>45561</c:v>
                </c:pt>
                <c:pt idx="30">
                  <c:v>45562</c:v>
                </c:pt>
                <c:pt idx="31">
                  <c:v>45565</c:v>
                </c:pt>
                <c:pt idx="32">
                  <c:v>45566</c:v>
                </c:pt>
                <c:pt idx="33">
                  <c:v>45567</c:v>
                </c:pt>
                <c:pt idx="34">
                  <c:v>45568</c:v>
                </c:pt>
                <c:pt idx="35">
                  <c:v>45569</c:v>
                </c:pt>
                <c:pt idx="36">
                  <c:v>45572</c:v>
                </c:pt>
                <c:pt idx="37">
                  <c:v>45573</c:v>
                </c:pt>
                <c:pt idx="38">
                  <c:v>45574</c:v>
                </c:pt>
                <c:pt idx="39">
                  <c:v>45575</c:v>
                </c:pt>
                <c:pt idx="40">
                  <c:v>45576</c:v>
                </c:pt>
                <c:pt idx="41">
                  <c:v>45579</c:v>
                </c:pt>
                <c:pt idx="42">
                  <c:v>45580</c:v>
                </c:pt>
                <c:pt idx="43">
                  <c:v>45581</c:v>
                </c:pt>
                <c:pt idx="44">
                  <c:v>45582</c:v>
                </c:pt>
                <c:pt idx="45">
                  <c:v>45583</c:v>
                </c:pt>
                <c:pt idx="46">
                  <c:v>45586</c:v>
                </c:pt>
                <c:pt idx="47">
                  <c:v>45587</c:v>
                </c:pt>
                <c:pt idx="48">
                  <c:v>45588</c:v>
                </c:pt>
                <c:pt idx="49">
                  <c:v>45589</c:v>
                </c:pt>
                <c:pt idx="50">
                  <c:v>45590</c:v>
                </c:pt>
                <c:pt idx="51">
                  <c:v>45593</c:v>
                </c:pt>
                <c:pt idx="52">
                  <c:v>45594</c:v>
                </c:pt>
                <c:pt idx="53">
                  <c:v>45595</c:v>
                </c:pt>
                <c:pt idx="54">
                  <c:v>45596</c:v>
                </c:pt>
                <c:pt idx="55">
                  <c:v>45597</c:v>
                </c:pt>
                <c:pt idx="56">
                  <c:v>45600</c:v>
                </c:pt>
                <c:pt idx="57">
                  <c:v>45601</c:v>
                </c:pt>
                <c:pt idx="58">
                  <c:v>45602</c:v>
                </c:pt>
                <c:pt idx="59">
                  <c:v>45603</c:v>
                </c:pt>
                <c:pt idx="60">
                  <c:v>45604</c:v>
                </c:pt>
              </c:numCache>
            </c:numRef>
          </c:cat>
          <c:val>
            <c:numRef>
              <c:f>Spread!$E$29:$BM$29</c:f>
              <c:numCache>
                <c:formatCode>General</c:formatCode>
                <c:ptCount val="61"/>
                <c:pt idx="0">
                  <c:v>0.26869999999999994</c:v>
                </c:pt>
                <c:pt idx="1">
                  <c:v>0.29190000000000005</c:v>
                </c:pt>
                <c:pt idx="2">
                  <c:v>0.28390000000000004</c:v>
                </c:pt>
                <c:pt idx="3">
                  <c:v>0.31920000000000004</c:v>
                </c:pt>
                <c:pt idx="4">
                  <c:v>0.28380000000000005</c:v>
                </c:pt>
                <c:pt idx="5">
                  <c:v>0.29159999999999997</c:v>
                </c:pt>
                <c:pt idx="6">
                  <c:v>0.30659999999999998</c:v>
                </c:pt>
                <c:pt idx="7">
                  <c:v>0.27929999999999999</c:v>
                </c:pt>
                <c:pt idx="8">
                  <c:v>0.2712</c:v>
                </c:pt>
                <c:pt idx="9">
                  <c:v>0.30859999999999999</c:v>
                </c:pt>
                <c:pt idx="10">
                  <c:v>0.29860000000000009</c:v>
                </c:pt>
                <c:pt idx="11">
                  <c:v>0.2974</c:v>
                </c:pt>
                <c:pt idx="12">
                  <c:v>0.31640000000000001</c:v>
                </c:pt>
                <c:pt idx="13">
                  <c:v>0.32650000000000001</c:v>
                </c:pt>
                <c:pt idx="14">
                  <c:v>0.2871999999999999</c:v>
                </c:pt>
                <c:pt idx="15">
                  <c:v>0.30669999999999997</c:v>
                </c:pt>
                <c:pt idx="16">
                  <c:v>0.29730000000000001</c:v>
                </c:pt>
                <c:pt idx="17">
                  <c:v>0.3165</c:v>
                </c:pt>
                <c:pt idx="18">
                  <c:v>0.3548</c:v>
                </c:pt>
                <c:pt idx="19">
                  <c:v>0.33299999999999996</c:v>
                </c:pt>
                <c:pt idx="20">
                  <c:v>0.33709999999999996</c:v>
                </c:pt>
                <c:pt idx="21">
                  <c:v>0.34090000000000009</c:v>
                </c:pt>
                <c:pt idx="22">
                  <c:v>0.33779999999999999</c:v>
                </c:pt>
                <c:pt idx="23">
                  <c:v>0.30199999999999994</c:v>
                </c:pt>
                <c:pt idx="24">
                  <c:v>0.29039999999999999</c:v>
                </c:pt>
                <c:pt idx="25">
                  <c:v>0.26749999999999996</c:v>
                </c:pt>
                <c:pt idx="26">
                  <c:v>0.28649999999999998</c:v>
                </c:pt>
                <c:pt idx="27">
                  <c:v>0.37050000000000005</c:v>
                </c:pt>
                <c:pt idx="28">
                  <c:v>0.34289999999999998</c:v>
                </c:pt>
                <c:pt idx="29">
                  <c:v>0.26819999999999999</c:v>
                </c:pt>
                <c:pt idx="30">
                  <c:v>0.27639999999999998</c:v>
                </c:pt>
                <c:pt idx="31">
                  <c:v>0.2883</c:v>
                </c:pt>
                <c:pt idx="32">
                  <c:v>0.28849999999999992</c:v>
                </c:pt>
                <c:pt idx="33">
                  <c:v>0.27429999999999993</c:v>
                </c:pt>
                <c:pt idx="34">
                  <c:v>0.30549999999999999</c:v>
                </c:pt>
                <c:pt idx="35">
                  <c:v>0.25110000000000005</c:v>
                </c:pt>
                <c:pt idx="36">
                  <c:v>0.25019999999999998</c:v>
                </c:pt>
                <c:pt idx="37">
                  <c:v>0.26170000000000004</c:v>
                </c:pt>
                <c:pt idx="38">
                  <c:v>0.22429999999999994</c:v>
                </c:pt>
                <c:pt idx="39">
                  <c:v>0.24080000000000001</c:v>
                </c:pt>
                <c:pt idx="40">
                  <c:v>0.22420000000000001</c:v>
                </c:pt>
                <c:pt idx="41">
                  <c:v>0.25299999999999995</c:v>
                </c:pt>
                <c:pt idx="42">
                  <c:v>0.30789999999999995</c:v>
                </c:pt>
                <c:pt idx="43">
                  <c:v>0.36800000000000005</c:v>
                </c:pt>
                <c:pt idx="44">
                  <c:v>0.3775</c:v>
                </c:pt>
                <c:pt idx="45">
                  <c:v>0.36599999999999999</c:v>
                </c:pt>
                <c:pt idx="46">
                  <c:v>0.35839999999999994</c:v>
                </c:pt>
                <c:pt idx="47">
                  <c:v>0.33159999999999995</c:v>
                </c:pt>
                <c:pt idx="48">
                  <c:v>0.35660000000000003</c:v>
                </c:pt>
                <c:pt idx="49">
                  <c:v>0.34260000000000002</c:v>
                </c:pt>
                <c:pt idx="50">
                  <c:v>0.35830000000000006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66-4152-8D38-D54A03B80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3733344"/>
        <c:axId val="1054054175"/>
      </c:lineChart>
      <c:dateAx>
        <c:axId val="18537333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54054175"/>
        <c:crosses val="autoZero"/>
        <c:auto val="1"/>
        <c:lblOffset val="100"/>
        <c:baseTimeUnit val="days"/>
      </c:dateAx>
      <c:valAx>
        <c:axId val="1054054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3733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_xlchart.v2.4</cx:f>
      </cx:strDim>
      <cx:numDim type="val">
        <cx:f dir="row">_xlchart.v2.5</cx:f>
      </cx:numDim>
    </cx:data>
  </cx:chartData>
  <cx:chart>
    <cx:title pos="t" align="ctr" overlay="0">
      <cx:tx>
        <cx:txData>
          <cx:v>1st meeting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fr-F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1st meeting</a:t>
          </a:r>
        </a:p>
      </cx:txPr>
    </cx:title>
    <cx:plotArea>
      <cx:plotAreaRegion>
        <cx:series layoutId="funnel" uniqueId="{7D7E00AE-779D-4261-A57B-EF88FFA3EDE6}">
          <cx:dataLabels>
            <cx:txPr>
              <a:bodyPr vertOverflow="overflow" horzOverflow="overflow" wrap="square" lIns="0" tIns="0" rIns="0" bIns="0"/>
              <a:lstStyle/>
              <a:p>
                <a:pPr algn="ctr" rtl="0">
                  <a:defRPr sz="1200" b="0" i="0">
                    <a:solidFill>
                      <a:srgbClr val="000000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/>
              </a:p>
            </cx:txPr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_xlchart.v2.6</cx:f>
      </cx:strDim>
      <cx:numDim type="val">
        <cx:f dir="row">_xlchart.v2.7</cx:f>
      </cx:numDim>
    </cx:data>
  </cx:chartData>
  <cx:chart>
    <cx:title pos="t" align="ctr" overlay="0">
      <cx:tx>
        <cx:txData>
          <cx:v>2nd meeting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fr-F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2nd meeting</a:t>
          </a:r>
        </a:p>
      </cx:txPr>
    </cx:title>
    <cx:plotArea>
      <cx:plotAreaRegion>
        <cx:series layoutId="funnel" uniqueId="{00000002-32A9-4EAF-9DF2-E7642747147E}" formatIdx="1">
          <cx:dataLabels>
            <cx:txPr>
              <a:bodyPr vertOverflow="overflow" horzOverflow="overflow" wrap="square" lIns="0" tIns="0" rIns="0" bIns="0"/>
              <a:lstStyle/>
              <a:p>
                <a:pPr algn="ctr" rtl="0">
                  <a:defRPr sz="1200" b="0" i="0">
                    <a:solidFill>
                      <a:srgbClr val="000000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/>
              </a:p>
            </cx:txPr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_xlchart.v2.8</cx:f>
      </cx:strDim>
      <cx:numDim type="val">
        <cx:f dir="row">_xlchart.v2.9</cx:f>
      </cx:numDim>
    </cx:data>
  </cx:chartData>
  <cx:chart>
    <cx:title pos="t" align="ctr" overlay="0">
      <cx:tx>
        <cx:txData>
          <cx:v>3rd meeting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fr-F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3rd meeting</a:t>
          </a:r>
        </a:p>
      </cx:txPr>
    </cx:title>
    <cx:plotArea>
      <cx:plotAreaRegion>
        <cx:series layoutId="funnel" uniqueId="{00000000-937A-496C-96BC-351B6763FBAC}" formatIdx="0">
          <cx:dataLabels>
            <cx:txPr>
              <a:bodyPr vertOverflow="overflow" horzOverflow="overflow" wrap="square" lIns="0" tIns="0" rIns="0" bIns="0"/>
              <a:lstStyle/>
              <a:p>
                <a:pPr algn="ctr" rtl="0">
                  <a:defRPr sz="1200" b="0" i="0">
                    <a:solidFill>
                      <a:srgbClr val="000000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/>
              </a:p>
            </cx:txPr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_xlchart.v2.0</cx:f>
      </cx:strDim>
      <cx:numDim type="val">
        <cx:f dir="row">_xlchart.v2.1</cx:f>
      </cx:numDim>
    </cx:data>
  </cx:chartData>
  <cx:chart>
    <cx:title pos="t" align="ctr" overlay="0">
      <cx:tx>
        <cx:txData>
          <cx:v>4st meeting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fr-F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4st meeting</a:t>
          </a:r>
        </a:p>
      </cx:txPr>
    </cx:title>
    <cx:plotArea>
      <cx:plotAreaRegion>
        <cx:series layoutId="funnel" uniqueId="{00000000-470C-4AB7-A721-4ADFAAB0D31B}" formatIdx="1">
          <cx:dataLabels>
            <cx:txPr>
              <a:bodyPr vertOverflow="overflow" horzOverflow="overflow" wrap="square" lIns="0" tIns="0" rIns="0" bIns="0"/>
              <a:lstStyle/>
              <a:p>
                <a:pPr algn="ctr" rtl="0">
                  <a:defRPr sz="1200" b="0" i="0">
                    <a:solidFill>
                      <a:srgbClr val="000000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/>
              </a:p>
            </cx:txPr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_xlchart.v2.2</cx:f>
      </cx:strDim>
      <cx:numDim type="val">
        <cx:f dir="row">_xlchart.v2.3</cx:f>
      </cx:numDim>
    </cx:data>
  </cx:chartData>
  <cx:chart>
    <cx:title pos="t" align="ctr" overlay="0">
      <cx:tx>
        <cx:txData>
          <cx:v>5st meeting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fr-F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5st meeting</a:t>
          </a:r>
        </a:p>
      </cx:txPr>
    </cx:title>
    <cx:plotArea>
      <cx:plotAreaRegion>
        <cx:series layoutId="funnel" uniqueId="{00000000-0BA9-42F7-8403-9C7B6052FF53}" formatIdx="0">
          <cx:dataLabels>
            <cx:txPr>
              <a:bodyPr vertOverflow="overflow" horzOverflow="overflow" wrap="square" lIns="0" tIns="0" rIns="0" bIns="0"/>
              <a:lstStyle/>
              <a:p>
                <a:pPr algn="ctr" rtl="0">
                  <a:defRPr sz="1200" b="0" i="0">
                    <a:solidFill>
                      <a:srgbClr val="000000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/>
              </a:p>
            </cx:txPr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_xlchart.v2.10</cx:f>
      </cx:strDim>
      <cx:numDim type="val">
        <cx:f dir="row">_xlchart.v2.11</cx:f>
      </cx:numDim>
    </cx:data>
  </cx:chartData>
  <cx:chart>
    <cx:title pos="t" align="ctr" overlay="0">
      <cx:tx>
        <cx:txData>
          <cx:v>6st meeting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fr-F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6st meeting</a:t>
          </a:r>
        </a:p>
      </cx:txPr>
    </cx:title>
    <cx:plotArea>
      <cx:plotAreaRegion>
        <cx:series layoutId="funnel" uniqueId="{00000001-8A0F-4022-937C-76735B7C50C5}" formatIdx="0">
          <cx:dataLabels>
            <cx:txPr>
              <a:bodyPr vertOverflow="overflow" horzOverflow="overflow" wrap="square" lIns="0" tIns="0" rIns="0" bIns="0"/>
              <a:lstStyle/>
              <a:p>
                <a:pPr algn="ctr" rtl="0">
                  <a:defRPr sz="1200" b="0" i="0">
                    <a:solidFill>
                      <a:srgbClr val="000000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/>
              </a:p>
            </cx:txPr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6" Type="http://schemas.microsoft.com/office/2014/relationships/chartEx" Target="../charts/chartEx6.xml"/><Relationship Id="rId5" Type="http://schemas.microsoft.com/office/2014/relationships/chartEx" Target="../charts/chartEx5.xml"/><Relationship Id="rId4" Type="http://schemas.microsoft.com/office/2014/relationships/chartEx" Target="../charts/chartEx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1122328</xdr:colOff>
      <xdr:row>10</xdr:row>
      <xdr:rowOff>176729</xdr:rowOff>
    </xdr:from>
    <xdr:to>
      <xdr:col>11</xdr:col>
      <xdr:colOff>29535</xdr:colOff>
      <xdr:row>25</xdr:row>
      <xdr:rowOff>76967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3" name="Graphique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5678" y="2396054"/>
              <a:ext cx="5022257" cy="27577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11</xdr:col>
      <xdr:colOff>158439</xdr:colOff>
      <xdr:row>10</xdr:row>
      <xdr:rowOff>153384</xdr:rowOff>
    </xdr:from>
    <xdr:to>
      <xdr:col>19</xdr:col>
      <xdr:colOff>170341</xdr:colOff>
      <xdr:row>25</xdr:row>
      <xdr:rowOff>78983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4" name="Graphique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06839" y="2372709"/>
              <a:ext cx="4088602" cy="27830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19</xdr:col>
      <xdr:colOff>282442</xdr:colOff>
      <xdr:row>10</xdr:row>
      <xdr:rowOff>162443</xdr:rowOff>
    </xdr:from>
    <xdr:to>
      <xdr:col>26</xdr:col>
      <xdr:colOff>259576</xdr:colOff>
      <xdr:row>25</xdr:row>
      <xdr:rowOff>27566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5" name="Graphique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07542" y="2381768"/>
              <a:ext cx="3872859" cy="2722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1122327</xdr:colOff>
      <xdr:row>25</xdr:row>
      <xdr:rowOff>147674</xdr:rowOff>
    </xdr:from>
    <xdr:to>
      <xdr:col>11</xdr:col>
      <xdr:colOff>14767</xdr:colOff>
      <xdr:row>39</xdr:row>
      <xdr:rowOff>188039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6" name="Graphiqu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5677" y="5224499"/>
              <a:ext cx="5007490" cy="27073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11</xdr:col>
      <xdr:colOff>187973</xdr:colOff>
      <xdr:row>25</xdr:row>
      <xdr:rowOff>118140</xdr:rowOff>
    </xdr:from>
    <xdr:to>
      <xdr:col>19</xdr:col>
      <xdr:colOff>199875</xdr:colOff>
      <xdr:row>39</xdr:row>
      <xdr:rowOff>171462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7" name="Graphique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36373" y="5194965"/>
              <a:ext cx="4088602" cy="272032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19</xdr:col>
      <xdr:colOff>310116</xdr:colOff>
      <xdr:row>25</xdr:row>
      <xdr:rowOff>88606</xdr:rowOff>
    </xdr:from>
    <xdr:to>
      <xdr:col>26</xdr:col>
      <xdr:colOff>310116</xdr:colOff>
      <xdr:row>39</xdr:row>
      <xdr:rowOff>162444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8" name="Graphique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35216" y="5165431"/>
              <a:ext cx="3895725" cy="27408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701119</xdr:colOff>
      <xdr:row>20</xdr:row>
      <xdr:rowOff>78440</xdr:rowOff>
    </xdr:from>
    <xdr:to>
      <xdr:col>1</xdr:col>
      <xdr:colOff>13702393</xdr:colOff>
      <xdr:row>54</xdr:row>
      <xdr:rowOff>122464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409575</xdr:colOff>
          <xdr:row>9</xdr:row>
          <xdr:rowOff>352425</xdr:rowOff>
        </xdr:from>
        <xdr:to>
          <xdr:col>2</xdr:col>
          <xdr:colOff>485775</xdr:colOff>
          <xdr:row>12</xdr:row>
          <xdr:rowOff>304800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CEA60DB-9C57-45C7-AE51-90ED4243FB97}">
  <we:reference id="026e7b2b-fa4d-4fe0-bf3b-b965f6f25bee" version="1.0.0.75" store="EXCatalog" storeType="EXCatalog"/>
  <we:alternateReferences>
    <we:reference id="WA200000565" version="1.0.0.75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RDP.Data</we:customFunctionIds>
        <we:customFunctionIds>RDP.Price</we:customFunctionIds>
        <we:customFunctionIds>RDP.HistoricalPricing</we:customFunctionIds>
        <we:customFunctionIds>RDP.Analytics</we:customFunctionIds>
        <we:customFunctionIds>RDP.Search</we:customFunctionIds>
        <we:customFunctionIds>RDP.Now</we:customFunctionIds>
        <we:customFunctionIds>RDP.Today</we:customFunctionIds>
        <we:customFunctionIds>RDP.Aggregate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customProperty" Target="../customProperty10.bin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48E67-5F93-4F98-A453-CB935F841F1D}">
  <sheetPr codeName="Feuil1"/>
  <dimension ref="B1:AQ17"/>
  <sheetViews>
    <sheetView topLeftCell="A21" zoomScale="86" workbookViewId="0">
      <selection activeCell="B42" sqref="B42"/>
    </sheetView>
  </sheetViews>
  <sheetFormatPr defaultColWidth="10.85546875" defaultRowHeight="15" x14ac:dyDescent="0.25"/>
  <cols>
    <col min="1" max="1" width="2" style="11" customWidth="1"/>
    <col min="2" max="2" width="23.28515625" style="11" customWidth="1"/>
    <col min="3" max="3" width="1.42578125" style="11" customWidth="1"/>
    <col min="4" max="4" width="8.7109375" style="11" bestFit="1" customWidth="1"/>
    <col min="5" max="5" width="11" style="11" bestFit="1" customWidth="1"/>
    <col min="6" max="6" width="4.140625" style="11" customWidth="1"/>
    <col min="7" max="7" width="8.7109375" style="11" bestFit="1" customWidth="1"/>
    <col min="8" max="8" width="11" style="11" bestFit="1" customWidth="1"/>
    <col min="9" max="9" width="4.140625" style="11" customWidth="1"/>
    <col min="10" max="10" width="8.28515625" style="11" bestFit="1" customWidth="1"/>
    <col min="11" max="11" width="11" style="11" bestFit="1" customWidth="1"/>
    <col min="12" max="12" width="4.140625" style="11" customWidth="1"/>
    <col min="13" max="13" width="9" style="11" bestFit="1" customWidth="1"/>
    <col min="14" max="14" width="11" style="11" bestFit="1" customWidth="1"/>
    <col min="15" max="15" width="4.140625" style="11" customWidth="1"/>
    <col min="16" max="16" width="8.7109375" style="11" bestFit="1" customWidth="1"/>
    <col min="17" max="17" width="11" style="11" bestFit="1" customWidth="1"/>
    <col min="18" max="18" width="4.140625" style="11" customWidth="1"/>
    <col min="19" max="19" width="9" style="11" bestFit="1" customWidth="1"/>
    <col min="20" max="20" width="11" style="11" bestFit="1" customWidth="1"/>
    <col min="21" max="21" width="4.140625" style="11" customWidth="1"/>
    <col min="22" max="22" width="8.7109375" style="11" bestFit="1" customWidth="1"/>
    <col min="23" max="23" width="11" style="11" bestFit="1" customWidth="1"/>
    <col min="24" max="24" width="4.140625" style="11" customWidth="1"/>
    <col min="25" max="25" width="8.42578125" style="11" bestFit="1" customWidth="1"/>
    <col min="26" max="26" width="12.140625" style="11" bestFit="1" customWidth="1"/>
    <col min="27" max="27" width="9.7109375" style="11" customWidth="1"/>
    <col min="28" max="28" width="13.42578125" style="11" bestFit="1" customWidth="1"/>
    <col min="29" max="29" width="9.7109375" style="11" bestFit="1" customWidth="1"/>
    <col min="30" max="33" width="8.7109375" style="11" bestFit="1" customWidth="1"/>
    <col min="34" max="43" width="9.7109375" style="11" bestFit="1" customWidth="1"/>
    <col min="44" max="16384" width="10.85546875" style="11"/>
  </cols>
  <sheetData>
    <row r="1" spans="2:43" ht="15.75" thickBot="1" x14ac:dyDescent="0.3"/>
    <row r="2" spans="2:43" ht="18" customHeight="1" thickBot="1" x14ac:dyDescent="0.35">
      <c r="B2" s="62" t="s">
        <v>0</v>
      </c>
      <c r="C2" s="63"/>
      <c r="D2" s="42" t="str">
        <f>_xll.DSGRID("USIRPR1, USIRPR2, USIRPR3, USIRPR4, USIRPR5, USIRPR6, USIRPR7","X","-1D","TIMEADJ","D","CustomHeader=true;RowHeader=false;ColHeader=true;Transpose=true;Code=true;DispSeriesDescription=false;YearlyTSFormat=false;QuarterlyTSFormat=false;MonthlyTSFormat=false;AutoResize=true")</f>
        <v>Code</v>
      </c>
      <c r="E2" s="43">
        <v>45604</v>
      </c>
      <c r="F2" s="16"/>
      <c r="G2" s="42" t="str">
        <f>_xll.DSGRID("EUIRPR1, EUIRPR2, EUIRPR3, EUIRPR4, EUIRPR5, EUIRPR6, EUIRPR7","X","-1D","TIMEADJ","D","CustomHeader=true;RowHeader=false;ColHeader=true;Transpose=true;Code=true;DispSeriesDescription=true;YearlyTSFormat=false;QuarterlyTSFormat=false;MonthlyTSFormat=false;AutoResize=true")</f>
        <v>Code</v>
      </c>
      <c r="H2" s="43">
        <v>45604</v>
      </c>
      <c r="I2" s="16"/>
      <c r="J2" s="42" t="str">
        <f>_xll.DSGRID("JPIRPR1, JPIRPR2, JPIRPR3, JPIRPR4, JPIRPR5, JPIRPR6, JPIRPR7","X","-1D","TIMEADJ","D","CustomHeader=true;ColHeader=true;Transpose=true;Code=true;DispSeriesDescription=true;YearlyTSFormat=false;QuarterlyTSFormat=false;MonthlyTSFormat=false;AutoResize=true")</f>
        <v>Code</v>
      </c>
      <c r="K2" s="43">
        <v>45604</v>
      </c>
      <c r="L2" s="16"/>
      <c r="M2" s="42" t="str">
        <f>_xll.DSGRID("UKIRPR1, UKIRPR2, UKIRPR3, UKIRPR4, UKIRPR5, UKIRPR6, UKIRPR7","X","-1D","TIMEADJ","D","CustomHeader=true;ColHeader=true;Transpose=true;Code=true;DispSeriesDescription=true;YearlyTSFormat=false;QuarterlyTSFormat=false;MonthlyTSFormat=false;AutoResize=true")</f>
        <v>Code</v>
      </c>
      <c r="N2" s="43">
        <v>45604</v>
      </c>
      <c r="O2" s="16"/>
      <c r="P2" s="42" t="str">
        <f>_xll.DSGRID("CAIRPR1, CAIRPR2, CAIRPR3, CAIRPR4, CAIRPR5, CAIRPR6, CAIRPR7","X","-1D","TIMEADJ","D","CustomHeader=true;ColHeader=true;Transpose=true;Code=true;DispSeriesDescription=true;YearlyTSFormat=false;QuarterlyTSFormat=false;MonthlyTSFormat=false;AutoResize=true")</f>
        <v>Code</v>
      </c>
      <c r="Q2" s="43">
        <v>45604</v>
      </c>
      <c r="R2" s="16"/>
      <c r="S2" s="42" t="str">
        <f>_xll.DSGRID("AUIRPR1, AUIRPR2, AUIRPR3, AUIRPR4, AUIRPR5, AUIRPR6, AUIRPR7","X","-1D","TIMEADJ","D","CustomHeader=true;ColHeader=true;Transpose=true;Code=true;DispSeriesDescription=true;YearlyTSFormat=false;QuarterlyTSFormat=false;MonthlyTSFormat=false;AutoResize=true")</f>
        <v>Code</v>
      </c>
      <c r="T2" s="43">
        <v>45604</v>
      </c>
      <c r="U2" s="16"/>
      <c r="V2" s="42" t="str">
        <f>_xll.DSGRID("NZIRPR1, NZIRPR2, NZIRPR3, NZIRPR4, NZIRPR5, NZIRPR6, NZIRPR7","X","-1D","TIMEADJ","D","CustomHeader=true;ColHeader=true;Transpose=true;Code=true;DispSeriesDescription=true;YearlyTSFormat=false;QuarterlyTSFormat=false;MonthlyTSFormat=false;AutoResize=true")</f>
        <v>Code</v>
      </c>
      <c r="W2" s="43">
        <v>45604</v>
      </c>
      <c r="X2" s="16"/>
      <c r="Y2" s="42" t="str">
        <f>_xll.DSGRID("SFIRPR1, SFIRPR2, SFIRPR3, SFIRPR4, SFIRPR5, SFIRPR6, SFIRPR7","X","-1D","TIMEADJ","D","CustomHeader=true;ColHeader=true;Transpose=true;Code=true;DispSeriesDescription=true;YearlyTSFormat=false;QuarterlyTSFormat=false;MonthlyTSFormat=false;AutoResize=true")</f>
        <v>Code</v>
      </c>
      <c r="Z2" s="43">
        <v>45590</v>
      </c>
      <c r="AA2" s="16"/>
      <c r="AL2" s="15"/>
      <c r="AM2" s="15"/>
      <c r="AN2" s="15"/>
      <c r="AO2" s="15"/>
      <c r="AP2" s="15"/>
      <c r="AQ2" s="15"/>
    </row>
    <row r="3" spans="2:43" ht="18" customHeight="1" x14ac:dyDescent="0.25">
      <c r="D3" s="12" t="s">
        <v>1</v>
      </c>
      <c r="E3" s="44">
        <v>4.4130000000000003</v>
      </c>
      <c r="F3" s="45"/>
      <c r="G3" s="12" t="s">
        <v>2</v>
      </c>
      <c r="H3" s="44">
        <v>2.8628</v>
      </c>
      <c r="I3" s="45"/>
      <c r="J3" s="12" t="s">
        <v>3</v>
      </c>
      <c r="K3" s="44">
        <v>0.33789999999999998</v>
      </c>
      <c r="L3" s="45"/>
      <c r="M3" s="12" t="s">
        <v>4</v>
      </c>
      <c r="N3" s="44">
        <v>4.6425999999999998</v>
      </c>
      <c r="O3" s="45"/>
      <c r="P3" s="12" t="s">
        <v>5</v>
      </c>
      <c r="Q3" s="44">
        <v>3.4030999999999998</v>
      </c>
      <c r="R3" s="45"/>
      <c r="S3" s="12" t="s">
        <v>6</v>
      </c>
      <c r="T3" s="44">
        <v>4.3041</v>
      </c>
      <c r="U3" s="45"/>
      <c r="V3" s="12" t="s">
        <v>7</v>
      </c>
      <c r="W3" s="44">
        <v>4.2369000000000003</v>
      </c>
      <c r="X3" s="45"/>
      <c r="Y3" s="12" t="s">
        <v>8</v>
      </c>
      <c r="Z3" s="44">
        <v>0.56820000000000004</v>
      </c>
      <c r="AA3" s="45"/>
    </row>
    <row r="4" spans="2:43" ht="18" customHeight="1" x14ac:dyDescent="0.25">
      <c r="D4" s="12" t="s">
        <v>9</v>
      </c>
      <c r="E4" s="44">
        <v>4.3230000000000004</v>
      </c>
      <c r="F4" s="45"/>
      <c r="G4" s="12" t="s">
        <v>10</v>
      </c>
      <c r="H4" s="44">
        <v>2.5950000000000002</v>
      </c>
      <c r="I4" s="45"/>
      <c r="J4" s="12" t="s">
        <v>11</v>
      </c>
      <c r="K4" s="44">
        <v>0.41770000000000002</v>
      </c>
      <c r="L4" s="45"/>
      <c r="M4" s="12" t="s">
        <v>12</v>
      </c>
      <c r="N4" s="44">
        <v>4.4813999999999998</v>
      </c>
      <c r="O4" s="45"/>
      <c r="P4" s="12" t="s">
        <v>13</v>
      </c>
      <c r="Q4" s="44">
        <v>3.2141000000000002</v>
      </c>
      <c r="R4" s="45"/>
      <c r="S4" s="12" t="s">
        <v>14</v>
      </c>
      <c r="T4" s="44">
        <v>4.2508999999999997</v>
      </c>
      <c r="U4" s="45"/>
      <c r="V4" s="12" t="s">
        <v>15</v>
      </c>
      <c r="W4" s="44">
        <v>3.9144999999999999</v>
      </c>
      <c r="X4" s="45"/>
      <c r="Y4" s="12" t="s">
        <v>16</v>
      </c>
      <c r="Z4" s="44">
        <v>0.30830000000000002</v>
      </c>
      <c r="AA4" s="45"/>
    </row>
    <row r="5" spans="2:43" ht="18" customHeight="1" x14ac:dyDescent="0.25">
      <c r="D5" s="12" t="s">
        <v>17</v>
      </c>
      <c r="E5" s="44">
        <v>4.1779999999999999</v>
      </c>
      <c r="F5" s="45"/>
      <c r="G5" s="12" t="s">
        <v>18</v>
      </c>
      <c r="H5" s="44">
        <v>2.2458</v>
      </c>
      <c r="I5" s="45"/>
      <c r="J5" s="12" t="s">
        <v>19</v>
      </c>
      <c r="K5" s="44">
        <v>0.46200000000000002</v>
      </c>
      <c r="L5" s="45"/>
      <c r="M5" s="12" t="s">
        <v>20</v>
      </c>
      <c r="N5" s="44">
        <v>4.3902999999999999</v>
      </c>
      <c r="O5" s="45"/>
      <c r="P5" s="12" t="s">
        <v>21</v>
      </c>
      <c r="Q5" s="44">
        <v>3.0407000000000002</v>
      </c>
      <c r="R5" s="45"/>
      <c r="S5" s="12" t="s">
        <v>22</v>
      </c>
      <c r="T5" s="44">
        <v>4.1840999999999999</v>
      </c>
      <c r="U5" s="45"/>
      <c r="V5" s="12" t="s">
        <v>23</v>
      </c>
      <c r="W5" s="44">
        <v>3.6271</v>
      </c>
      <c r="X5" s="45"/>
      <c r="Y5" s="12" t="s">
        <v>24</v>
      </c>
      <c r="Z5" s="44">
        <v>0.2099</v>
      </c>
      <c r="AA5" s="45"/>
    </row>
    <row r="6" spans="2:43" ht="18" customHeight="1" x14ac:dyDescent="0.25">
      <c r="D6" s="12" t="s">
        <v>25</v>
      </c>
      <c r="E6" s="44">
        <v>4.0839999999999996</v>
      </c>
      <c r="F6" s="45"/>
      <c r="G6" s="12" t="s">
        <v>26</v>
      </c>
      <c r="H6" s="44">
        <v>2.0861000000000001</v>
      </c>
      <c r="I6" s="45"/>
      <c r="J6" s="12" t="s">
        <v>27</v>
      </c>
      <c r="K6" s="44">
        <v>0.50019999999999998</v>
      </c>
      <c r="L6" s="45"/>
      <c r="M6" s="12" t="s">
        <v>28</v>
      </c>
      <c r="N6" s="44">
        <v>4.2320000000000002</v>
      </c>
      <c r="O6" s="45"/>
      <c r="P6" s="12" t="s">
        <v>29</v>
      </c>
      <c r="Q6" s="44">
        <v>2.9556</v>
      </c>
      <c r="R6" s="45"/>
      <c r="S6" s="12" t="s">
        <v>30</v>
      </c>
      <c r="T6" s="44">
        <v>4.1022999999999996</v>
      </c>
      <c r="U6" s="45"/>
      <c r="V6" s="12" t="s">
        <v>31</v>
      </c>
      <c r="W6" s="44">
        <v>3.5362</v>
      </c>
      <c r="X6" s="45"/>
      <c r="Y6" s="12" t="s">
        <v>32</v>
      </c>
      <c r="Z6" s="44">
        <v>0.2581</v>
      </c>
      <c r="AA6" s="45"/>
    </row>
    <row r="7" spans="2:43" ht="18" customHeight="1" x14ac:dyDescent="0.25">
      <c r="D7" s="12" t="s">
        <v>33</v>
      </c>
      <c r="E7" s="44">
        <v>3.9670000000000001</v>
      </c>
      <c r="F7" s="45"/>
      <c r="G7" s="12" t="s">
        <v>34</v>
      </c>
      <c r="H7" s="44">
        <v>1.9435</v>
      </c>
      <c r="I7" s="45"/>
      <c r="J7" s="12" t="s">
        <v>35</v>
      </c>
      <c r="K7" s="44">
        <v>0.5413</v>
      </c>
      <c r="L7" s="45"/>
      <c r="M7" s="12" t="s">
        <v>36</v>
      </c>
      <c r="N7" s="44">
        <v>4.1783000000000001</v>
      </c>
      <c r="O7" s="45"/>
      <c r="P7" s="12" t="s">
        <v>37</v>
      </c>
      <c r="Q7" s="44">
        <v>2.9013</v>
      </c>
      <c r="R7" s="45"/>
      <c r="S7" s="12" t="s">
        <v>38</v>
      </c>
      <c r="T7" s="44">
        <v>4.0448000000000004</v>
      </c>
      <c r="U7" s="45"/>
      <c r="V7" s="12" t="s">
        <v>39</v>
      </c>
      <c r="W7" s="44">
        <v>3.3969</v>
      </c>
      <c r="X7" s="45"/>
      <c r="Y7" s="12" t="s">
        <v>40</v>
      </c>
      <c r="Z7" s="44">
        <v>0.17860000000000001</v>
      </c>
      <c r="AA7" s="45"/>
    </row>
    <row r="8" spans="2:43" ht="18" customHeight="1" x14ac:dyDescent="0.25">
      <c r="D8" s="12" t="s">
        <v>41</v>
      </c>
      <c r="E8" s="44">
        <v>3.9049999999999998</v>
      </c>
      <c r="F8" s="45"/>
      <c r="G8" s="12" t="s">
        <v>42</v>
      </c>
      <c r="H8" s="44">
        <v>1.8821000000000001</v>
      </c>
      <c r="I8" s="45"/>
      <c r="J8" s="12" t="s">
        <v>43</v>
      </c>
      <c r="K8" s="44">
        <v>0.5806</v>
      </c>
      <c r="L8" s="45"/>
      <c r="M8" s="12" t="s">
        <v>44</v>
      </c>
      <c r="N8" s="44">
        <v>4.0965999999999996</v>
      </c>
      <c r="O8" s="45"/>
      <c r="P8" s="12" t="s">
        <v>45</v>
      </c>
      <c r="Q8" s="44">
        <v>2.8854000000000002</v>
      </c>
      <c r="R8" s="45"/>
      <c r="S8" s="12" t="s">
        <v>46</v>
      </c>
      <c r="T8" s="44">
        <v>3.9662000000000002</v>
      </c>
      <c r="U8" s="45"/>
      <c r="V8" s="12" t="s">
        <v>47</v>
      </c>
      <c r="W8" s="44">
        <v>3.4095</v>
      </c>
      <c r="X8" s="45"/>
      <c r="Y8" s="12" t="s">
        <v>48</v>
      </c>
      <c r="Z8" s="44">
        <v>0.38429999999999997</v>
      </c>
      <c r="AA8" s="45"/>
    </row>
    <row r="9" spans="2:43" ht="18" customHeight="1" thickBot="1" x14ac:dyDescent="0.3">
      <c r="D9" s="13" t="s">
        <v>49</v>
      </c>
      <c r="E9" s="46">
        <v>3.8359999999999999</v>
      </c>
      <c r="F9" s="45"/>
      <c r="G9" s="13" t="s">
        <v>50</v>
      </c>
      <c r="H9" s="46">
        <v>1.8395999999999999</v>
      </c>
      <c r="I9" s="45"/>
      <c r="J9" s="13" t="s">
        <v>51</v>
      </c>
      <c r="K9" s="46">
        <v>0.60450000000000004</v>
      </c>
      <c r="L9" s="45"/>
      <c r="M9" s="13" t="s">
        <v>52</v>
      </c>
      <c r="N9" s="46">
        <v>4.0625999999999998</v>
      </c>
      <c r="O9" s="45"/>
      <c r="P9" s="13" t="s">
        <v>53</v>
      </c>
      <c r="Q9" s="46">
        <v>2.8469000000000002</v>
      </c>
      <c r="R9" s="45"/>
      <c r="S9" s="13" t="s">
        <v>54</v>
      </c>
      <c r="T9" s="46">
        <v>3.9032</v>
      </c>
      <c r="U9" s="45"/>
      <c r="V9" s="13" t="s">
        <v>55</v>
      </c>
      <c r="W9" s="46">
        <v>3.2797000000000001</v>
      </c>
      <c r="X9" s="45"/>
      <c r="Y9" s="13" t="s">
        <v>56</v>
      </c>
      <c r="Z9" s="46">
        <v>1.0331999999999999</v>
      </c>
      <c r="AA9" s="45"/>
    </row>
    <row r="10" spans="2:43" x14ac:dyDescent="0.25"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</row>
    <row r="11" spans="2:43" x14ac:dyDescent="0.25"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</row>
    <row r="12" spans="2:43" x14ac:dyDescent="0.25"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</row>
    <row r="13" spans="2:43" x14ac:dyDescent="0.25">
      <c r="D13" s="14"/>
      <c r="E13" s="14"/>
      <c r="F13" s="14"/>
    </row>
    <row r="14" spans="2:43" x14ac:dyDescent="0.25">
      <c r="D14" s="14"/>
      <c r="E14" s="14"/>
      <c r="F14" s="14"/>
    </row>
    <row r="15" spans="2:43" x14ac:dyDescent="0.25">
      <c r="D15" s="14"/>
      <c r="E15" s="14"/>
      <c r="F15" s="14"/>
      <c r="J15" s="14"/>
      <c r="K15" s="14"/>
      <c r="L15" s="14"/>
    </row>
    <row r="16" spans="2:43" x14ac:dyDescent="0.25">
      <c r="H16" s="14"/>
      <c r="I16" s="14"/>
    </row>
    <row r="17" spans="7:7" x14ac:dyDescent="0.25">
      <c r="G17" s="14"/>
    </row>
  </sheetData>
  <sortState xmlns:xlrd2="http://schemas.microsoft.com/office/spreadsheetml/2017/richdata2" ref="AB12:AC19">
    <sortCondition descending="1" ref="AC11:AC19"/>
  </sortState>
  <pageMargins left="0.7" right="0.7" top="0.75" bottom="0.75" header="0.3" footer="0.3"/>
  <pageSetup paperSize="9" orientation="portrait" r:id="rId1"/>
  <customProperties>
    <customPr name="REFI_OFFICE_FUNCTION_DATA" r:id="rId2"/>
  </customPropertie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886F0-1F6B-4CF9-8474-131F852E151B}">
  <sheetPr codeName="Feuil11" filterMode="1"/>
  <dimension ref="A1:BS59"/>
  <sheetViews>
    <sheetView tabSelected="1" topLeftCell="A21" zoomScale="115" zoomScaleNormal="115" workbookViewId="0">
      <selection activeCell="A30" sqref="A30"/>
    </sheetView>
  </sheetViews>
  <sheetFormatPr defaultColWidth="10.85546875" defaultRowHeight="15" outlineLevelCol="1" x14ac:dyDescent="0.25"/>
  <cols>
    <col min="1" max="1" width="16.85546875" style="11" customWidth="1"/>
    <col min="2" max="2" width="220.140625" style="11" customWidth="1"/>
    <col min="3" max="3" width="71.7109375" style="11" customWidth="1"/>
    <col min="4" max="4" width="18.7109375" style="11" bestFit="1" customWidth="1"/>
    <col min="5" max="6" width="10.7109375" style="11" bestFit="1" customWidth="1" outlineLevel="1"/>
    <col min="7" max="7" width="11.140625" style="11" bestFit="1" customWidth="1" outlineLevel="1"/>
    <col min="8" max="8" width="10.7109375" style="11" bestFit="1" customWidth="1" outlineLevel="1"/>
    <col min="9" max="15" width="11.140625" style="11" bestFit="1" customWidth="1" outlineLevel="1"/>
    <col min="16" max="21" width="10" style="11" bestFit="1" customWidth="1" outlineLevel="1"/>
    <col min="22" max="22" width="10.7109375" style="11" bestFit="1" customWidth="1" outlineLevel="1"/>
    <col min="23" max="23" width="10.28515625" style="11" bestFit="1" customWidth="1" outlineLevel="1"/>
    <col min="24" max="29" width="10.7109375" style="11" bestFit="1" customWidth="1" outlineLevel="1"/>
    <col min="30" max="36" width="11.140625" style="11" bestFit="1" customWidth="1" outlineLevel="1"/>
    <col min="37" max="37" width="10.28515625" style="11" bestFit="1" customWidth="1" outlineLevel="1"/>
    <col min="38" max="43" width="10.7109375" style="11" bestFit="1" customWidth="1" outlineLevel="1"/>
    <col min="44" max="44" width="11.5703125" style="11" bestFit="1" customWidth="1" outlineLevel="1"/>
    <col min="45" max="45" width="11.140625" style="11" bestFit="1" customWidth="1" outlineLevel="1"/>
    <col min="46" max="51" width="11.5703125" style="11" bestFit="1" customWidth="1" outlineLevel="1"/>
    <col min="52" max="58" width="12" style="11" bestFit="1" customWidth="1" outlineLevel="1"/>
    <col min="59" max="59" width="11.5703125" style="11" bestFit="1" customWidth="1" outlineLevel="1"/>
    <col min="60" max="60" width="10" style="11" bestFit="1" customWidth="1" outlineLevel="1"/>
    <col min="61" max="65" width="10.28515625" style="11" bestFit="1" customWidth="1" outlineLevel="1"/>
    <col min="66" max="66" width="9.85546875" style="11" customWidth="1" outlineLevel="1"/>
    <col min="67" max="67" width="8.85546875" style="11" customWidth="1" outlineLevel="1"/>
    <col min="68" max="70" width="9.85546875" style="11" bestFit="1" customWidth="1"/>
    <col min="71" max="71" width="8.85546875" style="11" bestFit="1" customWidth="1"/>
    <col min="72" max="16384" width="10.85546875" style="11"/>
  </cols>
  <sheetData>
    <row r="1" spans="1:71" customFormat="1" hidden="1" x14ac:dyDescent="0.25">
      <c r="B1" t="str">
        <f>_xll.DSGRID("EUIRPR1, UKIRPR1, USIRPR1, JPIRPR1, AUIRPR1, NZIRPR1, CAIRPR1, SFIRPR1","X","-60D","TIME","D","CustomHeader=true;CustHeaderDatatypes=GEOGN;RowHeader=true;ColHeader=true;Transpose=true;Code=true;DispSeriesDescription=true;YearlyTSFormat=false;QuarterlyTSFormat=false;MonthlyTSFormat=false;AutoResize=true")</f>
        <v>Name</v>
      </c>
      <c r="C1" s="1" t="s">
        <v>57</v>
      </c>
      <c r="D1" s="68" t="s">
        <v>58</v>
      </c>
      <c r="E1" s="68">
        <v>45520</v>
      </c>
      <c r="F1" s="68">
        <v>45523</v>
      </c>
      <c r="G1" s="2">
        <v>45524</v>
      </c>
      <c r="H1" s="68">
        <v>45525</v>
      </c>
      <c r="I1" s="68">
        <v>45526</v>
      </c>
      <c r="J1" s="2">
        <v>45527</v>
      </c>
      <c r="K1" s="2">
        <v>45530</v>
      </c>
      <c r="L1" s="2">
        <v>45531</v>
      </c>
      <c r="M1" s="2">
        <v>45532</v>
      </c>
      <c r="N1" s="2">
        <v>45533</v>
      </c>
      <c r="O1" s="2">
        <v>45534</v>
      </c>
      <c r="P1" s="2">
        <v>45537</v>
      </c>
      <c r="Q1" s="2">
        <v>45538</v>
      </c>
      <c r="R1" s="2">
        <v>45539</v>
      </c>
      <c r="S1" s="2">
        <v>45540</v>
      </c>
      <c r="T1" s="2">
        <v>45541</v>
      </c>
      <c r="U1" s="2">
        <v>45544</v>
      </c>
      <c r="V1" s="2">
        <v>45545</v>
      </c>
      <c r="W1" s="2">
        <v>45546</v>
      </c>
      <c r="X1" s="2">
        <v>45547</v>
      </c>
      <c r="Y1" s="2">
        <v>45548</v>
      </c>
      <c r="Z1" s="2">
        <v>45551</v>
      </c>
      <c r="AA1" s="2">
        <v>45552</v>
      </c>
      <c r="AB1" s="2">
        <v>45553</v>
      </c>
      <c r="AC1" s="2">
        <v>45554</v>
      </c>
      <c r="AD1" s="2">
        <v>45555</v>
      </c>
      <c r="AE1" s="2">
        <v>45558</v>
      </c>
      <c r="AF1" s="2">
        <v>45559</v>
      </c>
      <c r="AG1" s="2">
        <v>45560</v>
      </c>
      <c r="AH1" s="2">
        <v>45561</v>
      </c>
      <c r="AI1" s="2">
        <v>45562</v>
      </c>
      <c r="AJ1" s="2">
        <v>45565</v>
      </c>
      <c r="AK1" s="2">
        <v>45566</v>
      </c>
      <c r="AL1" s="2">
        <v>45567</v>
      </c>
      <c r="AM1" s="2">
        <v>45568</v>
      </c>
      <c r="AN1" s="2">
        <v>45569</v>
      </c>
      <c r="AO1" s="2">
        <v>45572</v>
      </c>
      <c r="AP1" s="2">
        <v>45573</v>
      </c>
      <c r="AQ1" s="2">
        <v>45574</v>
      </c>
      <c r="AR1" s="2">
        <v>45575</v>
      </c>
      <c r="AS1" s="2">
        <v>45576</v>
      </c>
      <c r="AT1" s="2">
        <v>45579</v>
      </c>
      <c r="AU1" s="2">
        <v>45580</v>
      </c>
      <c r="AV1" s="2">
        <v>45581</v>
      </c>
      <c r="AW1" s="2">
        <v>45582</v>
      </c>
      <c r="AX1" s="2">
        <v>45583</v>
      </c>
      <c r="AY1" s="2">
        <v>45586</v>
      </c>
      <c r="AZ1" s="2">
        <v>45587</v>
      </c>
      <c r="BA1" s="2">
        <v>45588</v>
      </c>
      <c r="BB1" s="2">
        <v>45589</v>
      </c>
      <c r="BC1" s="2">
        <v>45590</v>
      </c>
      <c r="BD1" s="2">
        <v>45593</v>
      </c>
      <c r="BE1" s="2">
        <v>45594</v>
      </c>
      <c r="BF1" s="2">
        <v>45595</v>
      </c>
      <c r="BG1" s="2">
        <v>45596</v>
      </c>
      <c r="BH1" s="2">
        <v>45597</v>
      </c>
      <c r="BI1" s="2">
        <v>45600</v>
      </c>
      <c r="BJ1" s="2">
        <v>45601</v>
      </c>
      <c r="BK1" s="2">
        <v>45602</v>
      </c>
      <c r="BL1" s="2">
        <v>45603</v>
      </c>
      <c r="BM1" s="2">
        <v>45604</v>
      </c>
      <c r="BN1" s="2"/>
      <c r="BO1" s="2"/>
      <c r="BP1" s="2"/>
      <c r="BQ1" s="2"/>
      <c r="BR1" s="2"/>
      <c r="BS1" s="2"/>
    </row>
    <row r="2" spans="1:71" customFormat="1" hidden="1" x14ac:dyDescent="0.25">
      <c r="B2" s="1" t="s">
        <v>59</v>
      </c>
      <c r="C2" s="1" t="s">
        <v>2</v>
      </c>
      <c r="D2" s="1" t="s">
        <v>60</v>
      </c>
      <c r="E2" s="1">
        <v>3.4173</v>
      </c>
      <c r="F2" s="1">
        <v>3.4257</v>
      </c>
      <c r="G2" s="1">
        <v>3.4228000000000001</v>
      </c>
      <c r="H2" s="67">
        <v>3.4195000000000002</v>
      </c>
      <c r="I2" s="67">
        <v>3.4127999999999998</v>
      </c>
      <c r="J2" s="3">
        <v>3.4037999999999999</v>
      </c>
      <c r="K2" s="3">
        <v>3.4047000000000001</v>
      </c>
      <c r="L2" s="3">
        <v>3.4089</v>
      </c>
      <c r="M2" s="3">
        <v>3.4106999999999998</v>
      </c>
      <c r="N2" s="3">
        <v>3.4068000000000001</v>
      </c>
      <c r="O2" s="3">
        <v>3.4134000000000002</v>
      </c>
      <c r="P2" s="3">
        <v>3.4142000000000001</v>
      </c>
      <c r="Q2" s="3">
        <v>3.4161999999999999</v>
      </c>
      <c r="R2" s="3">
        <v>3.4201999999999999</v>
      </c>
      <c r="S2" s="3">
        <v>3.4113000000000002</v>
      </c>
      <c r="T2" s="3">
        <v>3.4098999999999999</v>
      </c>
      <c r="U2" s="3">
        <v>3.4043999999999999</v>
      </c>
      <c r="V2" s="3">
        <v>3.4075000000000002</v>
      </c>
      <c r="W2">
        <v>3.4136000000000002</v>
      </c>
      <c r="X2">
        <v>3.3376999999999999</v>
      </c>
      <c r="Y2">
        <v>3.3342999999999998</v>
      </c>
      <c r="Z2">
        <v>3.3365999999999998</v>
      </c>
      <c r="AA2">
        <v>3.3321999999999998</v>
      </c>
      <c r="AB2">
        <v>3.34</v>
      </c>
      <c r="AC2">
        <v>3.3260999999999998</v>
      </c>
      <c r="AD2">
        <v>3.3285999999999998</v>
      </c>
      <c r="AE2">
        <v>3.2738999999999998</v>
      </c>
      <c r="AF2">
        <v>3.2284000000000002</v>
      </c>
      <c r="AG2">
        <v>3.2338</v>
      </c>
      <c r="AH2">
        <v>3.2225999999999999</v>
      </c>
      <c r="AI2">
        <v>3.1757</v>
      </c>
      <c r="AJ2">
        <v>3.1537999999999999</v>
      </c>
      <c r="AK2">
        <v>3.1484000000000001</v>
      </c>
      <c r="AL2">
        <v>3.1454</v>
      </c>
      <c r="AM2">
        <v>3.1556999999999999</v>
      </c>
      <c r="AN2">
        <v>3.1692</v>
      </c>
      <c r="AO2">
        <v>3.1566999999999998</v>
      </c>
      <c r="AP2">
        <v>3.1598999999999999</v>
      </c>
      <c r="AQ2">
        <v>3.1657000000000002</v>
      </c>
      <c r="AR2">
        <v>3.1736</v>
      </c>
      <c r="AS2">
        <v>3.1717</v>
      </c>
      <c r="AT2">
        <v>3.1686999999999999</v>
      </c>
      <c r="AU2">
        <v>3.1722000000000001</v>
      </c>
      <c r="AV2">
        <v>3.1741000000000001</v>
      </c>
      <c r="AW2">
        <v>2.863</v>
      </c>
      <c r="AX2">
        <v>2.823</v>
      </c>
      <c r="AY2">
        <v>2.8525</v>
      </c>
      <c r="AZ2">
        <v>2.8073999999999999</v>
      </c>
      <c r="BA2">
        <v>2.8279999999999998</v>
      </c>
      <c r="BB2">
        <v>2.8159999999999998</v>
      </c>
      <c r="BC2">
        <v>2.8216000000000001</v>
      </c>
      <c r="BD2">
        <v>2.8207</v>
      </c>
      <c r="BE2">
        <v>2.8321999999999998</v>
      </c>
      <c r="BF2">
        <v>2.8881000000000001</v>
      </c>
      <c r="BG2">
        <v>2.8887</v>
      </c>
      <c r="BH2">
        <v>2.8932000000000002</v>
      </c>
      <c r="BI2">
        <v>2.9009</v>
      </c>
      <c r="BJ2">
        <v>2.8934000000000002</v>
      </c>
      <c r="BK2">
        <v>2.8691</v>
      </c>
      <c r="BL2">
        <v>2.8784000000000001</v>
      </c>
      <c r="BM2">
        <v>2.8628</v>
      </c>
    </row>
    <row r="3" spans="1:71" customFormat="1" hidden="1" x14ac:dyDescent="0.25">
      <c r="B3" s="1" t="s">
        <v>61</v>
      </c>
      <c r="C3" s="1" t="s">
        <v>4</v>
      </c>
      <c r="D3" s="1" t="s">
        <v>62</v>
      </c>
      <c r="E3" s="1">
        <v>4.8574000000000002</v>
      </c>
      <c r="F3" s="1">
        <v>4.8536999999999999</v>
      </c>
      <c r="G3" s="1">
        <v>4.8577000000000004</v>
      </c>
      <c r="H3" s="1">
        <v>4.8608000000000002</v>
      </c>
      <c r="I3" s="1">
        <v>4.8803999999999998</v>
      </c>
      <c r="J3">
        <v>4.8716999999999997</v>
      </c>
      <c r="K3">
        <v>4.8749000000000002</v>
      </c>
      <c r="L3">
        <v>4.8769999999999998</v>
      </c>
      <c r="M3">
        <v>4.8838999999999997</v>
      </c>
      <c r="N3">
        <v>4.8929</v>
      </c>
      <c r="O3">
        <v>4.8945999999999996</v>
      </c>
      <c r="P3">
        <v>4.8872</v>
      </c>
      <c r="Q3">
        <v>4.8893000000000004</v>
      </c>
      <c r="R3">
        <v>4.8813000000000004</v>
      </c>
      <c r="S3">
        <v>4.8899999999999997</v>
      </c>
      <c r="T3">
        <v>4.9065000000000003</v>
      </c>
      <c r="U3">
        <v>4.8818000000000001</v>
      </c>
      <c r="V3">
        <v>4.8910999999999998</v>
      </c>
      <c r="W3">
        <v>4.8941999999999997</v>
      </c>
      <c r="X3">
        <v>4.9036</v>
      </c>
      <c r="Y3">
        <v>4.8742999999999999</v>
      </c>
      <c r="Z3">
        <v>4.8601999999999999</v>
      </c>
      <c r="AA3">
        <v>4.8612000000000002</v>
      </c>
      <c r="AB3">
        <v>4.8830999999999998</v>
      </c>
      <c r="AC3">
        <v>4.7312000000000003</v>
      </c>
      <c r="AD3">
        <v>4.7388000000000003</v>
      </c>
      <c r="AE3">
        <v>4.7244999999999999</v>
      </c>
      <c r="AF3">
        <v>4.7112999999999996</v>
      </c>
      <c r="AG3">
        <v>4.7095000000000002</v>
      </c>
      <c r="AH3">
        <v>4.7297000000000002</v>
      </c>
      <c r="AI3">
        <v>4.7259000000000002</v>
      </c>
      <c r="AJ3">
        <v>4.7172000000000001</v>
      </c>
      <c r="AK3">
        <v>4.7106000000000003</v>
      </c>
      <c r="AL3">
        <v>4.7225000000000001</v>
      </c>
      <c r="AM3">
        <v>4.7079000000000004</v>
      </c>
      <c r="AN3">
        <v>4.7149999999999999</v>
      </c>
      <c r="AO3">
        <v>4.7114000000000003</v>
      </c>
      <c r="AP3">
        <v>4.7210999999999999</v>
      </c>
      <c r="AQ3">
        <v>4.7365000000000004</v>
      </c>
      <c r="AR3">
        <v>4.7473999999999998</v>
      </c>
      <c r="AS3">
        <v>4.7435</v>
      </c>
      <c r="AT3">
        <v>4.7344999999999997</v>
      </c>
      <c r="AU3">
        <v>4.7397</v>
      </c>
      <c r="AV3">
        <v>4.7184999999999997</v>
      </c>
      <c r="AW3">
        <v>4.7397</v>
      </c>
      <c r="AX3">
        <v>4.7328000000000001</v>
      </c>
      <c r="AY3">
        <v>4.7064000000000004</v>
      </c>
      <c r="AZ3">
        <v>4.7085999999999997</v>
      </c>
      <c r="BA3">
        <v>4.7104999999999997</v>
      </c>
      <c r="BB3">
        <v>4.7300000000000004</v>
      </c>
      <c r="BC3">
        <v>4.7297000000000002</v>
      </c>
      <c r="BD3">
        <v>4.7163000000000004</v>
      </c>
      <c r="BE3">
        <v>4.7122999999999999</v>
      </c>
      <c r="BF3">
        <v>4.7413999999999996</v>
      </c>
      <c r="BG3">
        <v>4.7510000000000003</v>
      </c>
      <c r="BH3">
        <v>4.7427000000000001</v>
      </c>
      <c r="BI3">
        <v>4.7229000000000001</v>
      </c>
      <c r="BJ3">
        <v>4.7081</v>
      </c>
      <c r="BK3">
        <v>4.7255000000000003</v>
      </c>
      <c r="BL3">
        <v>4.6402000000000001</v>
      </c>
      <c r="BM3">
        <v>4.6425999999999998</v>
      </c>
    </row>
    <row r="4" spans="1:71" customFormat="1" hidden="1" x14ac:dyDescent="0.25">
      <c r="B4" s="1" t="s">
        <v>63</v>
      </c>
      <c r="C4" s="1" t="s">
        <v>1</v>
      </c>
      <c r="D4" s="1" t="s">
        <v>64</v>
      </c>
      <c r="E4" s="1">
        <v>5.008</v>
      </c>
      <c r="F4" s="1">
        <v>5.0229999999999997</v>
      </c>
      <c r="G4" s="1">
        <v>4.9980000000000002</v>
      </c>
      <c r="H4" s="1">
        <v>4.9930000000000003</v>
      </c>
      <c r="I4" s="1">
        <v>5.0179999999999998</v>
      </c>
      <c r="J4">
        <v>4.9880000000000004</v>
      </c>
      <c r="K4">
        <v>5.008</v>
      </c>
      <c r="L4">
        <v>4.9930000000000003</v>
      </c>
      <c r="M4">
        <v>4.9930000000000003</v>
      </c>
      <c r="N4">
        <v>4.9980000000000002</v>
      </c>
      <c r="O4">
        <v>4.9980000000000002</v>
      </c>
      <c r="P4">
        <v>5.0030000000000001</v>
      </c>
      <c r="Q4">
        <v>4.9829999999999997</v>
      </c>
      <c r="R4">
        <v>4.968</v>
      </c>
      <c r="S4">
        <v>4.9770000000000003</v>
      </c>
      <c r="T4">
        <v>5.0049999999999999</v>
      </c>
      <c r="U4">
        <v>5.008</v>
      </c>
      <c r="V4">
        <v>5.0030000000000001</v>
      </c>
      <c r="W4">
        <v>5.0419999999999998</v>
      </c>
      <c r="X4">
        <v>4.9829999999999997</v>
      </c>
      <c r="Y4">
        <v>4.968</v>
      </c>
      <c r="Z4">
        <v>4.9130000000000003</v>
      </c>
      <c r="AA4">
        <v>4.923</v>
      </c>
      <c r="AB4">
        <v>4.49</v>
      </c>
      <c r="AC4">
        <v>4.4690000000000003</v>
      </c>
      <c r="AD4">
        <v>4.4489999999999998</v>
      </c>
      <c r="AE4">
        <v>4.4429999999999996</v>
      </c>
      <c r="AF4">
        <v>4.4180000000000001</v>
      </c>
      <c r="AG4">
        <v>4.4180000000000001</v>
      </c>
      <c r="AH4">
        <v>4.444</v>
      </c>
      <c r="AI4">
        <v>4.4379999999999997</v>
      </c>
      <c r="AJ4">
        <v>4.4770000000000003</v>
      </c>
      <c r="AK4">
        <v>4.4710000000000001</v>
      </c>
      <c r="AL4">
        <v>4.484</v>
      </c>
      <c r="AM4">
        <v>4.484</v>
      </c>
      <c r="AN4">
        <v>4.5709999999999997</v>
      </c>
      <c r="AO4">
        <v>4.6130000000000004</v>
      </c>
      <c r="AP4">
        <v>4.6059999999999999</v>
      </c>
      <c r="AQ4">
        <v>4.6189999999999998</v>
      </c>
      <c r="AR4">
        <v>4.6130000000000004</v>
      </c>
      <c r="AS4">
        <v>4.6029999999999998</v>
      </c>
      <c r="AT4">
        <v>4.6120000000000001</v>
      </c>
      <c r="AU4">
        <v>4.5860000000000003</v>
      </c>
      <c r="AV4">
        <v>4.5919999999999996</v>
      </c>
      <c r="AW4">
        <v>4.5990000000000002</v>
      </c>
      <c r="AX4">
        <v>4.5919999999999996</v>
      </c>
      <c r="AY4">
        <v>4.6050000000000004</v>
      </c>
      <c r="AZ4">
        <v>4.5990000000000002</v>
      </c>
      <c r="BA4">
        <v>4.6050000000000004</v>
      </c>
      <c r="BB4">
        <v>4.5919999999999996</v>
      </c>
      <c r="BC4">
        <v>4.5919999999999996</v>
      </c>
      <c r="BD4">
        <v>4.5910000000000002</v>
      </c>
      <c r="BE4">
        <v>4.5839999999999996</v>
      </c>
      <c r="BF4">
        <v>4.5940000000000003</v>
      </c>
      <c r="BG4">
        <v>4.5940000000000003</v>
      </c>
      <c r="BH4">
        <v>4.5869999999999997</v>
      </c>
      <c r="BI4">
        <v>4.5839999999999996</v>
      </c>
      <c r="BJ4">
        <v>4.5839999999999996</v>
      </c>
      <c r="BK4">
        <v>4.5810000000000004</v>
      </c>
      <c r="BL4">
        <v>4.3940000000000001</v>
      </c>
      <c r="BM4">
        <v>4.4130000000000003</v>
      </c>
    </row>
    <row r="5" spans="1:71" customFormat="1" hidden="1" x14ac:dyDescent="0.25">
      <c r="B5" s="1" t="s">
        <v>65</v>
      </c>
      <c r="C5" s="1" t="s">
        <v>3</v>
      </c>
      <c r="D5" s="1" t="s">
        <v>66</v>
      </c>
      <c r="E5" s="1">
        <v>0.22570000000000001</v>
      </c>
      <c r="F5" s="1">
        <v>0.2258</v>
      </c>
      <c r="G5" s="1">
        <v>0.22550000000000001</v>
      </c>
      <c r="H5" s="1">
        <v>0.2273</v>
      </c>
      <c r="I5" s="1">
        <v>0.22289999999999999</v>
      </c>
      <c r="J5">
        <v>0.2233</v>
      </c>
      <c r="K5">
        <v>0.223</v>
      </c>
      <c r="L5">
        <v>0.22259999999999999</v>
      </c>
      <c r="M5">
        <v>0.22270000000000001</v>
      </c>
      <c r="N5">
        <v>0.22339999999999999</v>
      </c>
      <c r="O5">
        <v>0.22370000000000001</v>
      </c>
      <c r="P5">
        <v>0.22370000000000001</v>
      </c>
      <c r="Q5">
        <v>0.22359999999999999</v>
      </c>
      <c r="R5">
        <v>0.22359999999999999</v>
      </c>
      <c r="S5">
        <v>0.22489999999999999</v>
      </c>
      <c r="T5">
        <v>0.22570000000000001</v>
      </c>
      <c r="U5">
        <v>0.22650000000000001</v>
      </c>
      <c r="V5">
        <v>0.2268</v>
      </c>
      <c r="W5">
        <v>0.2266</v>
      </c>
      <c r="X5">
        <v>0.23380000000000001</v>
      </c>
      <c r="Y5">
        <v>0.23269999999999999</v>
      </c>
      <c r="Z5">
        <v>0.23380000000000001</v>
      </c>
      <c r="AA5">
        <v>0.2311</v>
      </c>
      <c r="AB5">
        <v>0.22559999999999999</v>
      </c>
      <c r="AC5">
        <v>0.22489999999999999</v>
      </c>
      <c r="AD5">
        <v>0.22600000000000001</v>
      </c>
      <c r="AE5">
        <v>0.2442</v>
      </c>
      <c r="AF5">
        <v>0.23499999999999999</v>
      </c>
      <c r="AG5">
        <v>0.23569999999999999</v>
      </c>
      <c r="AH5">
        <v>0.2354</v>
      </c>
      <c r="AI5">
        <v>0.2442</v>
      </c>
      <c r="AJ5">
        <v>0.24279999999999999</v>
      </c>
      <c r="AK5">
        <v>0.24149999999999999</v>
      </c>
      <c r="AL5">
        <v>0.23930000000000001</v>
      </c>
      <c r="AM5">
        <v>0.2346</v>
      </c>
      <c r="AN5">
        <v>0.23530000000000001</v>
      </c>
      <c r="AO5">
        <v>0.24360000000000001</v>
      </c>
      <c r="AP5">
        <v>0.2359</v>
      </c>
      <c r="AQ5">
        <v>0.23769999999999999</v>
      </c>
      <c r="AR5">
        <v>0.23280000000000001</v>
      </c>
      <c r="AS5">
        <v>0.2324</v>
      </c>
      <c r="AT5">
        <v>0.2324</v>
      </c>
      <c r="AU5">
        <v>0.2329</v>
      </c>
      <c r="AV5">
        <v>0.2311</v>
      </c>
      <c r="AW5">
        <v>0.23449999999999999</v>
      </c>
      <c r="AX5">
        <v>0.23480000000000001</v>
      </c>
      <c r="AY5">
        <v>0.2341</v>
      </c>
      <c r="AZ5">
        <v>0.23430000000000001</v>
      </c>
      <c r="BA5">
        <v>0.2422</v>
      </c>
      <c r="BB5">
        <v>0.24299999999999999</v>
      </c>
      <c r="BC5">
        <v>0.24279999999999999</v>
      </c>
      <c r="BD5">
        <v>0.2412</v>
      </c>
      <c r="BE5">
        <v>0.24</v>
      </c>
      <c r="BF5">
        <v>0.23710000000000001</v>
      </c>
      <c r="BG5">
        <v>0.22700000000000001</v>
      </c>
      <c r="BH5">
        <v>0.31130000000000002</v>
      </c>
      <c r="BI5">
        <v>0.31259999999999999</v>
      </c>
      <c r="BJ5">
        <v>0.31169999999999998</v>
      </c>
      <c r="BK5">
        <v>0.33050000000000002</v>
      </c>
      <c r="BL5">
        <v>0.33879999999999999</v>
      </c>
      <c r="BM5">
        <v>0.33789999999999998</v>
      </c>
    </row>
    <row r="6" spans="1:71" customFormat="1" hidden="1" x14ac:dyDescent="0.25">
      <c r="A6" s="11"/>
      <c r="B6" s="1" t="s">
        <v>67</v>
      </c>
      <c r="C6" s="1" t="s">
        <v>6</v>
      </c>
      <c r="D6" s="1" t="s">
        <v>68</v>
      </c>
      <c r="E6" s="1">
        <v>4.3037000000000001</v>
      </c>
      <c r="F6" s="1">
        <v>4.2962999999999996</v>
      </c>
      <c r="G6" s="1">
        <v>4.2941000000000003</v>
      </c>
      <c r="H6" s="1">
        <v>4.2944000000000004</v>
      </c>
      <c r="I6" s="1">
        <v>4.3029000000000002</v>
      </c>
      <c r="J6">
        <v>4.3018000000000001</v>
      </c>
      <c r="K6">
        <v>4.2961999999999998</v>
      </c>
      <c r="L6">
        <v>4.3026</v>
      </c>
      <c r="M6">
        <v>4.3155000000000001</v>
      </c>
      <c r="N6">
        <v>4.3193999999999999</v>
      </c>
      <c r="O6">
        <v>4.3211000000000004</v>
      </c>
      <c r="P6">
        <v>4.3262</v>
      </c>
      <c r="Q6">
        <v>4.3247</v>
      </c>
      <c r="R6">
        <v>4.3213999999999997</v>
      </c>
      <c r="S6">
        <v>4.3155000000000001</v>
      </c>
      <c r="T6">
        <v>4.32</v>
      </c>
      <c r="U6">
        <v>4.3202999999999996</v>
      </c>
      <c r="V6">
        <v>4.3170999999999999</v>
      </c>
      <c r="W6">
        <v>4.3223000000000003</v>
      </c>
      <c r="X6">
        <v>4.3207000000000004</v>
      </c>
      <c r="Y6">
        <v>4.3178000000000001</v>
      </c>
      <c r="Z6">
        <v>4.3208000000000002</v>
      </c>
      <c r="AA6">
        <v>4.3121999999999998</v>
      </c>
      <c r="AB6">
        <v>4.3155999999999999</v>
      </c>
      <c r="AC6">
        <v>4.3212999999999999</v>
      </c>
      <c r="AD6">
        <v>4.3236999999999997</v>
      </c>
      <c r="AE6">
        <v>4.3247</v>
      </c>
      <c r="AF6">
        <v>4.2645</v>
      </c>
      <c r="AG6">
        <v>4.2702</v>
      </c>
      <c r="AH6">
        <v>4.2759</v>
      </c>
      <c r="AI6">
        <v>4.2836999999999996</v>
      </c>
      <c r="AJ6">
        <v>4.2820999999999998</v>
      </c>
      <c r="AK6">
        <v>4.2859999999999996</v>
      </c>
      <c r="AL6">
        <v>4.2907999999999999</v>
      </c>
      <c r="AM6">
        <v>4.2987000000000002</v>
      </c>
      <c r="AN6">
        <v>4.3129</v>
      </c>
      <c r="AO6">
        <v>4.3133999999999997</v>
      </c>
      <c r="AP6">
        <v>4.3136000000000001</v>
      </c>
      <c r="AQ6">
        <v>4.3177000000000003</v>
      </c>
      <c r="AR6">
        <v>4.3087999999999997</v>
      </c>
      <c r="AS6">
        <v>4.3085000000000004</v>
      </c>
      <c r="AT6">
        <v>4.3093000000000004</v>
      </c>
      <c r="AU6">
        <v>4.3042999999999996</v>
      </c>
      <c r="AV6">
        <v>4.2986000000000004</v>
      </c>
      <c r="AW6">
        <v>4.3170999999999999</v>
      </c>
      <c r="AX6">
        <v>4.3166000000000002</v>
      </c>
      <c r="AY6">
        <v>4.3185000000000002</v>
      </c>
      <c r="AZ6">
        <v>4.3193999999999999</v>
      </c>
      <c r="BA6">
        <v>4.32</v>
      </c>
      <c r="BB6">
        <v>4.3112000000000004</v>
      </c>
      <c r="BC6">
        <v>4.3159000000000001</v>
      </c>
      <c r="BD6">
        <v>4.3154000000000003</v>
      </c>
      <c r="BE6">
        <v>4.3159999999999998</v>
      </c>
      <c r="BF6">
        <v>4.3314000000000004</v>
      </c>
      <c r="BG6">
        <v>4.3296000000000001</v>
      </c>
      <c r="BH6">
        <v>4.3291000000000004</v>
      </c>
      <c r="BI6">
        <v>4.3292999999999999</v>
      </c>
      <c r="BJ6">
        <v>4.3007999999999997</v>
      </c>
      <c r="BK6">
        <v>4.3005000000000004</v>
      </c>
      <c r="BL6">
        <v>4.3033000000000001</v>
      </c>
      <c r="BM6">
        <v>4.3041</v>
      </c>
    </row>
    <row r="7" spans="1:71" customFormat="1" hidden="1" x14ac:dyDescent="0.25">
      <c r="A7" s="11"/>
      <c r="B7" s="1" t="s">
        <v>69</v>
      </c>
      <c r="C7" s="1" t="s">
        <v>7</v>
      </c>
      <c r="D7" s="1" t="s">
        <v>70</v>
      </c>
      <c r="E7" s="1">
        <v>4.8982999999999999</v>
      </c>
      <c r="F7" s="1">
        <v>4.9332000000000003</v>
      </c>
      <c r="G7" s="1">
        <v>4.9366000000000003</v>
      </c>
      <c r="H7" s="1">
        <v>4.9470000000000001</v>
      </c>
      <c r="I7" s="1">
        <v>4.9442000000000004</v>
      </c>
      <c r="J7">
        <v>4.9550000000000001</v>
      </c>
      <c r="K7">
        <v>4.923</v>
      </c>
      <c r="L7">
        <v>4.9378000000000002</v>
      </c>
      <c r="M7">
        <v>4.9356</v>
      </c>
      <c r="N7">
        <v>4.9138000000000002</v>
      </c>
      <c r="O7">
        <v>4.9341999999999997</v>
      </c>
      <c r="P7">
        <v>4.9062000000000001</v>
      </c>
      <c r="Q7">
        <v>4.8856999999999999</v>
      </c>
      <c r="R7">
        <v>4.8737000000000004</v>
      </c>
      <c r="S7">
        <v>4.8963000000000001</v>
      </c>
      <c r="T7">
        <v>4.9002999999999997</v>
      </c>
      <c r="U7">
        <v>4.9238999999999997</v>
      </c>
      <c r="V7">
        <v>4.9253999999999998</v>
      </c>
      <c r="W7">
        <v>4.9200999999999997</v>
      </c>
      <c r="X7">
        <v>4.9420999999999999</v>
      </c>
      <c r="Y7">
        <v>4.9349999999999996</v>
      </c>
      <c r="Z7">
        <v>4.915</v>
      </c>
      <c r="AA7">
        <v>4.9226999999999999</v>
      </c>
      <c r="AB7">
        <v>4.9066999999999998</v>
      </c>
      <c r="AC7">
        <v>4.8986999999999998</v>
      </c>
      <c r="AD7">
        <v>4.8966000000000003</v>
      </c>
      <c r="AE7">
        <v>4.8657000000000004</v>
      </c>
      <c r="AF7">
        <v>4.8525</v>
      </c>
      <c r="AG7">
        <v>4.8329000000000004</v>
      </c>
      <c r="AH7">
        <v>4.8204000000000002</v>
      </c>
      <c r="AI7">
        <v>4.8280000000000003</v>
      </c>
      <c r="AJ7">
        <v>4.8189000000000002</v>
      </c>
      <c r="AK7">
        <v>4.8045999999999998</v>
      </c>
      <c r="AL7">
        <v>4.7176999999999998</v>
      </c>
      <c r="AM7">
        <v>4.7523999999999997</v>
      </c>
      <c r="AN7">
        <v>4.7584999999999997</v>
      </c>
      <c r="AO7">
        <v>4.7439</v>
      </c>
      <c r="AP7">
        <v>4.6188000000000002</v>
      </c>
      <c r="AQ7">
        <v>4.1944999999999997</v>
      </c>
      <c r="AR7">
        <v>4.2103999999999999</v>
      </c>
      <c r="AS7">
        <v>4.2458999999999998</v>
      </c>
      <c r="AT7">
        <v>4.2298</v>
      </c>
      <c r="AU7">
        <v>4.1626000000000003</v>
      </c>
      <c r="AV7">
        <v>4.157</v>
      </c>
      <c r="AW7">
        <v>4.181</v>
      </c>
      <c r="AX7">
        <v>4.1818999999999997</v>
      </c>
      <c r="AY7">
        <v>4.1710000000000003</v>
      </c>
      <c r="AZ7">
        <v>4.1580000000000004</v>
      </c>
      <c r="BA7">
        <v>4.1570999999999998</v>
      </c>
      <c r="BB7">
        <v>4.1730999999999998</v>
      </c>
      <c r="BC7">
        <v>4.1650999999999998</v>
      </c>
      <c r="BD7">
        <v>4.3224</v>
      </c>
      <c r="BE7">
        <v>4.1711999999999998</v>
      </c>
      <c r="BF7">
        <v>4.1878000000000002</v>
      </c>
      <c r="BG7">
        <v>4.1852999999999998</v>
      </c>
      <c r="BH7">
        <v>4.1756000000000002</v>
      </c>
      <c r="BI7">
        <v>4.1843000000000004</v>
      </c>
      <c r="BJ7">
        <v>4.1840999999999999</v>
      </c>
      <c r="BK7">
        <v>4.1914999999999996</v>
      </c>
      <c r="BL7">
        <v>4.2062999999999997</v>
      </c>
      <c r="BM7">
        <v>4.2369000000000003</v>
      </c>
    </row>
    <row r="8" spans="1:71" customFormat="1" hidden="1" x14ac:dyDescent="0.25">
      <c r="A8" s="11"/>
      <c r="B8" s="1" t="s">
        <v>71</v>
      </c>
      <c r="C8" s="1" t="s">
        <v>5</v>
      </c>
      <c r="D8" s="1" t="s">
        <v>72</v>
      </c>
      <c r="E8" s="1">
        <v>4.2778</v>
      </c>
      <c r="F8" s="1">
        <v>4.2827000000000002</v>
      </c>
      <c r="G8" s="1">
        <v>4.2714999999999996</v>
      </c>
      <c r="H8" s="1">
        <v>4.2702</v>
      </c>
      <c r="I8" s="1">
        <v>4.2988999999999997</v>
      </c>
      <c r="J8">
        <v>4.2622</v>
      </c>
      <c r="K8">
        <v>4.2611999999999997</v>
      </c>
      <c r="L8">
        <v>4.2564000000000002</v>
      </c>
      <c r="M8">
        <v>4.2563000000000004</v>
      </c>
      <c r="N8">
        <v>4.2728000000000002</v>
      </c>
      <c r="O8">
        <v>4.2297000000000002</v>
      </c>
      <c r="P8">
        <v>4.2306999999999997</v>
      </c>
      <c r="Q8">
        <v>4.2179000000000002</v>
      </c>
      <c r="R8">
        <v>3.9790999999999999</v>
      </c>
      <c r="S8">
        <v>3.9889000000000001</v>
      </c>
      <c r="T8">
        <v>3.9687000000000001</v>
      </c>
      <c r="U8">
        <v>3.9922</v>
      </c>
      <c r="V8">
        <v>3.9725000000000001</v>
      </c>
      <c r="W8">
        <v>4.0084</v>
      </c>
      <c r="X8">
        <v>4.0010000000000003</v>
      </c>
      <c r="Y8">
        <v>3.9529999999999998</v>
      </c>
      <c r="Z8">
        <v>3.9196</v>
      </c>
      <c r="AA8">
        <v>3.9096000000000002</v>
      </c>
      <c r="AB8">
        <v>3.8814000000000002</v>
      </c>
      <c r="AC8">
        <v>3.9150999999999998</v>
      </c>
      <c r="AD8">
        <v>3.8883000000000001</v>
      </c>
      <c r="AE8">
        <v>3.8862000000000001</v>
      </c>
      <c r="AF8">
        <v>3.8849</v>
      </c>
      <c r="AG8">
        <v>3.9195000000000002</v>
      </c>
      <c r="AH8">
        <v>3.9418000000000002</v>
      </c>
      <c r="AI8">
        <v>3.895</v>
      </c>
      <c r="AJ8">
        <v>3.9115000000000002</v>
      </c>
      <c r="AK8">
        <v>3.9403000000000001</v>
      </c>
      <c r="AL8">
        <v>3.9344999999999999</v>
      </c>
      <c r="AM8">
        <v>3.9615</v>
      </c>
      <c r="AN8">
        <v>4.0037000000000003</v>
      </c>
      <c r="AO8">
        <v>3.9988000000000001</v>
      </c>
      <c r="AP8">
        <v>3.9801000000000002</v>
      </c>
      <c r="AQ8">
        <v>3.9502000000000002</v>
      </c>
      <c r="AR8">
        <v>3.9575</v>
      </c>
      <c r="AS8">
        <v>3.9243999999999999</v>
      </c>
      <c r="AT8">
        <v>3.9258000000000002</v>
      </c>
      <c r="AU8">
        <v>3.8656999999999999</v>
      </c>
      <c r="AV8">
        <v>3.8460000000000001</v>
      </c>
      <c r="AW8">
        <v>3.8570000000000002</v>
      </c>
      <c r="AX8">
        <v>3.8111000000000002</v>
      </c>
      <c r="AY8">
        <v>3.8039999999999998</v>
      </c>
      <c r="AZ8">
        <v>3.8269000000000002</v>
      </c>
      <c r="BA8">
        <v>3.4769999999999999</v>
      </c>
      <c r="BB8">
        <v>3.4906000000000001</v>
      </c>
      <c r="BC8">
        <v>3.4645000000000001</v>
      </c>
      <c r="BD8">
        <v>3.4588000000000001</v>
      </c>
      <c r="BE8">
        <v>3.46</v>
      </c>
      <c r="BF8">
        <v>3.4719000000000002</v>
      </c>
      <c r="BG8">
        <v>3.4508000000000001</v>
      </c>
      <c r="BH8">
        <v>3.4363999999999999</v>
      </c>
      <c r="BI8">
        <v>3.4298999999999999</v>
      </c>
      <c r="BJ8">
        <v>3.4411999999999998</v>
      </c>
      <c r="BK8">
        <v>3.4405999999999999</v>
      </c>
      <c r="BL8">
        <v>3.43</v>
      </c>
      <c r="BM8">
        <v>3.4030999999999998</v>
      </c>
    </row>
    <row r="9" spans="1:71" customFormat="1" hidden="1" x14ac:dyDescent="0.25">
      <c r="A9" s="11"/>
      <c r="B9" s="1" t="s">
        <v>73</v>
      </c>
      <c r="C9" s="1" t="s">
        <v>8</v>
      </c>
      <c r="D9" s="1" t="s">
        <v>74</v>
      </c>
      <c r="E9" s="1">
        <v>0.86019999999999996</v>
      </c>
      <c r="F9" s="1">
        <v>0.87150000000000005</v>
      </c>
      <c r="G9" s="1">
        <v>0.87480000000000002</v>
      </c>
      <c r="H9" s="1">
        <v>0.8891</v>
      </c>
      <c r="I9" s="1">
        <v>0.88290000000000002</v>
      </c>
      <c r="J9">
        <v>0.87919999999999998</v>
      </c>
      <c r="K9">
        <v>0.87739999999999996</v>
      </c>
      <c r="L9">
        <v>0.8821</v>
      </c>
      <c r="M9">
        <v>0.87429999999999997</v>
      </c>
      <c r="N9">
        <v>0.86709999999999998</v>
      </c>
      <c r="O9">
        <v>0.86350000000000005</v>
      </c>
      <c r="P9">
        <v>0.88300000000000001</v>
      </c>
      <c r="Q9">
        <v>0.88600000000000001</v>
      </c>
      <c r="R9">
        <v>0.8679</v>
      </c>
      <c r="S9">
        <v>0.86839999999999995</v>
      </c>
      <c r="T9">
        <v>0.87180000000000002</v>
      </c>
      <c r="U9">
        <v>0.88819999999999999</v>
      </c>
      <c r="V9">
        <v>0.88009999999999999</v>
      </c>
      <c r="W9">
        <v>0.88419999999999999</v>
      </c>
      <c r="X9">
        <v>0.8901</v>
      </c>
      <c r="Y9">
        <v>0.87219999999999998</v>
      </c>
      <c r="Z9">
        <v>0.85440000000000005</v>
      </c>
      <c r="AA9">
        <v>0.85780000000000001</v>
      </c>
      <c r="AB9">
        <v>0.86209999999999998</v>
      </c>
      <c r="AC9">
        <v>0.86639999999999995</v>
      </c>
      <c r="AD9">
        <v>0.84709999999999996</v>
      </c>
      <c r="AE9">
        <v>0.84060000000000001</v>
      </c>
      <c r="AF9">
        <v>0.82920000000000005</v>
      </c>
      <c r="AG9">
        <v>0.8296</v>
      </c>
      <c r="AH9">
        <v>0.6421</v>
      </c>
      <c r="AI9">
        <v>0.64649999999999996</v>
      </c>
      <c r="AJ9">
        <v>0.64900000000000002</v>
      </c>
      <c r="AK9">
        <v>0.62749999999999995</v>
      </c>
      <c r="AL9">
        <v>0.63249999999999995</v>
      </c>
      <c r="AM9">
        <v>0.62629999999999997</v>
      </c>
      <c r="AN9">
        <v>0.62880000000000003</v>
      </c>
      <c r="AO9">
        <v>0.63109999999999999</v>
      </c>
      <c r="AP9">
        <v>0.63170000000000004</v>
      </c>
      <c r="AQ9">
        <v>0.62329999999999997</v>
      </c>
      <c r="AR9">
        <v>0.64590000000000003</v>
      </c>
      <c r="AS9">
        <v>0.64529999999999998</v>
      </c>
      <c r="AT9">
        <v>0.63249999999999995</v>
      </c>
      <c r="AU9">
        <v>0.63229999999999997</v>
      </c>
      <c r="AV9">
        <v>0.62360000000000004</v>
      </c>
      <c r="AW9">
        <v>0.626</v>
      </c>
      <c r="AX9">
        <v>0.59509999999999996</v>
      </c>
      <c r="AY9">
        <v>0.60499999999999998</v>
      </c>
      <c r="AZ9">
        <v>0.62119999999999997</v>
      </c>
      <c r="BA9">
        <v>0.60340000000000005</v>
      </c>
      <c r="BB9">
        <v>0.58150000000000002</v>
      </c>
      <c r="BC9">
        <v>0.56820000000000004</v>
      </c>
    </row>
    <row r="10" spans="1:71" customFormat="1" hidden="1" x14ac:dyDescent="0.25">
      <c r="A10" s="11"/>
      <c r="B10" t="str">
        <f>_xll.DSGRID("EUIRPR3, UKIRPR3, USIRPR3, JPIRPR3, AUIRPR3, NZIRPR3, CAIRPR3, SFIRPR3","X","-60D","TIME","D","CustomHeader=true;CustHeaderDatatypes=GEOGN;RowHeader=true;ColHeader=true;Transpose=true;Code=true;DispSeriesDescription=true;YearlyTSFormat=false;QuarterlyTSFormat=false;MonthlyTSFormat=false;AutoResize=true")</f>
        <v>Name</v>
      </c>
      <c r="C10" s="1" t="s">
        <v>57</v>
      </c>
      <c r="D10" s="68" t="s">
        <v>58</v>
      </c>
      <c r="E10" s="68">
        <v>45520</v>
      </c>
      <c r="F10" s="68">
        <v>45523</v>
      </c>
      <c r="G10" s="68">
        <v>45524</v>
      </c>
      <c r="H10" s="2">
        <v>45525</v>
      </c>
      <c r="I10" s="2">
        <v>45526</v>
      </c>
      <c r="J10" s="2">
        <v>45527</v>
      </c>
      <c r="K10" s="2">
        <v>45530</v>
      </c>
      <c r="L10" s="2">
        <v>45531</v>
      </c>
      <c r="M10" s="2">
        <v>45532</v>
      </c>
      <c r="N10" s="2">
        <v>45533</v>
      </c>
      <c r="O10" s="2">
        <v>45534</v>
      </c>
      <c r="P10" s="2">
        <v>45537</v>
      </c>
      <c r="Q10" s="2">
        <v>45538</v>
      </c>
      <c r="R10" s="2">
        <v>45539</v>
      </c>
      <c r="S10" s="2">
        <v>45540</v>
      </c>
      <c r="T10" s="2">
        <v>45541</v>
      </c>
      <c r="U10" s="2">
        <v>45544</v>
      </c>
      <c r="V10" s="2">
        <v>45545</v>
      </c>
      <c r="W10" s="2">
        <v>45546</v>
      </c>
      <c r="X10" s="2">
        <v>45547</v>
      </c>
      <c r="Y10" s="2">
        <v>45548</v>
      </c>
      <c r="Z10" s="2">
        <v>45551</v>
      </c>
      <c r="AA10" s="2">
        <v>45552</v>
      </c>
      <c r="AB10" s="2">
        <v>45553</v>
      </c>
      <c r="AC10" s="2">
        <v>45554</v>
      </c>
      <c r="AD10" s="2">
        <v>45555</v>
      </c>
      <c r="AE10" s="2">
        <v>45558</v>
      </c>
      <c r="AF10" s="2">
        <v>45559</v>
      </c>
      <c r="AG10" s="2">
        <v>45560</v>
      </c>
      <c r="AH10" s="2">
        <v>45561</v>
      </c>
      <c r="AI10" s="2">
        <v>45562</v>
      </c>
      <c r="AJ10" s="2">
        <v>45565</v>
      </c>
      <c r="AK10" s="2">
        <v>45566</v>
      </c>
      <c r="AL10" s="2">
        <v>45567</v>
      </c>
      <c r="AM10" s="2">
        <v>45568</v>
      </c>
      <c r="AN10" s="2">
        <v>45569</v>
      </c>
      <c r="AO10" s="2">
        <v>45572</v>
      </c>
      <c r="AP10" s="2">
        <v>45573</v>
      </c>
      <c r="AQ10" s="2">
        <v>45574</v>
      </c>
      <c r="AR10" s="2">
        <v>45575</v>
      </c>
      <c r="AS10" s="2">
        <v>45576</v>
      </c>
      <c r="AT10" s="2">
        <v>45579</v>
      </c>
      <c r="AU10" s="2">
        <v>45580</v>
      </c>
      <c r="AV10" s="2">
        <v>45581</v>
      </c>
      <c r="AW10" s="2">
        <v>45582</v>
      </c>
      <c r="AX10" s="2">
        <v>45583</v>
      </c>
      <c r="AY10" s="2">
        <v>45586</v>
      </c>
      <c r="AZ10" s="2">
        <v>45587</v>
      </c>
      <c r="BA10" s="2">
        <v>45588</v>
      </c>
      <c r="BB10" s="2">
        <v>45589</v>
      </c>
      <c r="BC10" s="2">
        <v>45590</v>
      </c>
      <c r="BD10" s="2">
        <v>45593</v>
      </c>
      <c r="BE10" s="2">
        <v>45594</v>
      </c>
      <c r="BF10" s="2">
        <v>45595</v>
      </c>
      <c r="BG10" s="2">
        <v>45596</v>
      </c>
      <c r="BH10" s="2">
        <v>45597</v>
      </c>
      <c r="BI10" s="2">
        <v>45600</v>
      </c>
      <c r="BJ10" s="2">
        <v>45601</v>
      </c>
      <c r="BK10" s="2">
        <v>45602</v>
      </c>
      <c r="BL10" s="2">
        <v>45603</v>
      </c>
      <c r="BM10" s="2">
        <v>45604</v>
      </c>
      <c r="BN10" s="2"/>
      <c r="BO10" s="2"/>
    </row>
    <row r="11" spans="1:71" customFormat="1" hidden="1" x14ac:dyDescent="0.25">
      <c r="A11" s="11"/>
      <c r="B11" s="1" t="s">
        <v>125</v>
      </c>
      <c r="C11" s="1" t="s">
        <v>18</v>
      </c>
      <c r="D11" s="1" t="s">
        <v>60</v>
      </c>
      <c r="E11" s="1">
        <v>2.9304999999999999</v>
      </c>
      <c r="F11" s="1">
        <v>3.0152000000000001</v>
      </c>
      <c r="G11" s="1">
        <v>2.9927000000000001</v>
      </c>
      <c r="H11">
        <v>2.9742999999999999</v>
      </c>
      <c r="I11">
        <v>3.0148000000000001</v>
      </c>
      <c r="J11">
        <v>2.9914999999999998</v>
      </c>
      <c r="K11">
        <v>3.0213000000000001</v>
      </c>
      <c r="L11">
        <v>3.0154000000000001</v>
      </c>
      <c r="M11">
        <v>3.0171000000000001</v>
      </c>
      <c r="N11">
        <v>3.0188999999999999</v>
      </c>
      <c r="O11">
        <v>3.0581999999999998</v>
      </c>
      <c r="P11">
        <v>3.0787</v>
      </c>
      <c r="Q11">
        <v>3.0838000000000001</v>
      </c>
      <c r="R11">
        <v>3.0729000000000002</v>
      </c>
      <c r="S11">
        <v>3.0474999999999999</v>
      </c>
      <c r="T11">
        <v>3.0158999999999998</v>
      </c>
      <c r="U11">
        <v>3.036</v>
      </c>
      <c r="V11">
        <v>3.0316000000000001</v>
      </c>
      <c r="W11">
        <v>3.0264000000000002</v>
      </c>
      <c r="X11">
        <v>2.8586</v>
      </c>
      <c r="Y11">
        <v>2.8239000000000001</v>
      </c>
      <c r="Z11">
        <v>2.8077999999999999</v>
      </c>
      <c r="AA11">
        <v>2.8228</v>
      </c>
      <c r="AB11">
        <v>2.8330000000000002</v>
      </c>
      <c r="AC11">
        <v>2.8172999999999999</v>
      </c>
      <c r="AD11">
        <v>2.8109000000000002</v>
      </c>
      <c r="AE11">
        <v>2.6760000000000002</v>
      </c>
      <c r="AF11">
        <v>2.6848000000000001</v>
      </c>
      <c r="AG11">
        <v>2.7019000000000002</v>
      </c>
      <c r="AH11">
        <v>2.6667999999999998</v>
      </c>
      <c r="AI11">
        <v>2.6093000000000002</v>
      </c>
      <c r="AJ11">
        <v>2.6124999999999998</v>
      </c>
      <c r="AK11">
        <v>2.5522</v>
      </c>
      <c r="AL11">
        <v>2.5605000000000002</v>
      </c>
      <c r="AM11">
        <v>2.6008</v>
      </c>
      <c r="AN11">
        <v>2.6669999999999998</v>
      </c>
      <c r="AO11">
        <v>2.6970999999999998</v>
      </c>
      <c r="AP11">
        <v>2.7147999999999999</v>
      </c>
      <c r="AQ11">
        <v>2.7440000000000002</v>
      </c>
      <c r="AR11">
        <v>2.738</v>
      </c>
      <c r="AS11">
        <v>2.7439</v>
      </c>
      <c r="AT11">
        <v>2.7435</v>
      </c>
      <c r="AU11">
        <v>2.7345000000000002</v>
      </c>
      <c r="AV11">
        <v>2.7115999999999998</v>
      </c>
      <c r="AW11">
        <v>2.3891</v>
      </c>
      <c r="AX11">
        <v>2.3073999999999999</v>
      </c>
      <c r="AY11">
        <v>2.3637000000000001</v>
      </c>
      <c r="AZ11">
        <v>2.2774000000000001</v>
      </c>
      <c r="BA11">
        <v>2.2654999999999998</v>
      </c>
      <c r="BB11">
        <v>2.2391999999999999</v>
      </c>
      <c r="BC11">
        <v>2.2364999999999999</v>
      </c>
      <c r="BD11">
        <v>2.2456</v>
      </c>
      <c r="BE11">
        <v>2.2479</v>
      </c>
      <c r="BF11">
        <v>2.3374000000000001</v>
      </c>
      <c r="BG11">
        <v>2.3544</v>
      </c>
      <c r="BH11">
        <v>2.3426</v>
      </c>
      <c r="BI11">
        <v>2.3517000000000001</v>
      </c>
      <c r="BJ11">
        <v>2.3656000000000001</v>
      </c>
      <c r="BK11">
        <v>2.2595000000000001</v>
      </c>
      <c r="BL11">
        <v>2.2692000000000001</v>
      </c>
      <c r="BM11">
        <v>2.2458</v>
      </c>
    </row>
    <row r="12" spans="1:71" customFormat="1" hidden="1" x14ac:dyDescent="0.25">
      <c r="A12" s="11"/>
      <c r="B12" s="1" t="s">
        <v>147</v>
      </c>
      <c r="C12" s="1" t="s">
        <v>20</v>
      </c>
      <c r="D12" s="1" t="s">
        <v>62</v>
      </c>
      <c r="E12" s="1">
        <v>4.5305999999999997</v>
      </c>
      <c r="F12" s="1">
        <v>4.5209999999999999</v>
      </c>
      <c r="G12" s="1">
        <v>4.5312999999999999</v>
      </c>
      <c r="H12">
        <v>4.516</v>
      </c>
      <c r="I12">
        <v>4.5483000000000002</v>
      </c>
      <c r="J12">
        <v>4.5029000000000003</v>
      </c>
      <c r="K12">
        <v>4.5061999999999998</v>
      </c>
      <c r="L12">
        <v>4.5190999999999999</v>
      </c>
      <c r="M12">
        <v>4.5396999999999998</v>
      </c>
      <c r="N12">
        <v>4.5519999999999996</v>
      </c>
      <c r="O12">
        <v>4.5476999999999999</v>
      </c>
      <c r="P12">
        <v>4.5441000000000003</v>
      </c>
      <c r="Q12">
        <v>4.5430000000000001</v>
      </c>
      <c r="R12">
        <v>4.5233999999999996</v>
      </c>
      <c r="S12">
        <v>4.5305</v>
      </c>
      <c r="T12">
        <v>4.5246000000000004</v>
      </c>
      <c r="U12">
        <v>4.4756999999999998</v>
      </c>
      <c r="V12">
        <v>4.4904000000000002</v>
      </c>
      <c r="W12">
        <v>4.4488000000000003</v>
      </c>
      <c r="X12">
        <v>4.4951999999999996</v>
      </c>
      <c r="Y12">
        <v>4.4352999999999998</v>
      </c>
      <c r="Z12">
        <v>4.4029999999999996</v>
      </c>
      <c r="AA12">
        <v>4.4180999999999999</v>
      </c>
      <c r="AB12">
        <v>4.4478</v>
      </c>
      <c r="AC12">
        <v>4.3410000000000002</v>
      </c>
      <c r="AD12">
        <v>4.3440000000000003</v>
      </c>
      <c r="AE12">
        <v>4.3021000000000003</v>
      </c>
      <c r="AF12">
        <v>4.3007</v>
      </c>
      <c r="AG12">
        <v>4.3270999999999997</v>
      </c>
      <c r="AH12">
        <v>4.3486000000000002</v>
      </c>
      <c r="AI12">
        <v>4.3056999999999999</v>
      </c>
      <c r="AJ12">
        <v>4.3311000000000002</v>
      </c>
      <c r="AK12">
        <v>4.3212999999999999</v>
      </c>
      <c r="AL12">
        <v>4.3449999999999998</v>
      </c>
      <c r="AM12">
        <v>4.2747999999999999</v>
      </c>
      <c r="AN12">
        <v>4.3452000000000002</v>
      </c>
      <c r="AO12">
        <v>4.3815999999999997</v>
      </c>
      <c r="AP12">
        <v>4.3727999999999998</v>
      </c>
      <c r="AQ12">
        <v>4.3875999999999999</v>
      </c>
      <c r="AR12">
        <v>4.3879000000000001</v>
      </c>
      <c r="AS12">
        <v>4.3903999999999996</v>
      </c>
      <c r="AT12">
        <v>4.4039000000000001</v>
      </c>
      <c r="AU12">
        <v>4.3898999999999999</v>
      </c>
      <c r="AV12">
        <v>4.3125</v>
      </c>
      <c r="AW12">
        <v>4.3404999999999996</v>
      </c>
      <c r="AX12">
        <v>4.3507999999999996</v>
      </c>
      <c r="AY12">
        <v>4.3432000000000004</v>
      </c>
      <c r="AZ12">
        <v>4.3304</v>
      </c>
      <c r="BA12">
        <v>4.3289999999999997</v>
      </c>
      <c r="BB12">
        <v>4.3651</v>
      </c>
      <c r="BC12">
        <v>4.3776999999999999</v>
      </c>
      <c r="BD12">
        <v>4.3506</v>
      </c>
      <c r="BE12">
        <v>4.3494999999999999</v>
      </c>
      <c r="BF12">
        <v>4.4603999999999999</v>
      </c>
      <c r="BG12">
        <v>4.4599000000000002</v>
      </c>
      <c r="BH12">
        <v>4.4661</v>
      </c>
      <c r="BI12">
        <v>4.4641000000000002</v>
      </c>
      <c r="BJ12">
        <v>4.4504999999999999</v>
      </c>
      <c r="BK12">
        <v>4.4371</v>
      </c>
      <c r="BL12">
        <v>4.3869999999999996</v>
      </c>
      <c r="BM12">
        <v>4.3902999999999999</v>
      </c>
    </row>
    <row r="13" spans="1:71" customFormat="1" hidden="1" x14ac:dyDescent="0.25">
      <c r="A13" s="11"/>
      <c r="B13" s="1" t="s">
        <v>114</v>
      </c>
      <c r="C13" s="1" t="s">
        <v>17</v>
      </c>
      <c r="D13" s="1" t="s">
        <v>64</v>
      </c>
      <c r="E13" s="1">
        <v>4.3710000000000004</v>
      </c>
      <c r="F13" s="1">
        <v>4.3929999999999998</v>
      </c>
      <c r="G13" s="1">
        <v>4.335</v>
      </c>
      <c r="H13">
        <v>4.29</v>
      </c>
      <c r="I13">
        <v>4.3499999999999996</v>
      </c>
      <c r="J13">
        <v>4.2939999999999996</v>
      </c>
      <c r="K13">
        <v>4.3259999999999996</v>
      </c>
      <c r="L13">
        <v>4.2859999999999996</v>
      </c>
      <c r="M13">
        <v>4.3010000000000002</v>
      </c>
      <c r="N13">
        <v>4.3209999999999997</v>
      </c>
      <c r="O13">
        <v>4.3339999999999996</v>
      </c>
      <c r="P13">
        <v>4.335</v>
      </c>
      <c r="Q13">
        <v>4.306</v>
      </c>
      <c r="R13">
        <v>4.2080000000000002</v>
      </c>
      <c r="S13">
        <v>4.2359999999999998</v>
      </c>
      <c r="T13">
        <v>4.1870000000000003</v>
      </c>
      <c r="U13">
        <v>4.2210000000000001</v>
      </c>
      <c r="V13">
        <v>4.1920000000000002</v>
      </c>
      <c r="W13">
        <v>4.2770000000000001</v>
      </c>
      <c r="X13">
        <v>4.2060000000000004</v>
      </c>
      <c r="Y13">
        <v>4.1840000000000002</v>
      </c>
      <c r="Z13">
        <v>4.1349999999999998</v>
      </c>
      <c r="AA13">
        <v>4.1660000000000004</v>
      </c>
      <c r="AB13">
        <v>3.79</v>
      </c>
      <c r="AC13">
        <v>3.762</v>
      </c>
      <c r="AD13">
        <v>3.75</v>
      </c>
      <c r="AE13">
        <v>3.73</v>
      </c>
      <c r="AF13">
        <v>3.6829999999999998</v>
      </c>
      <c r="AG13">
        <v>3.718</v>
      </c>
      <c r="AH13">
        <v>3.7829999999999999</v>
      </c>
      <c r="AI13">
        <v>3.7250000000000001</v>
      </c>
      <c r="AJ13">
        <v>3.82</v>
      </c>
      <c r="AK13">
        <v>3.798</v>
      </c>
      <c r="AL13">
        <v>3.823</v>
      </c>
      <c r="AM13">
        <v>3.8679999999999999</v>
      </c>
      <c r="AN13">
        <v>4.0599999999999996</v>
      </c>
      <c r="AO13">
        <v>4.1369999999999996</v>
      </c>
      <c r="AP13">
        <v>4.1319999999999997</v>
      </c>
      <c r="AQ13">
        <v>4.1879999999999997</v>
      </c>
      <c r="AR13">
        <v>4.173</v>
      </c>
      <c r="AS13">
        <v>4.1749999999999998</v>
      </c>
      <c r="AT13">
        <v>4.1970000000000001</v>
      </c>
      <c r="AU13">
        <v>4.1769999999999996</v>
      </c>
      <c r="AV13">
        <v>4.1769999999999996</v>
      </c>
      <c r="AW13">
        <v>4.218</v>
      </c>
      <c r="AX13">
        <v>4.1970000000000001</v>
      </c>
      <c r="AY13">
        <v>4.2519999999999998</v>
      </c>
      <c r="AZ13">
        <v>4.2430000000000003</v>
      </c>
      <c r="BA13">
        <v>4.2569999999999997</v>
      </c>
      <c r="BB13">
        <v>4.2279999999999998</v>
      </c>
      <c r="BC13">
        <v>4.2300000000000004</v>
      </c>
      <c r="BD13">
        <v>4.2370000000000001</v>
      </c>
      <c r="BE13">
        <v>4.218</v>
      </c>
      <c r="BF13">
        <v>4.2569999999999997</v>
      </c>
      <c r="BG13">
        <v>4.2480000000000002</v>
      </c>
      <c r="BH13">
        <v>4.24</v>
      </c>
      <c r="BI13">
        <v>4.2370000000000001</v>
      </c>
      <c r="BJ13">
        <v>4.2430000000000003</v>
      </c>
      <c r="BK13">
        <v>4.3129999999999997</v>
      </c>
      <c r="BL13">
        <v>4.1280000000000001</v>
      </c>
      <c r="BM13">
        <v>4.1779999999999999</v>
      </c>
    </row>
    <row r="14" spans="1:71" customFormat="1" hidden="1" x14ac:dyDescent="0.25">
      <c r="A14" s="11"/>
      <c r="B14" s="1" t="s">
        <v>136</v>
      </c>
      <c r="C14" s="1" t="s">
        <v>19</v>
      </c>
      <c r="D14" s="1" t="s">
        <v>66</v>
      </c>
      <c r="E14" s="1">
        <v>0.30620000000000003</v>
      </c>
      <c r="F14" s="1">
        <v>0.30330000000000001</v>
      </c>
      <c r="G14" s="1">
        <v>0.2954</v>
      </c>
      <c r="H14">
        <v>0.29370000000000002</v>
      </c>
      <c r="I14">
        <v>0.2928</v>
      </c>
      <c r="J14">
        <v>0.2989</v>
      </c>
      <c r="K14">
        <v>0.29380000000000001</v>
      </c>
      <c r="L14">
        <v>0.29499999999999998</v>
      </c>
      <c r="M14">
        <v>0.30030000000000001</v>
      </c>
      <c r="N14">
        <v>0.29220000000000002</v>
      </c>
      <c r="O14">
        <v>0.2964</v>
      </c>
      <c r="P14">
        <v>0.29809999999999998</v>
      </c>
      <c r="Q14">
        <v>0.30199999999999999</v>
      </c>
      <c r="R14">
        <v>0.29780000000000001</v>
      </c>
      <c r="S14">
        <v>0.29720000000000002</v>
      </c>
      <c r="T14">
        <v>0.29770000000000002</v>
      </c>
      <c r="U14">
        <v>0.30459999999999998</v>
      </c>
      <c r="V14">
        <v>0.31</v>
      </c>
      <c r="W14">
        <v>0.30909999999999999</v>
      </c>
      <c r="X14">
        <v>0.31519999999999998</v>
      </c>
      <c r="Y14">
        <v>0.31140000000000001</v>
      </c>
      <c r="Z14">
        <v>0.31140000000000001</v>
      </c>
      <c r="AA14">
        <v>0.31469999999999998</v>
      </c>
      <c r="AB14">
        <v>0.31</v>
      </c>
      <c r="AC14">
        <v>0.30220000000000002</v>
      </c>
      <c r="AD14">
        <v>0.29659999999999997</v>
      </c>
      <c r="AE14">
        <v>0.35110000000000002</v>
      </c>
      <c r="AF14">
        <v>0.31340000000000001</v>
      </c>
      <c r="AG14">
        <v>0.32140000000000002</v>
      </c>
      <c r="AH14">
        <v>0.30919999999999997</v>
      </c>
      <c r="AI14">
        <v>0.34620000000000001</v>
      </c>
      <c r="AJ14">
        <v>0.35809999999999997</v>
      </c>
      <c r="AK14">
        <v>0.3468</v>
      </c>
      <c r="AL14">
        <v>0.32769999999999999</v>
      </c>
      <c r="AM14">
        <v>0.31580000000000003</v>
      </c>
      <c r="AN14">
        <v>0.32869999999999999</v>
      </c>
      <c r="AO14">
        <v>0.37409999999999999</v>
      </c>
      <c r="AP14">
        <v>0.35370000000000001</v>
      </c>
      <c r="AQ14">
        <v>0.36709999999999998</v>
      </c>
      <c r="AR14">
        <v>0.37230000000000002</v>
      </c>
      <c r="AS14">
        <v>0.37109999999999999</v>
      </c>
      <c r="AT14">
        <v>0.37109999999999999</v>
      </c>
      <c r="AU14">
        <v>0.37180000000000002</v>
      </c>
      <c r="AV14">
        <v>0.36859999999999998</v>
      </c>
      <c r="AW14">
        <v>0.37790000000000001</v>
      </c>
      <c r="AX14">
        <v>0.38369999999999999</v>
      </c>
      <c r="AY14">
        <v>0.37859999999999999</v>
      </c>
      <c r="AZ14">
        <v>0.3856</v>
      </c>
      <c r="BA14">
        <v>0.39129999999999998</v>
      </c>
      <c r="BB14">
        <v>0.38519999999999999</v>
      </c>
      <c r="BC14">
        <v>0.37980000000000003</v>
      </c>
      <c r="BD14">
        <v>0.37719999999999998</v>
      </c>
      <c r="BE14">
        <v>0.37790000000000001</v>
      </c>
      <c r="BF14">
        <v>0.38269999999999998</v>
      </c>
      <c r="BG14">
        <v>0.38969999999999999</v>
      </c>
      <c r="BH14">
        <v>0.433</v>
      </c>
      <c r="BI14">
        <v>0.43070000000000003</v>
      </c>
      <c r="BJ14">
        <v>0.42199999999999999</v>
      </c>
      <c r="BK14">
        <v>0.4587</v>
      </c>
      <c r="BL14">
        <v>0.46850000000000003</v>
      </c>
      <c r="BM14">
        <v>0.46200000000000002</v>
      </c>
    </row>
    <row r="15" spans="1:71" customFormat="1" hidden="1" x14ac:dyDescent="0.25">
      <c r="A15" s="11"/>
      <c r="B15" s="1" t="s">
        <v>169</v>
      </c>
      <c r="C15" s="1" t="s">
        <v>22</v>
      </c>
      <c r="D15" s="1" t="s">
        <v>68</v>
      </c>
      <c r="E15" s="1">
        <v>4.1256000000000004</v>
      </c>
      <c r="F15" s="1">
        <v>4.1323999999999996</v>
      </c>
      <c r="G15" s="1">
        <v>4.1117999999999997</v>
      </c>
      <c r="H15">
        <v>4.0685000000000002</v>
      </c>
      <c r="I15">
        <v>4.0942999999999996</v>
      </c>
      <c r="J15">
        <v>4.0754000000000001</v>
      </c>
      <c r="K15">
        <v>4.0362</v>
      </c>
      <c r="L15">
        <v>4.0503999999999998</v>
      </c>
      <c r="M15">
        <v>4.1140999999999996</v>
      </c>
      <c r="N15">
        <v>4.1402999999999999</v>
      </c>
      <c r="O15">
        <v>4.1394000000000002</v>
      </c>
      <c r="P15">
        <v>4.1555999999999997</v>
      </c>
      <c r="Q15">
        <v>4.1115000000000004</v>
      </c>
      <c r="R15">
        <v>4.0891000000000002</v>
      </c>
      <c r="S15">
        <v>4.1295999999999999</v>
      </c>
      <c r="T15">
        <v>4.1254999999999997</v>
      </c>
      <c r="U15">
        <v>4.1325000000000003</v>
      </c>
      <c r="V15">
        <v>4.1351000000000004</v>
      </c>
      <c r="W15">
        <v>4.1506999999999996</v>
      </c>
      <c r="X15">
        <v>4.1757</v>
      </c>
      <c r="Y15">
        <v>4.1322000000000001</v>
      </c>
      <c r="Z15">
        <v>4.2916999999999996</v>
      </c>
      <c r="AA15">
        <v>4.1275000000000004</v>
      </c>
      <c r="AB15">
        <v>4.1429999999999998</v>
      </c>
      <c r="AC15">
        <v>4.1680000000000001</v>
      </c>
      <c r="AD15">
        <v>4.1681999999999997</v>
      </c>
      <c r="AE15">
        <v>4.1814</v>
      </c>
      <c r="AF15">
        <v>3.9262000000000001</v>
      </c>
      <c r="AG15">
        <v>3.9518</v>
      </c>
      <c r="AH15">
        <v>4.0110000000000001</v>
      </c>
      <c r="AI15">
        <v>3.9954000000000001</v>
      </c>
      <c r="AJ15">
        <v>4.0162000000000004</v>
      </c>
      <c r="AK15">
        <v>4.0225</v>
      </c>
      <c r="AL15">
        <v>4.0179999999999998</v>
      </c>
      <c r="AM15">
        <v>4.0094000000000003</v>
      </c>
      <c r="AN15">
        <v>4.1170999999999998</v>
      </c>
      <c r="AO15">
        <v>4.1170999999999998</v>
      </c>
      <c r="AP15">
        <v>4.1104000000000003</v>
      </c>
      <c r="AQ15">
        <v>4.1189999999999998</v>
      </c>
      <c r="AR15">
        <v>4.1007999999999996</v>
      </c>
      <c r="AS15">
        <v>4.1113</v>
      </c>
      <c r="AT15">
        <v>4.1017000000000001</v>
      </c>
      <c r="AU15">
        <v>4.0902000000000003</v>
      </c>
      <c r="AV15">
        <v>4.0559000000000003</v>
      </c>
      <c r="AW15">
        <v>4.1586999999999996</v>
      </c>
      <c r="AX15">
        <v>4.1650999999999998</v>
      </c>
      <c r="AY15">
        <v>4.1802999999999999</v>
      </c>
      <c r="AZ15">
        <v>4.1988000000000003</v>
      </c>
      <c r="BA15">
        <v>4.2131999999999996</v>
      </c>
      <c r="BB15">
        <v>4.2214</v>
      </c>
      <c r="BC15">
        <v>4.2164999999999999</v>
      </c>
      <c r="BD15">
        <v>4.2138</v>
      </c>
      <c r="BE15">
        <v>4.2271000000000001</v>
      </c>
      <c r="BF15">
        <v>4.2611999999999997</v>
      </c>
      <c r="BG15">
        <v>4.2587000000000002</v>
      </c>
      <c r="BH15">
        <v>4.2309000000000001</v>
      </c>
      <c r="BI15">
        <v>4.2257999999999996</v>
      </c>
      <c r="BJ15">
        <v>4.1753</v>
      </c>
      <c r="BK15">
        <v>4.1776</v>
      </c>
      <c r="BL15">
        <v>4.1761999999999997</v>
      </c>
      <c r="BM15">
        <v>4.1840999999999999</v>
      </c>
    </row>
    <row r="16" spans="1:71" customFormat="1" hidden="1" x14ac:dyDescent="0.25">
      <c r="A16" s="11"/>
      <c r="B16" s="1" t="s">
        <v>180</v>
      </c>
      <c r="C16" s="1" t="s">
        <v>23</v>
      </c>
      <c r="D16" s="1" t="s">
        <v>70</v>
      </c>
      <c r="E16" s="1">
        <v>4.0648999999999997</v>
      </c>
      <c r="F16" s="1">
        <v>4.1435000000000004</v>
      </c>
      <c r="G16" s="1">
        <v>4.1978</v>
      </c>
      <c r="H16">
        <v>4.1797000000000004</v>
      </c>
      <c r="I16">
        <v>4.2019000000000002</v>
      </c>
      <c r="J16">
        <v>4.2199</v>
      </c>
      <c r="K16">
        <v>4.1978999999999997</v>
      </c>
      <c r="L16">
        <v>4.2323000000000004</v>
      </c>
      <c r="M16">
        <v>4.2218</v>
      </c>
      <c r="N16">
        <v>4.3354999999999997</v>
      </c>
      <c r="O16">
        <v>4.2422000000000004</v>
      </c>
      <c r="P16">
        <v>4.2260999999999997</v>
      </c>
      <c r="Q16">
        <v>4.1989999999999998</v>
      </c>
      <c r="R16">
        <v>4.1989000000000001</v>
      </c>
      <c r="S16">
        <v>4.1931000000000003</v>
      </c>
      <c r="T16">
        <v>4.1063000000000001</v>
      </c>
      <c r="U16">
        <v>4.0867000000000004</v>
      </c>
      <c r="V16">
        <v>4.0613000000000001</v>
      </c>
      <c r="W16">
        <v>4.0209999999999999</v>
      </c>
      <c r="X16">
        <v>4.0167999999999999</v>
      </c>
      <c r="Y16">
        <v>4.0014000000000003</v>
      </c>
      <c r="Z16">
        <v>4.0286999999999997</v>
      </c>
      <c r="AA16">
        <v>4.0449000000000002</v>
      </c>
      <c r="AB16">
        <v>4.0701000000000001</v>
      </c>
      <c r="AC16">
        <v>4.0750000000000002</v>
      </c>
      <c r="AD16">
        <v>4.07</v>
      </c>
      <c r="AE16">
        <v>3.9613</v>
      </c>
      <c r="AF16">
        <v>3.9262999999999999</v>
      </c>
      <c r="AG16">
        <v>3.9003999999999999</v>
      </c>
      <c r="AH16">
        <v>3.9788000000000001</v>
      </c>
      <c r="AI16">
        <v>3.9603000000000002</v>
      </c>
      <c r="AJ16">
        <v>3.9521000000000002</v>
      </c>
      <c r="AK16">
        <v>3.9455</v>
      </c>
      <c r="AL16">
        <v>3.9186000000000001</v>
      </c>
      <c r="AM16">
        <v>3.9624999999999999</v>
      </c>
      <c r="AN16">
        <v>3.9394999999999998</v>
      </c>
      <c r="AO16">
        <v>3.9863</v>
      </c>
      <c r="AP16">
        <v>4.0026999999999999</v>
      </c>
      <c r="AQ16">
        <v>3.6297999999999999</v>
      </c>
      <c r="AR16">
        <v>3.6579999999999999</v>
      </c>
      <c r="AS16">
        <v>3.6671</v>
      </c>
      <c r="AT16">
        <v>3.6623000000000001</v>
      </c>
      <c r="AU16">
        <v>3.8637000000000001</v>
      </c>
      <c r="AV16">
        <v>3.8559000000000001</v>
      </c>
      <c r="AW16">
        <v>3.8466999999999998</v>
      </c>
      <c r="AX16">
        <v>3.8460999999999999</v>
      </c>
      <c r="AY16">
        <v>3.5263</v>
      </c>
      <c r="AZ16">
        <v>3.5011999999999999</v>
      </c>
      <c r="BA16">
        <v>3.5520999999999998</v>
      </c>
      <c r="BB16">
        <v>3.5400999999999998</v>
      </c>
      <c r="BC16">
        <v>3.5455000000000001</v>
      </c>
      <c r="BD16">
        <v>3.5468000000000002</v>
      </c>
      <c r="BE16">
        <v>3.5541999999999998</v>
      </c>
      <c r="BF16">
        <v>3.5449000000000002</v>
      </c>
      <c r="BG16">
        <v>3.5720999999999998</v>
      </c>
      <c r="BH16">
        <v>3.5642999999999998</v>
      </c>
      <c r="BI16">
        <v>3.5628000000000002</v>
      </c>
      <c r="BJ16">
        <v>3.5802999999999998</v>
      </c>
      <c r="BK16">
        <v>3.5992000000000002</v>
      </c>
      <c r="BL16">
        <v>3.641</v>
      </c>
      <c r="BM16">
        <v>3.6271</v>
      </c>
    </row>
    <row r="17" spans="1:67" customFormat="1" hidden="1" x14ac:dyDescent="0.25">
      <c r="A17" s="11"/>
      <c r="B17" s="1" t="s">
        <v>158</v>
      </c>
      <c r="C17" s="1" t="s">
        <v>21</v>
      </c>
      <c r="D17" s="1" t="s">
        <v>72</v>
      </c>
      <c r="E17" s="1">
        <v>3.7988</v>
      </c>
      <c r="F17" s="1">
        <v>3.819</v>
      </c>
      <c r="G17" s="1">
        <v>3.7736000000000001</v>
      </c>
      <c r="H17">
        <v>3.7530999999999999</v>
      </c>
      <c r="I17">
        <v>3.8043999999999998</v>
      </c>
      <c r="J17">
        <v>3.7444000000000002</v>
      </c>
      <c r="K17">
        <v>3.7679999999999998</v>
      </c>
      <c r="L17">
        <v>3.7791999999999999</v>
      </c>
      <c r="M17">
        <v>3.7976999999999999</v>
      </c>
      <c r="N17">
        <v>3.7921</v>
      </c>
      <c r="O17">
        <v>3.7772000000000001</v>
      </c>
      <c r="P17">
        <v>3.7801</v>
      </c>
      <c r="Q17">
        <v>3.7336999999999998</v>
      </c>
      <c r="R17">
        <v>3.4618000000000002</v>
      </c>
      <c r="S17">
        <v>3.4594999999999998</v>
      </c>
      <c r="T17">
        <v>3.4015</v>
      </c>
      <c r="U17">
        <v>3.4066000000000001</v>
      </c>
      <c r="V17">
        <v>3.3913000000000002</v>
      </c>
      <c r="W17">
        <v>3.4443000000000001</v>
      </c>
      <c r="X17">
        <v>3.4154</v>
      </c>
      <c r="Y17">
        <v>3.3264</v>
      </c>
      <c r="Z17">
        <v>3.2595000000000001</v>
      </c>
      <c r="AA17">
        <v>3.2787999999999999</v>
      </c>
      <c r="AB17">
        <v>3.2467999999999999</v>
      </c>
      <c r="AC17">
        <v>3.2465999999999999</v>
      </c>
      <c r="AD17">
        <v>3.2421000000000002</v>
      </c>
      <c r="AE17">
        <v>3.2193999999999998</v>
      </c>
      <c r="AF17">
        <v>3.2336</v>
      </c>
      <c r="AG17">
        <v>3.2326000000000001</v>
      </c>
      <c r="AH17">
        <v>3.2545999999999999</v>
      </c>
      <c r="AI17">
        <v>3.1932999999999998</v>
      </c>
      <c r="AJ17">
        <v>3.2545999999999999</v>
      </c>
      <c r="AK17">
        <v>3.2423000000000002</v>
      </c>
      <c r="AL17">
        <v>3.2751000000000001</v>
      </c>
      <c r="AM17">
        <v>3.3222999999999998</v>
      </c>
      <c r="AN17">
        <v>3.4904999999999999</v>
      </c>
      <c r="AO17">
        <v>3.4963000000000002</v>
      </c>
      <c r="AP17">
        <v>3.4862000000000002</v>
      </c>
      <c r="AQ17">
        <v>3.3887999999999998</v>
      </c>
      <c r="AR17">
        <v>3.4171</v>
      </c>
      <c r="AS17">
        <v>3.3256000000000001</v>
      </c>
      <c r="AT17">
        <v>3.3410000000000002</v>
      </c>
      <c r="AU17">
        <v>3.2505000000000002</v>
      </c>
      <c r="AV17">
        <v>3.2292000000000001</v>
      </c>
      <c r="AW17">
        <v>3.2555999999999998</v>
      </c>
      <c r="AX17">
        <v>3.2332999999999998</v>
      </c>
      <c r="AY17">
        <v>3.2475999999999998</v>
      </c>
      <c r="AZ17">
        <v>3.2547000000000001</v>
      </c>
      <c r="BA17">
        <v>3.0249999999999999</v>
      </c>
      <c r="BB17">
        <v>3.0670999999999999</v>
      </c>
      <c r="BC17">
        <v>3.0283000000000002</v>
      </c>
      <c r="BD17">
        <v>3.0253000000000001</v>
      </c>
      <c r="BE17">
        <v>2.9996</v>
      </c>
      <c r="BF17">
        <v>3.0019999999999998</v>
      </c>
      <c r="BG17">
        <v>3.0417999999999998</v>
      </c>
      <c r="BH17">
        <v>3.0327999999999999</v>
      </c>
      <c r="BI17">
        <v>3.0154000000000001</v>
      </c>
      <c r="BJ17">
        <v>3.0547</v>
      </c>
      <c r="BK17">
        <v>3.0387</v>
      </c>
      <c r="BL17">
        <v>3.0583</v>
      </c>
      <c r="BM17">
        <v>3.0407000000000002</v>
      </c>
    </row>
    <row r="18" spans="1:67" customFormat="1" hidden="1" x14ac:dyDescent="0.25">
      <c r="A18" s="11"/>
      <c r="B18" s="1" t="s">
        <v>191</v>
      </c>
      <c r="C18" s="1" t="s">
        <v>24</v>
      </c>
      <c r="D18" s="1" t="s">
        <v>74</v>
      </c>
      <c r="E18" s="1">
        <v>0.59150000000000003</v>
      </c>
      <c r="F18" s="1">
        <v>0.5796</v>
      </c>
      <c r="G18" s="1">
        <v>0.59089999999999998</v>
      </c>
      <c r="H18">
        <v>0.56989999999999996</v>
      </c>
      <c r="I18">
        <v>0.59909999999999997</v>
      </c>
      <c r="J18">
        <v>0.58760000000000001</v>
      </c>
      <c r="K18">
        <v>0.57079999999999997</v>
      </c>
      <c r="L18">
        <v>0.6028</v>
      </c>
      <c r="M18">
        <v>0.60309999999999997</v>
      </c>
      <c r="N18">
        <v>0.5585</v>
      </c>
      <c r="O18">
        <v>0.56489999999999996</v>
      </c>
      <c r="P18">
        <v>0.58560000000000001</v>
      </c>
      <c r="Q18">
        <v>0.5696</v>
      </c>
      <c r="R18">
        <v>0.54139999999999999</v>
      </c>
      <c r="S18">
        <v>0.58120000000000005</v>
      </c>
      <c r="T18">
        <v>0.56510000000000005</v>
      </c>
      <c r="U18">
        <v>0.59089999999999998</v>
      </c>
      <c r="V18">
        <v>0.56359999999999999</v>
      </c>
      <c r="W18">
        <v>0.52939999999999998</v>
      </c>
      <c r="X18">
        <v>0.55710000000000004</v>
      </c>
      <c r="Y18">
        <v>0.53510000000000002</v>
      </c>
      <c r="Z18">
        <v>0.51349999999999996</v>
      </c>
      <c r="AA18">
        <v>0.52</v>
      </c>
      <c r="AB18">
        <v>0.56010000000000004</v>
      </c>
      <c r="AC18">
        <v>0.57599999999999996</v>
      </c>
      <c r="AD18">
        <v>0.5796</v>
      </c>
      <c r="AE18">
        <v>0.55410000000000004</v>
      </c>
      <c r="AF18">
        <v>0.4587</v>
      </c>
      <c r="AG18">
        <v>0.48670000000000002</v>
      </c>
      <c r="AH18">
        <v>0.37390000000000001</v>
      </c>
      <c r="AI18">
        <v>0.37009999999999998</v>
      </c>
      <c r="AJ18">
        <v>0.36070000000000002</v>
      </c>
      <c r="AK18">
        <v>0.33900000000000002</v>
      </c>
      <c r="AL18">
        <v>0.35820000000000002</v>
      </c>
      <c r="AM18">
        <v>0.32079999999999997</v>
      </c>
      <c r="AN18">
        <v>0.37769999999999998</v>
      </c>
      <c r="AO18">
        <v>0.38090000000000002</v>
      </c>
      <c r="AP18">
        <v>0.37</v>
      </c>
      <c r="AQ18">
        <v>0.39900000000000002</v>
      </c>
      <c r="AR18">
        <v>0.40510000000000002</v>
      </c>
      <c r="AS18">
        <v>0.42109999999999997</v>
      </c>
      <c r="AT18">
        <v>0.3795</v>
      </c>
      <c r="AU18">
        <v>0.32440000000000002</v>
      </c>
      <c r="AV18">
        <v>0.25559999999999999</v>
      </c>
      <c r="AW18">
        <v>0.2485</v>
      </c>
      <c r="AX18">
        <v>0.2291</v>
      </c>
      <c r="AY18">
        <v>0.24660000000000001</v>
      </c>
      <c r="AZ18">
        <v>0.28960000000000002</v>
      </c>
      <c r="BA18">
        <v>0.24679999999999999</v>
      </c>
      <c r="BB18">
        <v>0.2389</v>
      </c>
      <c r="BC18">
        <v>0.2099</v>
      </c>
    </row>
    <row r="19" spans="1:67" customFormat="1" hidden="1" x14ac:dyDescent="0.25">
      <c r="A19" s="11"/>
    </row>
    <row r="20" spans="1:67" hidden="1" x14ac:dyDescent="0.25">
      <c r="BN20"/>
      <c r="BO20"/>
    </row>
    <row r="21" spans="1:67" ht="23.25" x14ac:dyDescent="0.25">
      <c r="C21" s="6" t="s">
        <v>83</v>
      </c>
      <c r="E21" s="68">
        <f>E1</f>
        <v>45520</v>
      </c>
      <c r="F21" s="68">
        <f t="shared" ref="F21:BM21" si="0">F1</f>
        <v>45523</v>
      </c>
      <c r="G21" s="68">
        <f t="shared" si="0"/>
        <v>45524</v>
      </c>
      <c r="H21" s="68">
        <f t="shared" si="0"/>
        <v>45525</v>
      </c>
      <c r="I21" s="68">
        <f t="shared" si="0"/>
        <v>45526</v>
      </c>
      <c r="J21" s="68">
        <f t="shared" si="0"/>
        <v>45527</v>
      </c>
      <c r="K21" s="68">
        <f t="shared" si="0"/>
        <v>45530</v>
      </c>
      <c r="L21" s="68">
        <f t="shared" si="0"/>
        <v>45531</v>
      </c>
      <c r="M21" s="68">
        <f t="shared" si="0"/>
        <v>45532</v>
      </c>
      <c r="N21" s="68">
        <f t="shared" si="0"/>
        <v>45533</v>
      </c>
      <c r="O21" s="68">
        <f t="shared" si="0"/>
        <v>45534</v>
      </c>
      <c r="P21" s="68">
        <f t="shared" si="0"/>
        <v>45537</v>
      </c>
      <c r="Q21" s="68">
        <f t="shared" si="0"/>
        <v>45538</v>
      </c>
      <c r="R21" s="68">
        <f t="shared" si="0"/>
        <v>45539</v>
      </c>
      <c r="S21" s="68">
        <f t="shared" si="0"/>
        <v>45540</v>
      </c>
      <c r="T21" s="68">
        <f t="shared" si="0"/>
        <v>45541</v>
      </c>
      <c r="U21" s="68">
        <f t="shared" si="0"/>
        <v>45544</v>
      </c>
      <c r="V21" s="68">
        <f t="shared" si="0"/>
        <v>45545</v>
      </c>
      <c r="W21" s="68">
        <f t="shared" si="0"/>
        <v>45546</v>
      </c>
      <c r="X21" s="68">
        <f t="shared" si="0"/>
        <v>45547</v>
      </c>
      <c r="Y21" s="68">
        <f t="shared" si="0"/>
        <v>45548</v>
      </c>
      <c r="Z21" s="68">
        <f t="shared" si="0"/>
        <v>45551</v>
      </c>
      <c r="AA21" s="68">
        <f t="shared" si="0"/>
        <v>45552</v>
      </c>
      <c r="AB21" s="68">
        <f t="shared" si="0"/>
        <v>45553</v>
      </c>
      <c r="AC21" s="68">
        <f t="shared" si="0"/>
        <v>45554</v>
      </c>
      <c r="AD21" s="68">
        <f t="shared" si="0"/>
        <v>45555</v>
      </c>
      <c r="AE21" s="68">
        <f t="shared" si="0"/>
        <v>45558</v>
      </c>
      <c r="AF21" s="68">
        <f t="shared" si="0"/>
        <v>45559</v>
      </c>
      <c r="AG21" s="68">
        <f t="shared" si="0"/>
        <v>45560</v>
      </c>
      <c r="AH21" s="68">
        <f t="shared" si="0"/>
        <v>45561</v>
      </c>
      <c r="AI21" s="68">
        <f t="shared" si="0"/>
        <v>45562</v>
      </c>
      <c r="AJ21" s="68">
        <f t="shared" si="0"/>
        <v>45565</v>
      </c>
      <c r="AK21" s="68">
        <f t="shared" si="0"/>
        <v>45566</v>
      </c>
      <c r="AL21" s="68">
        <f t="shared" si="0"/>
        <v>45567</v>
      </c>
      <c r="AM21" s="68">
        <f t="shared" si="0"/>
        <v>45568</v>
      </c>
      <c r="AN21" s="68">
        <f t="shared" si="0"/>
        <v>45569</v>
      </c>
      <c r="AO21" s="68">
        <f t="shared" si="0"/>
        <v>45572</v>
      </c>
      <c r="AP21" s="68">
        <f t="shared" si="0"/>
        <v>45573</v>
      </c>
      <c r="AQ21" s="68">
        <f t="shared" si="0"/>
        <v>45574</v>
      </c>
      <c r="AR21" s="68">
        <f t="shared" si="0"/>
        <v>45575</v>
      </c>
      <c r="AS21" s="68">
        <f t="shared" si="0"/>
        <v>45576</v>
      </c>
      <c r="AT21" s="68">
        <f t="shared" si="0"/>
        <v>45579</v>
      </c>
      <c r="AU21" s="68">
        <f t="shared" si="0"/>
        <v>45580</v>
      </c>
      <c r="AV21" s="68">
        <f t="shared" si="0"/>
        <v>45581</v>
      </c>
      <c r="AW21" s="68">
        <f t="shared" si="0"/>
        <v>45582</v>
      </c>
      <c r="AX21" s="68">
        <f t="shared" si="0"/>
        <v>45583</v>
      </c>
      <c r="AY21" s="68">
        <f t="shared" si="0"/>
        <v>45586</v>
      </c>
      <c r="AZ21" s="68">
        <f t="shared" si="0"/>
        <v>45587</v>
      </c>
      <c r="BA21" s="68">
        <f t="shared" si="0"/>
        <v>45588</v>
      </c>
      <c r="BB21" s="68">
        <f t="shared" si="0"/>
        <v>45589</v>
      </c>
      <c r="BC21" s="68">
        <f t="shared" si="0"/>
        <v>45590</v>
      </c>
      <c r="BD21" s="68">
        <f t="shared" si="0"/>
        <v>45593</v>
      </c>
      <c r="BE21" s="68">
        <f t="shared" si="0"/>
        <v>45594</v>
      </c>
      <c r="BF21" s="68">
        <f t="shared" si="0"/>
        <v>45595</v>
      </c>
      <c r="BG21" s="68">
        <f t="shared" si="0"/>
        <v>45596</v>
      </c>
      <c r="BH21" s="68">
        <f t="shared" si="0"/>
        <v>45597</v>
      </c>
      <c r="BI21" s="68">
        <f t="shared" si="0"/>
        <v>45600</v>
      </c>
      <c r="BJ21" s="68">
        <f t="shared" si="0"/>
        <v>45601</v>
      </c>
      <c r="BK21" s="68">
        <f t="shared" si="0"/>
        <v>45602</v>
      </c>
      <c r="BL21" s="68">
        <f t="shared" si="0"/>
        <v>45603</v>
      </c>
      <c r="BM21" s="68">
        <f t="shared" si="0"/>
        <v>45604</v>
      </c>
      <c r="BN21"/>
      <c r="BO21"/>
    </row>
    <row r="22" spans="1:67" customFormat="1" ht="21" hidden="1" x14ac:dyDescent="0.25">
      <c r="A22" s="11"/>
      <c r="B22" s="11"/>
      <c r="C22" s="64" t="s">
        <v>84</v>
      </c>
      <c r="D22" s="11"/>
      <c r="E22" s="1">
        <f t="shared" ref="E22:G22" si="1">E2-E11</f>
        <v>0.48680000000000012</v>
      </c>
      <c r="F22" s="1">
        <f t="shared" si="1"/>
        <v>0.41049999999999986</v>
      </c>
      <c r="G22" s="1">
        <f t="shared" si="1"/>
        <v>0.43009999999999993</v>
      </c>
      <c r="H22" s="1">
        <f>H2-H11</f>
        <v>0.44520000000000026</v>
      </c>
      <c r="I22" s="1">
        <f t="shared" ref="I22:BM22" si="2">I2-I11</f>
        <v>0.39799999999999969</v>
      </c>
      <c r="J22" s="1">
        <f t="shared" si="2"/>
        <v>0.41230000000000011</v>
      </c>
      <c r="K22" s="1">
        <f t="shared" si="2"/>
        <v>0.38339999999999996</v>
      </c>
      <c r="L22" s="1">
        <f t="shared" si="2"/>
        <v>0.39349999999999996</v>
      </c>
      <c r="M22" s="1">
        <f t="shared" si="2"/>
        <v>0.39359999999999973</v>
      </c>
      <c r="N22" s="1">
        <f t="shared" si="2"/>
        <v>0.38790000000000013</v>
      </c>
      <c r="O22" s="1">
        <f t="shared" si="2"/>
        <v>0.3552000000000004</v>
      </c>
      <c r="P22" s="1">
        <f t="shared" si="2"/>
        <v>0.33550000000000013</v>
      </c>
      <c r="Q22" s="1">
        <f t="shared" si="2"/>
        <v>0.33239999999999981</v>
      </c>
      <c r="R22" s="1">
        <f t="shared" si="2"/>
        <v>0.34729999999999972</v>
      </c>
      <c r="S22" s="1">
        <f t="shared" si="2"/>
        <v>0.36380000000000035</v>
      </c>
      <c r="T22" s="1">
        <f t="shared" si="2"/>
        <v>0.39400000000000013</v>
      </c>
      <c r="U22" s="1">
        <f t="shared" si="2"/>
        <v>0.36839999999999984</v>
      </c>
      <c r="V22" s="1">
        <f t="shared" si="2"/>
        <v>0.37590000000000012</v>
      </c>
      <c r="W22" s="1">
        <f t="shared" si="2"/>
        <v>0.38719999999999999</v>
      </c>
      <c r="X22" s="1">
        <f t="shared" si="2"/>
        <v>0.47909999999999986</v>
      </c>
      <c r="Y22" s="1">
        <f t="shared" si="2"/>
        <v>0.51039999999999974</v>
      </c>
      <c r="Z22" s="1">
        <f t="shared" si="2"/>
        <v>0.52879999999999994</v>
      </c>
      <c r="AA22" s="1">
        <f t="shared" si="2"/>
        <v>0.50939999999999985</v>
      </c>
      <c r="AB22" s="1">
        <f t="shared" si="2"/>
        <v>0.50699999999999967</v>
      </c>
      <c r="AC22" s="1">
        <f t="shared" si="2"/>
        <v>0.50879999999999992</v>
      </c>
      <c r="AD22" s="1">
        <f t="shared" si="2"/>
        <v>0.5176999999999996</v>
      </c>
      <c r="AE22" s="1">
        <f t="shared" si="2"/>
        <v>0.59789999999999965</v>
      </c>
      <c r="AF22" s="1">
        <f t="shared" si="2"/>
        <v>0.54360000000000008</v>
      </c>
      <c r="AG22" s="1">
        <f t="shared" si="2"/>
        <v>0.53189999999999982</v>
      </c>
      <c r="AH22" s="1">
        <f t="shared" si="2"/>
        <v>0.55580000000000007</v>
      </c>
      <c r="AI22" s="1">
        <f t="shared" si="2"/>
        <v>0.56639999999999979</v>
      </c>
      <c r="AJ22" s="1">
        <f t="shared" si="2"/>
        <v>0.54130000000000011</v>
      </c>
      <c r="AK22" s="1">
        <f t="shared" si="2"/>
        <v>0.59620000000000006</v>
      </c>
      <c r="AL22" s="1">
        <f t="shared" si="2"/>
        <v>0.58489999999999975</v>
      </c>
      <c r="AM22" s="1">
        <f t="shared" si="2"/>
        <v>0.55489999999999995</v>
      </c>
      <c r="AN22" s="1">
        <f t="shared" si="2"/>
        <v>0.5022000000000002</v>
      </c>
      <c r="AO22" s="1">
        <f t="shared" si="2"/>
        <v>0.45960000000000001</v>
      </c>
      <c r="AP22" s="1">
        <f t="shared" si="2"/>
        <v>0.44510000000000005</v>
      </c>
      <c r="AQ22" s="1">
        <f t="shared" si="2"/>
        <v>0.42169999999999996</v>
      </c>
      <c r="AR22" s="1">
        <f t="shared" si="2"/>
        <v>0.43559999999999999</v>
      </c>
      <c r="AS22" s="1">
        <f t="shared" si="2"/>
        <v>0.42779999999999996</v>
      </c>
      <c r="AT22" s="1">
        <f t="shared" si="2"/>
        <v>0.4251999999999998</v>
      </c>
      <c r="AU22" s="1">
        <f t="shared" si="2"/>
        <v>0.43769999999999998</v>
      </c>
      <c r="AV22" s="1">
        <f t="shared" si="2"/>
        <v>0.46250000000000036</v>
      </c>
      <c r="AW22" s="1">
        <f t="shared" si="2"/>
        <v>0.47389999999999999</v>
      </c>
      <c r="AX22" s="1">
        <f t="shared" si="2"/>
        <v>0.51560000000000006</v>
      </c>
      <c r="AY22" s="1">
        <f t="shared" si="2"/>
        <v>0.4887999999999999</v>
      </c>
      <c r="AZ22" s="1">
        <f t="shared" si="2"/>
        <v>0.5299999999999998</v>
      </c>
      <c r="BA22" s="1">
        <f t="shared" si="2"/>
        <v>0.5625</v>
      </c>
      <c r="BB22" s="1">
        <f t="shared" si="2"/>
        <v>0.57679999999999998</v>
      </c>
      <c r="BC22" s="1">
        <f t="shared" si="2"/>
        <v>0.58510000000000018</v>
      </c>
      <c r="BD22" s="1">
        <f t="shared" si="2"/>
        <v>0.57509999999999994</v>
      </c>
      <c r="BE22" s="1">
        <f t="shared" si="2"/>
        <v>0.58429999999999982</v>
      </c>
      <c r="BF22" s="1">
        <f t="shared" si="2"/>
        <v>0.55069999999999997</v>
      </c>
      <c r="BG22" s="1">
        <f t="shared" si="2"/>
        <v>0.5343</v>
      </c>
      <c r="BH22" s="1">
        <f t="shared" si="2"/>
        <v>0.5506000000000002</v>
      </c>
      <c r="BI22" s="1">
        <f t="shared" si="2"/>
        <v>0.54919999999999991</v>
      </c>
      <c r="BJ22" s="1">
        <f t="shared" si="2"/>
        <v>0.52780000000000005</v>
      </c>
      <c r="BK22" s="1">
        <f t="shared" si="2"/>
        <v>0.60959999999999992</v>
      </c>
      <c r="BL22" s="1">
        <f t="shared" si="2"/>
        <v>0.60919999999999996</v>
      </c>
      <c r="BM22" s="1">
        <f t="shared" si="2"/>
        <v>0.61699999999999999</v>
      </c>
    </row>
    <row r="23" spans="1:67" customFormat="1" ht="21" x14ac:dyDescent="0.25">
      <c r="A23" s="11"/>
      <c r="B23" s="11"/>
      <c r="C23" s="65" t="s">
        <v>85</v>
      </c>
      <c r="D23" s="11"/>
      <c r="E23" s="1">
        <f>E3-E12</f>
        <v>0.32680000000000042</v>
      </c>
      <c r="F23" s="1">
        <f t="shared" ref="E23:G23" si="3">F3-F12</f>
        <v>0.3327</v>
      </c>
      <c r="G23" s="1">
        <f t="shared" si="3"/>
        <v>0.32640000000000047</v>
      </c>
      <c r="H23" s="1">
        <f t="shared" ref="H23:BM23" si="4">H3-H12</f>
        <v>0.34480000000000022</v>
      </c>
      <c r="I23" s="1">
        <f t="shared" si="4"/>
        <v>0.33209999999999962</v>
      </c>
      <c r="J23" s="1">
        <f t="shared" si="4"/>
        <v>0.36879999999999935</v>
      </c>
      <c r="K23" s="1">
        <f t="shared" si="4"/>
        <v>0.36870000000000047</v>
      </c>
      <c r="L23" s="1">
        <f t="shared" si="4"/>
        <v>0.35789999999999988</v>
      </c>
      <c r="M23" s="1">
        <f t="shared" si="4"/>
        <v>0.34419999999999984</v>
      </c>
      <c r="N23" s="1">
        <f t="shared" si="4"/>
        <v>0.34090000000000042</v>
      </c>
      <c r="O23" s="1">
        <f t="shared" si="4"/>
        <v>0.34689999999999976</v>
      </c>
      <c r="P23" s="1">
        <f t="shared" si="4"/>
        <v>0.34309999999999974</v>
      </c>
      <c r="Q23" s="1">
        <f t="shared" si="4"/>
        <v>0.34630000000000027</v>
      </c>
      <c r="R23" s="1">
        <f t="shared" si="4"/>
        <v>0.35790000000000077</v>
      </c>
      <c r="S23" s="1">
        <f t="shared" si="4"/>
        <v>0.35949999999999971</v>
      </c>
      <c r="T23" s="1">
        <f t="shared" si="4"/>
        <v>0.38189999999999991</v>
      </c>
      <c r="U23" s="1">
        <f t="shared" si="4"/>
        <v>0.40610000000000035</v>
      </c>
      <c r="V23" s="1">
        <f t="shared" si="4"/>
        <v>0.40069999999999961</v>
      </c>
      <c r="W23" s="1">
        <f t="shared" si="4"/>
        <v>0.44539999999999935</v>
      </c>
      <c r="X23" s="1">
        <f t="shared" si="4"/>
        <v>0.40840000000000032</v>
      </c>
      <c r="Y23" s="1">
        <f t="shared" si="4"/>
        <v>0.43900000000000006</v>
      </c>
      <c r="Z23" s="1">
        <f t="shared" si="4"/>
        <v>0.45720000000000027</v>
      </c>
      <c r="AA23" s="1">
        <f t="shared" si="4"/>
        <v>0.44310000000000027</v>
      </c>
      <c r="AB23" s="1">
        <f t="shared" si="4"/>
        <v>0.4352999999999998</v>
      </c>
      <c r="AC23" s="1">
        <f t="shared" si="4"/>
        <v>0.3902000000000001</v>
      </c>
      <c r="AD23" s="1">
        <f t="shared" si="4"/>
        <v>0.39480000000000004</v>
      </c>
      <c r="AE23" s="1">
        <f t="shared" si="4"/>
        <v>0.42239999999999966</v>
      </c>
      <c r="AF23" s="1">
        <f t="shared" si="4"/>
        <v>0.41059999999999963</v>
      </c>
      <c r="AG23" s="1">
        <f t="shared" si="4"/>
        <v>0.38240000000000052</v>
      </c>
      <c r="AH23" s="1">
        <f t="shared" si="4"/>
        <v>0.38109999999999999</v>
      </c>
      <c r="AI23" s="1">
        <f t="shared" si="4"/>
        <v>0.42020000000000035</v>
      </c>
      <c r="AJ23" s="1">
        <f t="shared" si="4"/>
        <v>0.38609999999999989</v>
      </c>
      <c r="AK23" s="1">
        <f t="shared" si="4"/>
        <v>0.38930000000000042</v>
      </c>
      <c r="AL23" s="1">
        <f t="shared" si="4"/>
        <v>0.37750000000000039</v>
      </c>
      <c r="AM23" s="1">
        <f t="shared" si="4"/>
        <v>0.43310000000000048</v>
      </c>
      <c r="AN23" s="1">
        <f t="shared" si="4"/>
        <v>0.36979999999999968</v>
      </c>
      <c r="AO23" s="1">
        <f t="shared" si="4"/>
        <v>0.32980000000000054</v>
      </c>
      <c r="AP23" s="1">
        <f t="shared" si="4"/>
        <v>0.34830000000000005</v>
      </c>
      <c r="AQ23" s="1">
        <f t="shared" si="4"/>
        <v>0.34890000000000043</v>
      </c>
      <c r="AR23" s="1">
        <f t="shared" si="4"/>
        <v>0.35949999999999971</v>
      </c>
      <c r="AS23" s="1">
        <f t="shared" si="4"/>
        <v>0.35310000000000041</v>
      </c>
      <c r="AT23" s="1">
        <f t="shared" si="4"/>
        <v>0.33059999999999956</v>
      </c>
      <c r="AU23" s="1">
        <f t="shared" si="4"/>
        <v>0.34980000000000011</v>
      </c>
      <c r="AV23" s="1">
        <f t="shared" si="4"/>
        <v>0.40599999999999969</v>
      </c>
      <c r="AW23" s="1">
        <f t="shared" si="4"/>
        <v>0.39920000000000044</v>
      </c>
      <c r="AX23" s="1">
        <f t="shared" si="4"/>
        <v>0.38200000000000056</v>
      </c>
      <c r="AY23" s="1">
        <f t="shared" si="4"/>
        <v>0.36319999999999997</v>
      </c>
      <c r="AZ23" s="1">
        <f t="shared" si="4"/>
        <v>0.37819999999999965</v>
      </c>
      <c r="BA23" s="1">
        <f t="shared" si="4"/>
        <v>0.38149999999999995</v>
      </c>
      <c r="BB23" s="1">
        <f t="shared" si="4"/>
        <v>0.36490000000000045</v>
      </c>
      <c r="BC23" s="1">
        <f t="shared" si="4"/>
        <v>0.35200000000000031</v>
      </c>
      <c r="BD23" s="1">
        <f t="shared" si="4"/>
        <v>0.36570000000000036</v>
      </c>
      <c r="BE23" s="1">
        <f t="shared" si="4"/>
        <v>0.36280000000000001</v>
      </c>
      <c r="BF23" s="1">
        <f t="shared" si="4"/>
        <v>0.28099999999999969</v>
      </c>
      <c r="BG23" s="1">
        <f t="shared" si="4"/>
        <v>0.29110000000000014</v>
      </c>
      <c r="BH23" s="1">
        <f t="shared" si="4"/>
        <v>0.27660000000000018</v>
      </c>
      <c r="BI23" s="1">
        <f t="shared" si="4"/>
        <v>0.25879999999999992</v>
      </c>
      <c r="BJ23" s="1">
        <f t="shared" si="4"/>
        <v>0.25760000000000005</v>
      </c>
      <c r="BK23" s="1">
        <f t="shared" si="4"/>
        <v>0.28840000000000021</v>
      </c>
      <c r="BL23" s="1">
        <f t="shared" si="4"/>
        <v>0.25320000000000054</v>
      </c>
      <c r="BM23" s="1">
        <f t="shared" si="4"/>
        <v>0.25229999999999997</v>
      </c>
    </row>
    <row r="24" spans="1:67" customFormat="1" ht="21" hidden="1" x14ac:dyDescent="0.25">
      <c r="A24" s="11"/>
      <c r="B24" s="11"/>
      <c r="C24" s="4" t="s">
        <v>86</v>
      </c>
      <c r="D24" s="11"/>
      <c r="E24" s="1">
        <f t="shared" ref="E24:G24" si="5">E4-E13</f>
        <v>0.63699999999999957</v>
      </c>
      <c r="F24" s="1">
        <f t="shared" si="5"/>
        <v>0.62999999999999989</v>
      </c>
      <c r="G24" s="1">
        <f t="shared" si="5"/>
        <v>0.66300000000000026</v>
      </c>
      <c r="H24" s="1">
        <f t="shared" ref="H24:BM24" si="6">H4-H13</f>
        <v>0.70300000000000029</v>
      </c>
      <c r="I24" s="1">
        <f t="shared" si="6"/>
        <v>0.66800000000000015</v>
      </c>
      <c r="J24" s="1">
        <f t="shared" si="6"/>
        <v>0.69400000000000084</v>
      </c>
      <c r="K24" s="1">
        <f t="shared" si="6"/>
        <v>0.68200000000000038</v>
      </c>
      <c r="L24" s="1">
        <f t="shared" si="6"/>
        <v>0.70700000000000074</v>
      </c>
      <c r="M24" s="1">
        <f t="shared" si="6"/>
        <v>0.69200000000000017</v>
      </c>
      <c r="N24" s="1">
        <f t="shared" si="6"/>
        <v>0.67700000000000049</v>
      </c>
      <c r="O24" s="1">
        <f t="shared" si="6"/>
        <v>0.66400000000000059</v>
      </c>
      <c r="P24" s="1">
        <f t="shared" si="6"/>
        <v>0.66800000000000015</v>
      </c>
      <c r="Q24" s="1">
        <f t="shared" si="6"/>
        <v>0.6769999999999996</v>
      </c>
      <c r="R24" s="1">
        <f t="shared" si="6"/>
        <v>0.75999999999999979</v>
      </c>
      <c r="S24" s="1">
        <f t="shared" si="6"/>
        <v>0.74100000000000055</v>
      </c>
      <c r="T24" s="1">
        <f t="shared" si="6"/>
        <v>0.81799999999999962</v>
      </c>
      <c r="U24" s="1">
        <f t="shared" si="6"/>
        <v>0.78699999999999992</v>
      </c>
      <c r="V24" s="1">
        <f t="shared" si="6"/>
        <v>0.81099999999999994</v>
      </c>
      <c r="W24" s="1">
        <f t="shared" si="6"/>
        <v>0.76499999999999968</v>
      </c>
      <c r="X24" s="1">
        <f t="shared" si="6"/>
        <v>0.77699999999999925</v>
      </c>
      <c r="Y24" s="1">
        <f t="shared" si="6"/>
        <v>0.78399999999999981</v>
      </c>
      <c r="Z24" s="1">
        <f t="shared" si="6"/>
        <v>0.77800000000000047</v>
      </c>
      <c r="AA24" s="1">
        <f t="shared" si="6"/>
        <v>0.75699999999999967</v>
      </c>
      <c r="AB24" s="1">
        <f t="shared" si="6"/>
        <v>0.70000000000000018</v>
      </c>
      <c r="AC24" s="1">
        <f t="shared" si="6"/>
        <v>0.70700000000000029</v>
      </c>
      <c r="AD24" s="1">
        <f t="shared" si="6"/>
        <v>0.69899999999999984</v>
      </c>
      <c r="AE24" s="1">
        <f t="shared" si="6"/>
        <v>0.71299999999999963</v>
      </c>
      <c r="AF24" s="1">
        <f t="shared" si="6"/>
        <v>0.73500000000000032</v>
      </c>
      <c r="AG24" s="1">
        <f t="shared" si="6"/>
        <v>0.70000000000000018</v>
      </c>
      <c r="AH24" s="1">
        <f t="shared" si="6"/>
        <v>0.66100000000000003</v>
      </c>
      <c r="AI24" s="1">
        <f t="shared" si="6"/>
        <v>0.71299999999999963</v>
      </c>
      <c r="AJ24" s="1">
        <f t="shared" si="6"/>
        <v>0.65700000000000047</v>
      </c>
      <c r="AK24" s="1">
        <f t="shared" si="6"/>
        <v>0.67300000000000004</v>
      </c>
      <c r="AL24" s="1">
        <f t="shared" si="6"/>
        <v>0.66100000000000003</v>
      </c>
      <c r="AM24" s="1">
        <f t="shared" si="6"/>
        <v>0.6160000000000001</v>
      </c>
      <c r="AN24" s="1">
        <f t="shared" si="6"/>
        <v>0.51100000000000012</v>
      </c>
      <c r="AO24" s="1">
        <f t="shared" si="6"/>
        <v>0.47600000000000087</v>
      </c>
      <c r="AP24" s="1">
        <f t="shared" si="6"/>
        <v>0.4740000000000002</v>
      </c>
      <c r="AQ24" s="1">
        <f t="shared" si="6"/>
        <v>0.43100000000000005</v>
      </c>
      <c r="AR24" s="1">
        <f t="shared" si="6"/>
        <v>0.44000000000000039</v>
      </c>
      <c r="AS24" s="1">
        <f t="shared" si="6"/>
        <v>0.42799999999999994</v>
      </c>
      <c r="AT24" s="1">
        <f t="shared" si="6"/>
        <v>0.41500000000000004</v>
      </c>
      <c r="AU24" s="1">
        <f t="shared" si="6"/>
        <v>0.4090000000000007</v>
      </c>
      <c r="AV24" s="1">
        <f t="shared" si="6"/>
        <v>0.41500000000000004</v>
      </c>
      <c r="AW24" s="1">
        <f t="shared" si="6"/>
        <v>0.38100000000000023</v>
      </c>
      <c r="AX24" s="1">
        <f t="shared" si="6"/>
        <v>0.39499999999999957</v>
      </c>
      <c r="AY24" s="1">
        <f t="shared" si="6"/>
        <v>0.35300000000000065</v>
      </c>
      <c r="AZ24" s="1">
        <f t="shared" si="6"/>
        <v>0.35599999999999987</v>
      </c>
      <c r="BA24" s="1">
        <f t="shared" si="6"/>
        <v>0.34800000000000075</v>
      </c>
      <c r="BB24" s="1">
        <f t="shared" si="6"/>
        <v>0.36399999999999988</v>
      </c>
      <c r="BC24" s="1">
        <f t="shared" si="6"/>
        <v>0.36199999999999921</v>
      </c>
      <c r="BD24" s="1">
        <f t="shared" si="6"/>
        <v>0.35400000000000009</v>
      </c>
      <c r="BE24" s="1">
        <f t="shared" si="6"/>
        <v>0.36599999999999966</v>
      </c>
      <c r="BF24" s="1">
        <f t="shared" si="6"/>
        <v>0.33700000000000063</v>
      </c>
      <c r="BG24" s="1">
        <f t="shared" si="6"/>
        <v>0.34600000000000009</v>
      </c>
      <c r="BH24" s="1">
        <f t="shared" si="6"/>
        <v>0.34699999999999953</v>
      </c>
      <c r="BI24" s="1">
        <f t="shared" si="6"/>
        <v>0.34699999999999953</v>
      </c>
      <c r="BJ24" s="1">
        <f t="shared" si="6"/>
        <v>0.3409999999999993</v>
      </c>
      <c r="BK24" s="1">
        <f t="shared" si="6"/>
        <v>0.26800000000000068</v>
      </c>
      <c r="BL24" s="1">
        <f t="shared" si="6"/>
        <v>0.26600000000000001</v>
      </c>
      <c r="BM24" s="1">
        <f t="shared" si="6"/>
        <v>0.23500000000000032</v>
      </c>
    </row>
    <row r="25" spans="1:67" customFormat="1" ht="21" hidden="1" x14ac:dyDescent="0.25">
      <c r="A25" s="11"/>
      <c r="B25" s="11"/>
      <c r="C25" s="5" t="s">
        <v>87</v>
      </c>
      <c r="D25" s="11"/>
      <c r="E25" s="1">
        <f t="shared" ref="E25:G25" si="7">E5-E14</f>
        <v>-8.0500000000000016E-2</v>
      </c>
      <c r="F25" s="1">
        <f t="shared" si="7"/>
        <v>-7.7500000000000013E-2</v>
      </c>
      <c r="G25" s="1">
        <f t="shared" si="7"/>
        <v>-6.989999999999999E-2</v>
      </c>
      <c r="H25" s="1">
        <f t="shared" ref="H25:BM25" si="8">H5-H14</f>
        <v>-6.6400000000000015E-2</v>
      </c>
      <c r="I25" s="1">
        <f t="shared" si="8"/>
        <v>-6.9900000000000018E-2</v>
      </c>
      <c r="J25" s="1">
        <f t="shared" si="8"/>
        <v>-7.5600000000000001E-2</v>
      </c>
      <c r="K25" s="1">
        <f t="shared" si="8"/>
        <v>-7.0800000000000002E-2</v>
      </c>
      <c r="L25" s="1">
        <f t="shared" si="8"/>
        <v>-7.2399999999999992E-2</v>
      </c>
      <c r="M25" s="1">
        <f t="shared" si="8"/>
        <v>-7.7600000000000002E-2</v>
      </c>
      <c r="N25" s="1">
        <f t="shared" si="8"/>
        <v>-6.8800000000000028E-2</v>
      </c>
      <c r="O25" s="1">
        <f t="shared" si="8"/>
        <v>-7.2699999999999987E-2</v>
      </c>
      <c r="P25" s="1">
        <f t="shared" si="8"/>
        <v>-7.4399999999999966E-2</v>
      </c>
      <c r="Q25" s="1">
        <f t="shared" si="8"/>
        <v>-7.8399999999999997E-2</v>
      </c>
      <c r="R25" s="1">
        <f t="shared" si="8"/>
        <v>-7.4200000000000016E-2</v>
      </c>
      <c r="S25" s="1">
        <f t="shared" si="8"/>
        <v>-7.2300000000000031E-2</v>
      </c>
      <c r="T25" s="1">
        <f t="shared" si="8"/>
        <v>-7.2000000000000008E-2</v>
      </c>
      <c r="U25" s="1">
        <f t="shared" si="8"/>
        <v>-7.8099999999999975E-2</v>
      </c>
      <c r="V25" s="1">
        <f t="shared" si="8"/>
        <v>-8.3199999999999996E-2</v>
      </c>
      <c r="W25" s="1">
        <f t="shared" si="8"/>
        <v>-8.249999999999999E-2</v>
      </c>
      <c r="X25" s="1">
        <f t="shared" si="8"/>
        <v>-8.1399999999999972E-2</v>
      </c>
      <c r="Y25" s="1">
        <f t="shared" si="8"/>
        <v>-7.870000000000002E-2</v>
      </c>
      <c r="Z25" s="1">
        <f t="shared" si="8"/>
        <v>-7.7600000000000002E-2</v>
      </c>
      <c r="AA25" s="1">
        <f t="shared" si="8"/>
        <v>-8.359999999999998E-2</v>
      </c>
      <c r="AB25" s="1">
        <f t="shared" si="8"/>
        <v>-8.4400000000000003E-2</v>
      </c>
      <c r="AC25" s="1">
        <f t="shared" si="8"/>
        <v>-7.7300000000000035E-2</v>
      </c>
      <c r="AD25" s="1">
        <f t="shared" si="8"/>
        <v>-7.0599999999999968E-2</v>
      </c>
      <c r="AE25" s="1">
        <f t="shared" si="8"/>
        <v>-0.10690000000000002</v>
      </c>
      <c r="AF25" s="1">
        <f t="shared" si="8"/>
        <v>-7.8400000000000025E-2</v>
      </c>
      <c r="AG25" s="1">
        <f t="shared" si="8"/>
        <v>-8.5700000000000026E-2</v>
      </c>
      <c r="AH25" s="1">
        <f t="shared" si="8"/>
        <v>-7.3799999999999977E-2</v>
      </c>
      <c r="AI25" s="1">
        <f t="shared" si="8"/>
        <v>-0.10200000000000001</v>
      </c>
      <c r="AJ25" s="1">
        <f t="shared" si="8"/>
        <v>-0.11529999999999999</v>
      </c>
      <c r="AK25" s="1">
        <f t="shared" si="8"/>
        <v>-0.1053</v>
      </c>
      <c r="AL25" s="1">
        <f t="shared" si="8"/>
        <v>-8.8399999999999979E-2</v>
      </c>
      <c r="AM25" s="1">
        <f t="shared" si="8"/>
        <v>-8.1200000000000022E-2</v>
      </c>
      <c r="AN25" s="1">
        <f t="shared" si="8"/>
        <v>-9.3399999999999983E-2</v>
      </c>
      <c r="AO25" s="1">
        <f t="shared" si="8"/>
        <v>-0.13049999999999998</v>
      </c>
      <c r="AP25" s="1">
        <f t="shared" si="8"/>
        <v>-0.11780000000000002</v>
      </c>
      <c r="AQ25" s="1">
        <f t="shared" si="8"/>
        <v>-0.12939999999999999</v>
      </c>
      <c r="AR25" s="1">
        <f t="shared" si="8"/>
        <v>-0.13950000000000001</v>
      </c>
      <c r="AS25" s="1">
        <f t="shared" si="8"/>
        <v>-0.13869999999999999</v>
      </c>
      <c r="AT25" s="1">
        <f t="shared" si="8"/>
        <v>-0.13869999999999999</v>
      </c>
      <c r="AU25" s="1">
        <f t="shared" si="8"/>
        <v>-0.13890000000000002</v>
      </c>
      <c r="AV25" s="1">
        <f t="shared" si="8"/>
        <v>-0.13749999999999998</v>
      </c>
      <c r="AW25" s="1">
        <f t="shared" si="8"/>
        <v>-0.14340000000000003</v>
      </c>
      <c r="AX25" s="1">
        <f t="shared" si="8"/>
        <v>-0.14889999999999998</v>
      </c>
      <c r="AY25" s="1">
        <f t="shared" si="8"/>
        <v>-0.14449999999999999</v>
      </c>
      <c r="AZ25" s="1">
        <f t="shared" si="8"/>
        <v>-0.15129999999999999</v>
      </c>
      <c r="BA25" s="1">
        <f t="shared" si="8"/>
        <v>-0.14909999999999998</v>
      </c>
      <c r="BB25" s="1">
        <f t="shared" si="8"/>
        <v>-0.14219999999999999</v>
      </c>
      <c r="BC25" s="1">
        <f t="shared" si="8"/>
        <v>-0.13700000000000004</v>
      </c>
      <c r="BD25" s="1">
        <f t="shared" si="8"/>
        <v>-0.13599999999999998</v>
      </c>
      <c r="BE25" s="1">
        <f t="shared" si="8"/>
        <v>-0.13790000000000002</v>
      </c>
      <c r="BF25" s="1">
        <f t="shared" si="8"/>
        <v>-0.14559999999999998</v>
      </c>
      <c r="BG25" s="1">
        <f t="shared" si="8"/>
        <v>-0.16269999999999998</v>
      </c>
      <c r="BH25" s="1">
        <f t="shared" si="8"/>
        <v>-0.12169999999999997</v>
      </c>
      <c r="BI25" s="1">
        <f t="shared" si="8"/>
        <v>-0.11810000000000004</v>
      </c>
      <c r="BJ25" s="1">
        <f t="shared" si="8"/>
        <v>-0.11030000000000001</v>
      </c>
      <c r="BK25" s="1">
        <f t="shared" si="8"/>
        <v>-0.12819999999999998</v>
      </c>
      <c r="BL25" s="1">
        <f t="shared" si="8"/>
        <v>-0.12970000000000004</v>
      </c>
      <c r="BM25" s="1">
        <f t="shared" si="8"/>
        <v>-0.12410000000000004</v>
      </c>
    </row>
    <row r="26" spans="1:67" customFormat="1" ht="21" hidden="1" x14ac:dyDescent="0.25">
      <c r="A26" s="11"/>
      <c r="B26" s="11"/>
      <c r="C26" s="4" t="s">
        <v>88</v>
      </c>
      <c r="D26" s="11"/>
      <c r="E26" s="1">
        <f t="shared" ref="E26:G26" si="9">E6-E15</f>
        <v>0.1780999999999997</v>
      </c>
      <c r="F26" s="1">
        <f t="shared" si="9"/>
        <v>0.16389999999999993</v>
      </c>
      <c r="G26" s="1">
        <f t="shared" si="9"/>
        <v>0.18230000000000057</v>
      </c>
      <c r="H26" s="1">
        <f t="shared" ref="H26:BM26" si="10">H6-H15</f>
        <v>0.22590000000000021</v>
      </c>
      <c r="I26" s="1">
        <f t="shared" si="10"/>
        <v>0.20860000000000056</v>
      </c>
      <c r="J26" s="1">
        <f t="shared" si="10"/>
        <v>0.22639999999999993</v>
      </c>
      <c r="K26" s="1">
        <f t="shared" si="10"/>
        <v>0.25999999999999979</v>
      </c>
      <c r="L26" s="1">
        <f t="shared" si="10"/>
        <v>0.2522000000000002</v>
      </c>
      <c r="M26" s="1">
        <f t="shared" si="10"/>
        <v>0.20140000000000047</v>
      </c>
      <c r="N26" s="1">
        <f t="shared" si="10"/>
        <v>0.17910000000000004</v>
      </c>
      <c r="O26" s="1">
        <f t="shared" si="10"/>
        <v>0.18170000000000019</v>
      </c>
      <c r="P26" s="1">
        <f t="shared" si="10"/>
        <v>0.17060000000000031</v>
      </c>
      <c r="Q26" s="1">
        <f t="shared" si="10"/>
        <v>0.21319999999999961</v>
      </c>
      <c r="R26" s="1">
        <f t="shared" si="10"/>
        <v>0.23229999999999951</v>
      </c>
      <c r="S26" s="1">
        <f t="shared" si="10"/>
        <v>0.18590000000000018</v>
      </c>
      <c r="T26" s="1">
        <f t="shared" si="10"/>
        <v>0.19450000000000056</v>
      </c>
      <c r="U26" s="1">
        <f t="shared" si="10"/>
        <v>0.1877999999999993</v>
      </c>
      <c r="V26" s="1">
        <f t="shared" si="10"/>
        <v>0.1819999999999995</v>
      </c>
      <c r="W26" s="1">
        <f t="shared" si="10"/>
        <v>0.17160000000000064</v>
      </c>
      <c r="X26" s="1">
        <f t="shared" si="10"/>
        <v>0.14500000000000046</v>
      </c>
      <c r="Y26" s="1">
        <f t="shared" si="10"/>
        <v>0.18559999999999999</v>
      </c>
      <c r="Z26" s="1">
        <f t="shared" si="10"/>
        <v>2.910000000000057E-2</v>
      </c>
      <c r="AA26" s="1">
        <f t="shared" si="10"/>
        <v>0.18469999999999942</v>
      </c>
      <c r="AB26" s="1">
        <f t="shared" si="10"/>
        <v>0.17260000000000009</v>
      </c>
      <c r="AC26" s="1">
        <f t="shared" si="10"/>
        <v>0.15329999999999977</v>
      </c>
      <c r="AD26" s="1">
        <f t="shared" si="10"/>
        <v>0.15549999999999997</v>
      </c>
      <c r="AE26" s="1">
        <f t="shared" si="10"/>
        <v>0.14329999999999998</v>
      </c>
      <c r="AF26" s="1">
        <f t="shared" si="10"/>
        <v>0.33829999999999982</v>
      </c>
      <c r="AG26" s="1">
        <f t="shared" si="10"/>
        <v>0.31840000000000002</v>
      </c>
      <c r="AH26" s="1">
        <f t="shared" si="10"/>
        <v>0.26489999999999991</v>
      </c>
      <c r="AI26" s="1">
        <f t="shared" si="10"/>
        <v>0.28829999999999956</v>
      </c>
      <c r="AJ26" s="1">
        <f t="shared" si="10"/>
        <v>0.26589999999999936</v>
      </c>
      <c r="AK26" s="1">
        <f t="shared" si="10"/>
        <v>0.26349999999999962</v>
      </c>
      <c r="AL26" s="1">
        <f t="shared" si="10"/>
        <v>0.27280000000000015</v>
      </c>
      <c r="AM26" s="1">
        <f t="shared" si="10"/>
        <v>0.28929999999999989</v>
      </c>
      <c r="AN26" s="1">
        <f t="shared" si="10"/>
        <v>0.1958000000000002</v>
      </c>
      <c r="AO26" s="1">
        <f t="shared" si="10"/>
        <v>0.19629999999999992</v>
      </c>
      <c r="AP26" s="1">
        <f t="shared" si="10"/>
        <v>0.20319999999999983</v>
      </c>
      <c r="AQ26" s="1">
        <f t="shared" si="10"/>
        <v>0.19870000000000054</v>
      </c>
      <c r="AR26" s="1">
        <f t="shared" si="10"/>
        <v>0.20800000000000018</v>
      </c>
      <c r="AS26" s="1">
        <f t="shared" si="10"/>
        <v>0.19720000000000049</v>
      </c>
      <c r="AT26" s="1">
        <f t="shared" si="10"/>
        <v>0.20760000000000023</v>
      </c>
      <c r="AU26" s="1">
        <f t="shared" si="10"/>
        <v>0.21409999999999929</v>
      </c>
      <c r="AV26" s="1">
        <f t="shared" si="10"/>
        <v>0.24270000000000014</v>
      </c>
      <c r="AW26" s="1">
        <f t="shared" si="10"/>
        <v>0.15840000000000032</v>
      </c>
      <c r="AX26" s="1">
        <f t="shared" si="10"/>
        <v>0.15150000000000041</v>
      </c>
      <c r="AY26" s="1">
        <f t="shared" si="10"/>
        <v>0.13820000000000032</v>
      </c>
      <c r="AZ26" s="1">
        <f t="shared" si="10"/>
        <v>0.1205999999999996</v>
      </c>
      <c r="BA26" s="1">
        <f t="shared" si="10"/>
        <v>0.10680000000000067</v>
      </c>
      <c r="BB26" s="1">
        <f t="shared" si="10"/>
        <v>8.9800000000000324E-2</v>
      </c>
      <c r="BC26" s="1">
        <f t="shared" si="10"/>
        <v>9.9400000000000155E-2</v>
      </c>
      <c r="BD26" s="1">
        <f t="shared" si="10"/>
        <v>0.10160000000000036</v>
      </c>
      <c r="BE26" s="1">
        <f t="shared" si="10"/>
        <v>8.8899999999999757E-2</v>
      </c>
      <c r="BF26" s="1">
        <f t="shared" si="10"/>
        <v>7.0200000000000706E-2</v>
      </c>
      <c r="BG26" s="1">
        <f t="shared" si="10"/>
        <v>7.0899999999999963E-2</v>
      </c>
      <c r="BH26" s="1">
        <f t="shared" si="10"/>
        <v>9.8200000000000287E-2</v>
      </c>
      <c r="BI26" s="1">
        <f t="shared" si="10"/>
        <v>0.10350000000000037</v>
      </c>
      <c r="BJ26" s="1">
        <f t="shared" si="10"/>
        <v>0.12549999999999972</v>
      </c>
      <c r="BK26" s="1">
        <f t="shared" si="10"/>
        <v>0.12290000000000045</v>
      </c>
      <c r="BL26" s="1">
        <f t="shared" si="10"/>
        <v>0.12710000000000043</v>
      </c>
      <c r="BM26" s="1">
        <f t="shared" si="10"/>
        <v>0.12000000000000011</v>
      </c>
    </row>
    <row r="27" spans="1:67" ht="18.75" hidden="1" customHeight="1" x14ac:dyDescent="0.25">
      <c r="C27" s="64" t="s">
        <v>89</v>
      </c>
      <c r="E27" s="1">
        <f t="shared" ref="E27:G27" si="11">E7-E16</f>
        <v>0.83340000000000014</v>
      </c>
      <c r="F27" s="1">
        <f t="shared" si="11"/>
        <v>0.78969999999999985</v>
      </c>
      <c r="G27" s="1">
        <f t="shared" si="11"/>
        <v>0.73880000000000035</v>
      </c>
      <c r="H27" s="1">
        <f t="shared" ref="H27:BM27" si="12">H7-H16</f>
        <v>0.76729999999999965</v>
      </c>
      <c r="I27" s="1">
        <f t="shared" si="12"/>
        <v>0.74230000000000018</v>
      </c>
      <c r="J27" s="1">
        <f t="shared" si="12"/>
        <v>0.73510000000000009</v>
      </c>
      <c r="K27" s="1">
        <f t="shared" si="12"/>
        <v>0.7251000000000003</v>
      </c>
      <c r="L27" s="1">
        <f t="shared" si="12"/>
        <v>0.70549999999999979</v>
      </c>
      <c r="M27" s="1">
        <f t="shared" si="12"/>
        <v>0.71379999999999999</v>
      </c>
      <c r="N27" s="1">
        <f t="shared" si="12"/>
        <v>0.57830000000000048</v>
      </c>
      <c r="O27" s="1">
        <f t="shared" si="12"/>
        <v>0.69199999999999928</v>
      </c>
      <c r="P27" s="1">
        <f t="shared" si="12"/>
        <v>0.68010000000000037</v>
      </c>
      <c r="Q27" s="1">
        <f t="shared" si="12"/>
        <v>0.68670000000000009</v>
      </c>
      <c r="R27" s="1">
        <f t="shared" si="12"/>
        <v>0.67480000000000029</v>
      </c>
      <c r="S27" s="1">
        <f t="shared" si="12"/>
        <v>0.70319999999999983</v>
      </c>
      <c r="T27" s="1">
        <f t="shared" si="12"/>
        <v>0.79399999999999959</v>
      </c>
      <c r="U27" s="1">
        <f t="shared" si="12"/>
        <v>0.83719999999999928</v>
      </c>
      <c r="V27" s="1">
        <f t="shared" si="12"/>
        <v>0.86409999999999965</v>
      </c>
      <c r="W27" s="1">
        <f t="shared" si="12"/>
        <v>0.89909999999999979</v>
      </c>
      <c r="X27" s="1">
        <f t="shared" si="12"/>
        <v>0.92530000000000001</v>
      </c>
      <c r="Y27" s="1">
        <f t="shared" si="12"/>
        <v>0.93359999999999932</v>
      </c>
      <c r="Z27" s="1">
        <f t="shared" si="12"/>
        <v>0.88630000000000031</v>
      </c>
      <c r="AA27" s="1">
        <f t="shared" si="12"/>
        <v>0.87779999999999969</v>
      </c>
      <c r="AB27" s="1">
        <f t="shared" si="12"/>
        <v>0.83659999999999979</v>
      </c>
      <c r="AC27" s="1">
        <f t="shared" si="12"/>
        <v>0.82369999999999965</v>
      </c>
      <c r="AD27" s="1">
        <f t="shared" si="12"/>
        <v>0.8266</v>
      </c>
      <c r="AE27" s="1">
        <f t="shared" si="12"/>
        <v>0.90440000000000031</v>
      </c>
      <c r="AF27" s="1">
        <f t="shared" si="12"/>
        <v>0.92620000000000013</v>
      </c>
      <c r="AG27" s="1">
        <f t="shared" si="12"/>
        <v>0.93250000000000055</v>
      </c>
      <c r="AH27" s="1">
        <f t="shared" si="12"/>
        <v>0.84160000000000013</v>
      </c>
      <c r="AI27" s="1">
        <f t="shared" si="12"/>
        <v>0.86770000000000014</v>
      </c>
      <c r="AJ27" s="1">
        <f t="shared" si="12"/>
        <v>0.86680000000000001</v>
      </c>
      <c r="AK27" s="1">
        <f t="shared" si="12"/>
        <v>0.85909999999999975</v>
      </c>
      <c r="AL27" s="1">
        <f t="shared" si="12"/>
        <v>0.7990999999999997</v>
      </c>
      <c r="AM27" s="1">
        <f t="shared" si="12"/>
        <v>0.78989999999999982</v>
      </c>
      <c r="AN27" s="1">
        <f t="shared" si="12"/>
        <v>0.81899999999999995</v>
      </c>
      <c r="AO27" s="1">
        <f t="shared" si="12"/>
        <v>0.75760000000000005</v>
      </c>
      <c r="AP27" s="1">
        <f t="shared" si="12"/>
        <v>0.61610000000000031</v>
      </c>
      <c r="AQ27" s="1">
        <f t="shared" si="12"/>
        <v>0.56469999999999976</v>
      </c>
      <c r="AR27" s="1">
        <f t="shared" si="12"/>
        <v>0.5524</v>
      </c>
      <c r="AS27" s="1">
        <f t="shared" si="12"/>
        <v>0.57879999999999976</v>
      </c>
      <c r="AT27" s="1">
        <f t="shared" si="12"/>
        <v>0.56749999999999989</v>
      </c>
      <c r="AU27" s="1">
        <f t="shared" si="12"/>
        <v>0.29890000000000017</v>
      </c>
      <c r="AV27" s="1">
        <f t="shared" si="12"/>
        <v>0.30109999999999992</v>
      </c>
      <c r="AW27" s="1">
        <f t="shared" si="12"/>
        <v>0.33430000000000026</v>
      </c>
      <c r="AX27" s="1">
        <f t="shared" si="12"/>
        <v>0.33579999999999988</v>
      </c>
      <c r="AY27" s="1">
        <f t="shared" si="12"/>
        <v>0.64470000000000027</v>
      </c>
      <c r="AZ27" s="1">
        <f t="shared" si="12"/>
        <v>0.65680000000000049</v>
      </c>
      <c r="BA27" s="1">
        <f t="shared" si="12"/>
        <v>0.60499999999999998</v>
      </c>
      <c r="BB27" s="1">
        <f t="shared" si="12"/>
        <v>0.63300000000000001</v>
      </c>
      <c r="BC27" s="1">
        <f t="shared" si="12"/>
        <v>0.61959999999999971</v>
      </c>
      <c r="BD27" s="1">
        <f t="shared" si="12"/>
        <v>0.77559999999999985</v>
      </c>
      <c r="BE27" s="1">
        <f t="shared" si="12"/>
        <v>0.61699999999999999</v>
      </c>
      <c r="BF27" s="1">
        <f t="shared" si="12"/>
        <v>0.64290000000000003</v>
      </c>
      <c r="BG27" s="1">
        <f t="shared" si="12"/>
        <v>0.61319999999999997</v>
      </c>
      <c r="BH27" s="1">
        <f t="shared" si="12"/>
        <v>0.6113000000000004</v>
      </c>
      <c r="BI27" s="1">
        <f t="shared" si="12"/>
        <v>0.62150000000000016</v>
      </c>
      <c r="BJ27" s="1">
        <f t="shared" si="12"/>
        <v>0.60380000000000011</v>
      </c>
      <c r="BK27" s="1">
        <f t="shared" si="12"/>
        <v>0.59229999999999938</v>
      </c>
      <c r="BL27" s="1">
        <f t="shared" si="12"/>
        <v>0.56529999999999969</v>
      </c>
      <c r="BM27" s="1">
        <f t="shared" si="12"/>
        <v>0.60980000000000034</v>
      </c>
      <c r="BN27"/>
      <c r="BO27"/>
    </row>
    <row r="28" spans="1:67" ht="30" hidden="1" customHeight="1" x14ac:dyDescent="0.25">
      <c r="C28" s="65" t="s">
        <v>90</v>
      </c>
      <c r="E28" s="1">
        <f t="shared" ref="E28:G28" si="13">E8-E17</f>
        <v>0.47900000000000009</v>
      </c>
      <c r="F28" s="1">
        <f t="shared" si="13"/>
        <v>0.46370000000000022</v>
      </c>
      <c r="G28" s="1">
        <f t="shared" si="13"/>
        <v>0.49789999999999957</v>
      </c>
      <c r="H28" s="1">
        <f t="shared" ref="H28:BL28" si="14">H8-H17</f>
        <v>0.51710000000000012</v>
      </c>
      <c r="I28" s="1">
        <f t="shared" si="14"/>
        <v>0.49449999999999994</v>
      </c>
      <c r="J28" s="1">
        <f t="shared" si="14"/>
        <v>0.51779999999999982</v>
      </c>
      <c r="K28" s="1">
        <f t="shared" si="14"/>
        <v>0.49319999999999986</v>
      </c>
      <c r="L28" s="1">
        <f t="shared" si="14"/>
        <v>0.47720000000000029</v>
      </c>
      <c r="M28" s="1">
        <f t="shared" si="14"/>
        <v>0.45860000000000056</v>
      </c>
      <c r="N28" s="1">
        <f t="shared" si="14"/>
        <v>0.48070000000000013</v>
      </c>
      <c r="O28" s="1">
        <f t="shared" si="14"/>
        <v>0.45250000000000012</v>
      </c>
      <c r="P28" s="1">
        <f t="shared" si="14"/>
        <v>0.45059999999999967</v>
      </c>
      <c r="Q28" s="1">
        <f t="shared" si="14"/>
        <v>0.48420000000000041</v>
      </c>
      <c r="R28" s="1">
        <f t="shared" si="14"/>
        <v>0.51729999999999965</v>
      </c>
      <c r="S28" s="1">
        <f t="shared" si="14"/>
        <v>0.52940000000000031</v>
      </c>
      <c r="T28" s="1">
        <f t="shared" si="14"/>
        <v>0.56720000000000015</v>
      </c>
      <c r="U28" s="1">
        <f t="shared" si="14"/>
        <v>0.5855999999999999</v>
      </c>
      <c r="V28" s="1">
        <f t="shared" si="14"/>
        <v>0.58119999999999994</v>
      </c>
      <c r="W28" s="1">
        <f t="shared" si="14"/>
        <v>0.56409999999999982</v>
      </c>
      <c r="X28" s="1">
        <f t="shared" si="14"/>
        <v>0.58560000000000034</v>
      </c>
      <c r="Y28" s="1">
        <f t="shared" si="14"/>
        <v>0.62659999999999982</v>
      </c>
      <c r="Z28" s="1">
        <f t="shared" si="14"/>
        <v>0.66009999999999991</v>
      </c>
      <c r="AA28" s="1">
        <f t="shared" si="14"/>
        <v>0.63080000000000025</v>
      </c>
      <c r="AB28" s="1">
        <f t="shared" si="14"/>
        <v>0.63460000000000027</v>
      </c>
      <c r="AC28" s="1">
        <f t="shared" si="14"/>
        <v>0.66849999999999987</v>
      </c>
      <c r="AD28" s="1">
        <f t="shared" si="14"/>
        <v>0.64619999999999989</v>
      </c>
      <c r="AE28" s="1">
        <f t="shared" si="14"/>
        <v>0.66680000000000028</v>
      </c>
      <c r="AF28" s="1">
        <f t="shared" si="14"/>
        <v>0.65129999999999999</v>
      </c>
      <c r="AG28" s="1">
        <f t="shared" si="14"/>
        <v>0.68690000000000007</v>
      </c>
      <c r="AH28" s="1">
        <f t="shared" si="14"/>
        <v>0.68720000000000026</v>
      </c>
      <c r="AI28" s="1">
        <f t="shared" si="14"/>
        <v>0.70170000000000021</v>
      </c>
      <c r="AJ28" s="1">
        <f t="shared" si="14"/>
        <v>0.65690000000000026</v>
      </c>
      <c r="AK28" s="1">
        <f t="shared" si="14"/>
        <v>0.69799999999999995</v>
      </c>
      <c r="AL28" s="1">
        <f t="shared" si="14"/>
        <v>0.65939999999999976</v>
      </c>
      <c r="AM28" s="1">
        <f t="shared" si="14"/>
        <v>0.63920000000000021</v>
      </c>
      <c r="AN28" s="1">
        <f t="shared" si="14"/>
        <v>0.51320000000000032</v>
      </c>
      <c r="AO28" s="1">
        <f t="shared" si="14"/>
        <v>0.50249999999999995</v>
      </c>
      <c r="AP28" s="1">
        <f t="shared" si="14"/>
        <v>0.49390000000000001</v>
      </c>
      <c r="AQ28" s="1">
        <f t="shared" si="14"/>
        <v>0.56140000000000034</v>
      </c>
      <c r="AR28" s="1">
        <f t="shared" si="14"/>
        <v>0.54039999999999999</v>
      </c>
      <c r="AS28" s="1">
        <f t="shared" si="14"/>
        <v>0.59879999999999978</v>
      </c>
      <c r="AT28" s="1">
        <f t="shared" si="14"/>
        <v>0.58479999999999999</v>
      </c>
      <c r="AU28" s="1">
        <f t="shared" si="14"/>
        <v>0.61519999999999975</v>
      </c>
      <c r="AV28" s="1">
        <f t="shared" si="14"/>
        <v>0.61680000000000001</v>
      </c>
      <c r="AW28" s="1">
        <f t="shared" si="14"/>
        <v>0.60140000000000038</v>
      </c>
      <c r="AX28" s="1">
        <f t="shared" si="14"/>
        <v>0.57780000000000031</v>
      </c>
      <c r="AY28" s="1">
        <f t="shared" si="14"/>
        <v>0.55640000000000001</v>
      </c>
      <c r="AZ28" s="1">
        <f t="shared" si="14"/>
        <v>0.57220000000000004</v>
      </c>
      <c r="BA28" s="1">
        <f t="shared" si="14"/>
        <v>0.45199999999999996</v>
      </c>
      <c r="BB28" s="1">
        <f t="shared" si="14"/>
        <v>0.42350000000000021</v>
      </c>
      <c r="BC28" s="1">
        <f t="shared" si="14"/>
        <v>0.43619999999999992</v>
      </c>
      <c r="BD28" s="1">
        <f t="shared" si="14"/>
        <v>0.4335</v>
      </c>
      <c r="BE28" s="1">
        <f t="shared" si="14"/>
        <v>0.46039999999999992</v>
      </c>
      <c r="BF28" s="1">
        <f t="shared" si="14"/>
        <v>0.46990000000000043</v>
      </c>
      <c r="BG28" s="1">
        <f t="shared" si="14"/>
        <v>0.40900000000000025</v>
      </c>
      <c r="BH28" s="1">
        <f t="shared" si="14"/>
        <v>0.40359999999999996</v>
      </c>
      <c r="BI28" s="1">
        <f t="shared" si="14"/>
        <v>0.41449999999999987</v>
      </c>
      <c r="BJ28" s="1">
        <f t="shared" si="14"/>
        <v>0.38649999999999984</v>
      </c>
      <c r="BK28" s="1">
        <f t="shared" si="14"/>
        <v>0.40189999999999992</v>
      </c>
      <c r="BL28" s="1">
        <f t="shared" si="14"/>
        <v>0.37170000000000014</v>
      </c>
      <c r="BM28" s="1">
        <f>BM8-BM17</f>
        <v>0.36239999999999961</v>
      </c>
      <c r="BN28"/>
      <c r="BO28"/>
    </row>
    <row r="29" spans="1:67" customFormat="1" ht="21" x14ac:dyDescent="0.25">
      <c r="A29" s="11"/>
      <c r="B29" s="11"/>
      <c r="C29" s="4" t="s">
        <v>91</v>
      </c>
      <c r="D29" s="11"/>
      <c r="E29" s="1">
        <f t="shared" ref="E29:G29" si="15">E9-E18</f>
        <v>0.26869999999999994</v>
      </c>
      <c r="F29" s="1">
        <f t="shared" si="15"/>
        <v>0.29190000000000005</v>
      </c>
      <c r="G29" s="1">
        <f t="shared" si="15"/>
        <v>0.28390000000000004</v>
      </c>
      <c r="H29" s="1">
        <f t="shared" ref="H29:BM29" si="16">H9-H18</f>
        <v>0.31920000000000004</v>
      </c>
      <c r="I29" s="1">
        <f t="shared" si="16"/>
        <v>0.28380000000000005</v>
      </c>
      <c r="J29" s="1">
        <f t="shared" si="16"/>
        <v>0.29159999999999997</v>
      </c>
      <c r="K29" s="1">
        <f t="shared" si="16"/>
        <v>0.30659999999999998</v>
      </c>
      <c r="L29" s="1">
        <f t="shared" si="16"/>
        <v>0.27929999999999999</v>
      </c>
      <c r="M29" s="1">
        <f t="shared" si="16"/>
        <v>0.2712</v>
      </c>
      <c r="N29" s="1">
        <f t="shared" si="16"/>
        <v>0.30859999999999999</v>
      </c>
      <c r="O29" s="1">
        <f t="shared" si="16"/>
        <v>0.29860000000000009</v>
      </c>
      <c r="P29" s="1">
        <f t="shared" si="16"/>
        <v>0.2974</v>
      </c>
      <c r="Q29" s="1">
        <f t="shared" si="16"/>
        <v>0.31640000000000001</v>
      </c>
      <c r="R29" s="1">
        <f t="shared" si="16"/>
        <v>0.32650000000000001</v>
      </c>
      <c r="S29" s="1">
        <f t="shared" si="16"/>
        <v>0.2871999999999999</v>
      </c>
      <c r="T29" s="1">
        <f t="shared" si="16"/>
        <v>0.30669999999999997</v>
      </c>
      <c r="U29" s="1">
        <f t="shared" si="16"/>
        <v>0.29730000000000001</v>
      </c>
      <c r="V29" s="1">
        <f t="shared" si="16"/>
        <v>0.3165</v>
      </c>
      <c r="W29" s="1">
        <f t="shared" si="16"/>
        <v>0.3548</v>
      </c>
      <c r="X29" s="1">
        <f t="shared" si="16"/>
        <v>0.33299999999999996</v>
      </c>
      <c r="Y29" s="1">
        <f t="shared" si="16"/>
        <v>0.33709999999999996</v>
      </c>
      <c r="Z29" s="1">
        <f t="shared" si="16"/>
        <v>0.34090000000000009</v>
      </c>
      <c r="AA29" s="1">
        <f t="shared" si="16"/>
        <v>0.33779999999999999</v>
      </c>
      <c r="AB29" s="1">
        <f t="shared" si="16"/>
        <v>0.30199999999999994</v>
      </c>
      <c r="AC29" s="1">
        <f t="shared" si="16"/>
        <v>0.29039999999999999</v>
      </c>
      <c r="AD29" s="1">
        <f t="shared" si="16"/>
        <v>0.26749999999999996</v>
      </c>
      <c r="AE29" s="1">
        <f t="shared" si="16"/>
        <v>0.28649999999999998</v>
      </c>
      <c r="AF29" s="1">
        <f t="shared" si="16"/>
        <v>0.37050000000000005</v>
      </c>
      <c r="AG29" s="1">
        <f t="shared" si="16"/>
        <v>0.34289999999999998</v>
      </c>
      <c r="AH29" s="1">
        <f t="shared" si="16"/>
        <v>0.26819999999999999</v>
      </c>
      <c r="AI29" s="1">
        <f t="shared" si="16"/>
        <v>0.27639999999999998</v>
      </c>
      <c r="AJ29" s="1">
        <f t="shared" si="16"/>
        <v>0.2883</v>
      </c>
      <c r="AK29" s="1">
        <f t="shared" si="16"/>
        <v>0.28849999999999992</v>
      </c>
      <c r="AL29" s="1">
        <f t="shared" si="16"/>
        <v>0.27429999999999993</v>
      </c>
      <c r="AM29" s="1">
        <f t="shared" si="16"/>
        <v>0.30549999999999999</v>
      </c>
      <c r="AN29" s="1">
        <f t="shared" si="16"/>
        <v>0.25110000000000005</v>
      </c>
      <c r="AO29" s="1">
        <f t="shared" si="16"/>
        <v>0.25019999999999998</v>
      </c>
      <c r="AP29" s="1">
        <f t="shared" si="16"/>
        <v>0.26170000000000004</v>
      </c>
      <c r="AQ29" s="1">
        <f t="shared" si="16"/>
        <v>0.22429999999999994</v>
      </c>
      <c r="AR29" s="1">
        <f t="shared" si="16"/>
        <v>0.24080000000000001</v>
      </c>
      <c r="AS29" s="1">
        <f t="shared" si="16"/>
        <v>0.22420000000000001</v>
      </c>
      <c r="AT29" s="1">
        <f t="shared" si="16"/>
        <v>0.25299999999999995</v>
      </c>
      <c r="AU29" s="1">
        <f t="shared" si="16"/>
        <v>0.30789999999999995</v>
      </c>
      <c r="AV29" s="1">
        <f t="shared" si="16"/>
        <v>0.36800000000000005</v>
      </c>
      <c r="AW29" s="1">
        <f t="shared" si="16"/>
        <v>0.3775</v>
      </c>
      <c r="AX29" s="1">
        <f t="shared" si="16"/>
        <v>0.36599999999999999</v>
      </c>
      <c r="AY29" s="1">
        <f t="shared" si="16"/>
        <v>0.35839999999999994</v>
      </c>
      <c r="AZ29" s="1">
        <f t="shared" si="16"/>
        <v>0.33159999999999995</v>
      </c>
      <c r="BA29" s="1">
        <f t="shared" si="16"/>
        <v>0.35660000000000003</v>
      </c>
      <c r="BB29" s="1">
        <f t="shared" si="16"/>
        <v>0.34260000000000002</v>
      </c>
      <c r="BC29" s="1">
        <f t="shared" si="16"/>
        <v>0.35830000000000006</v>
      </c>
      <c r="BD29" s="1">
        <f t="shared" si="16"/>
        <v>0</v>
      </c>
      <c r="BE29" s="1">
        <f t="shared" si="16"/>
        <v>0</v>
      </c>
      <c r="BF29" s="1">
        <f t="shared" si="16"/>
        <v>0</v>
      </c>
      <c r="BG29" s="1">
        <f t="shared" si="16"/>
        <v>0</v>
      </c>
      <c r="BH29" s="1">
        <f t="shared" si="16"/>
        <v>0</v>
      </c>
      <c r="BI29" s="1">
        <f t="shared" si="16"/>
        <v>0</v>
      </c>
      <c r="BJ29" s="1">
        <f t="shared" si="16"/>
        <v>0</v>
      </c>
      <c r="BK29" s="1">
        <f t="shared" si="16"/>
        <v>0</v>
      </c>
      <c r="BL29" s="1">
        <f t="shared" si="16"/>
        <v>0</v>
      </c>
      <c r="BM29" s="1">
        <f t="shared" si="16"/>
        <v>0</v>
      </c>
    </row>
    <row r="51" spans="3:6" ht="126.75" customHeight="1" x14ac:dyDescent="0.25"/>
    <row r="59" spans="3:6" x14ac:dyDescent="0.25">
      <c r="C59" s="80"/>
      <c r="D59" s="80"/>
      <c r="E59" s="80"/>
      <c r="F59" s="80"/>
    </row>
  </sheetData>
  <autoFilter ref="C21:C29" xr:uid="{1C8886F0-1F6B-4CF9-8474-131F852E151B}">
    <filterColumn colId="0">
      <filters>
        <filter val="CHF"/>
        <filter val="GBP"/>
      </filters>
    </filterColumn>
  </autoFilter>
  <mergeCells count="1">
    <mergeCell ref="C59:F59"/>
  </mergeCells>
  <pageMargins left="0.7" right="0.7" top="0.75" bottom="0.75" header="0.3" footer="0.3"/>
  <pageSetup paperSize="9" orientation="portrait" r:id="rId1"/>
  <customProperties>
    <customPr name="REFI_OFFICE_FUNCTION_DATA" r:id="rId2"/>
  </customProperties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A89CA-8EFE-4965-B4DD-D689D31C27A8}">
  <sheetPr codeName="Feuil2"/>
  <dimension ref="A2:P392"/>
  <sheetViews>
    <sheetView zoomScale="110" workbookViewId="0">
      <selection activeCell="P8" sqref="P8"/>
    </sheetView>
  </sheetViews>
  <sheetFormatPr defaultColWidth="10.85546875" defaultRowHeight="15" x14ac:dyDescent="0.25"/>
  <cols>
    <col min="1" max="5" width="10.85546875" style="11"/>
    <col min="6" max="11" width="13.42578125" style="18" customWidth="1"/>
    <col min="12" max="13" width="10.85546875" style="11"/>
    <col min="14" max="14" width="10.7109375" style="11" bestFit="1" customWidth="1"/>
    <col min="15" max="16384" width="10.85546875" style="11"/>
  </cols>
  <sheetData>
    <row r="2" spans="1:16" x14ac:dyDescent="0.25">
      <c r="A2" s="82" t="s">
        <v>92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</row>
    <row r="3" spans="1:16" x14ac:dyDescent="0.25">
      <c r="A3" s="82"/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</row>
    <row r="4" spans="1:16" x14ac:dyDescent="0.25">
      <c r="A4" s="82"/>
      <c r="B4" s="82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</row>
    <row r="5" spans="1:16" x14ac:dyDescent="0.25">
      <c r="H5" s="19"/>
      <c r="I5" s="19"/>
    </row>
    <row r="6" spans="1:16" ht="15.75" thickBot="1" x14ac:dyDescent="0.3">
      <c r="G6" s="19"/>
      <c r="J6" s="19"/>
    </row>
    <row r="7" spans="1:16" ht="39.950000000000003" customHeight="1" thickBot="1" x14ac:dyDescent="0.3">
      <c r="D7" s="85" t="s">
        <v>93</v>
      </c>
      <c r="E7" s="86"/>
      <c r="F7" s="81" t="s">
        <v>90</v>
      </c>
      <c r="G7" s="81"/>
      <c r="H7" s="17">
        <v>5</v>
      </c>
      <c r="I7" s="81" t="s">
        <v>91</v>
      </c>
      <c r="J7" s="81"/>
      <c r="K7" s="17">
        <v>1.5</v>
      </c>
    </row>
    <row r="8" spans="1:16" ht="39.950000000000003" customHeight="1" x14ac:dyDescent="0.25">
      <c r="D8" s="83" t="s">
        <v>94</v>
      </c>
      <c r="E8" s="84"/>
      <c r="F8" s="10" t="s">
        <v>95</v>
      </c>
      <c r="G8" s="8" t="s">
        <v>96</v>
      </c>
      <c r="H8" s="9" t="s">
        <v>97</v>
      </c>
      <c r="I8" s="10" t="s">
        <v>95</v>
      </c>
      <c r="J8" s="8" t="s">
        <v>96</v>
      </c>
      <c r="K8" s="9" t="s">
        <v>97</v>
      </c>
    </row>
    <row r="9" spans="1:16" ht="39.950000000000003" customHeight="1" x14ac:dyDescent="0.25">
      <c r="D9" s="87" t="s">
        <v>98</v>
      </c>
      <c r="E9" s="88"/>
      <c r="F9" s="20">
        <v>-6.0748069079233852E-3</v>
      </c>
      <c r="G9" s="20">
        <v>-1.1202002978567232E-2</v>
      </c>
      <c r="H9" s="21">
        <v>-5.742443882064887E-2</v>
      </c>
      <c r="I9" s="22">
        <v>-2.999771009846585E-2</v>
      </c>
      <c r="J9" s="22">
        <v>-4.9727061990578032E-2</v>
      </c>
      <c r="K9" s="23">
        <v>-2.8143163046803428E-2</v>
      </c>
    </row>
    <row r="10" spans="1:16" ht="39.950000000000003" customHeight="1" x14ac:dyDescent="0.25">
      <c r="D10" s="87" t="s">
        <v>99</v>
      </c>
      <c r="E10" s="88"/>
      <c r="F10" s="22">
        <v>-5.9794092523490936E-3</v>
      </c>
      <c r="G10" s="22">
        <v>-6.6492946356366909E-3</v>
      </c>
      <c r="H10" s="23">
        <v>-6.6103484688490088E-2</v>
      </c>
      <c r="I10" s="22">
        <v>-2.0247657295850065E-2</v>
      </c>
      <c r="J10" s="22">
        <v>-7.1813570069752697E-2</v>
      </c>
      <c r="K10" s="23">
        <v>-4.9204287106203302E-2</v>
      </c>
    </row>
    <row r="11" spans="1:16" ht="39.950000000000003" customHeight="1" x14ac:dyDescent="0.25">
      <c r="D11" s="87" t="s">
        <v>100</v>
      </c>
      <c r="E11" s="88"/>
      <c r="F11" s="22">
        <v>-7.0021473251795727E-3</v>
      </c>
      <c r="G11" s="22">
        <v>-2.2538770821366946E-2</v>
      </c>
      <c r="H11" s="23">
        <v>-8.3360265442871562E-2</v>
      </c>
      <c r="I11" s="22">
        <v>-1.5711480092840617E-2</v>
      </c>
      <c r="J11" s="22">
        <v>-9.0188959485105996E-2</v>
      </c>
      <c r="K11" s="23">
        <v>-4.8334196443984158E-2</v>
      </c>
    </row>
    <row r="12" spans="1:16" ht="39.950000000000003" customHeight="1" x14ac:dyDescent="0.25">
      <c r="D12" s="87" t="s">
        <v>101</v>
      </c>
      <c r="E12" s="88"/>
      <c r="F12" s="22">
        <v>-3.3089557607001111E-3</v>
      </c>
      <c r="G12" s="22">
        <v>-1.3878345037009023E-2</v>
      </c>
      <c r="H12" s="23">
        <v>-8.6499791222556799E-2</v>
      </c>
      <c r="I12" s="22">
        <v>-4.1205181152618578E-2</v>
      </c>
      <c r="J12" s="22">
        <v>-0.11901681759379035</v>
      </c>
      <c r="K12" s="23">
        <v>-0.12885894593211666</v>
      </c>
    </row>
    <row r="13" spans="1:16" ht="39.950000000000003" customHeight="1" x14ac:dyDescent="0.25">
      <c r="D13" s="87" t="s">
        <v>102</v>
      </c>
      <c r="E13" s="88"/>
      <c r="F13" s="22">
        <v>-9.1883964987857312E-3</v>
      </c>
      <c r="G13" s="22">
        <v>-3.2964329643296479E-2</v>
      </c>
      <c r="H13" s="23">
        <v>-2.7658474061748158E-2</v>
      </c>
      <c r="I13" s="22">
        <v>8.5397897897896823E-3</v>
      </c>
      <c r="J13" s="22">
        <v>-7.7985586822237454E-2</v>
      </c>
      <c r="K13" s="23">
        <v>-8.2159022973780901E-2</v>
      </c>
    </row>
    <row r="14" spans="1:16" ht="39.950000000000003" customHeight="1" x14ac:dyDescent="0.25">
      <c r="D14" s="87" t="s">
        <v>103</v>
      </c>
      <c r="E14" s="88"/>
      <c r="F14" s="22">
        <v>8.021078648541461E-3</v>
      </c>
      <c r="G14" s="22">
        <v>-1.5463447961739889E-2</v>
      </c>
      <c r="H14" s="23">
        <v>9.5275903136165015E-3</v>
      </c>
      <c r="I14" s="22">
        <v>3.2747603833865754E-2</v>
      </c>
      <c r="J14" s="22">
        <v>-0.11385248008224108</v>
      </c>
      <c r="K14" s="23">
        <v>-0.11695407205053783</v>
      </c>
    </row>
    <row r="15" spans="1:16" ht="39.950000000000003" customHeight="1" x14ac:dyDescent="0.25">
      <c r="D15" s="87" t="s">
        <v>104</v>
      </c>
      <c r="E15" s="88"/>
      <c r="F15" s="22">
        <v>2.0075949979440769E-3</v>
      </c>
      <c r="G15" s="22">
        <v>-4.1020417611926485E-2</v>
      </c>
      <c r="H15" s="23">
        <v>-5.0341570767044111E-2</v>
      </c>
      <c r="I15" s="22">
        <v>-6.8289510359565292E-2</v>
      </c>
      <c r="J15" s="22">
        <v>-0.13907967032967045</v>
      </c>
      <c r="K15" s="23">
        <v>-0.14604445201396576</v>
      </c>
    </row>
    <row r="16" spans="1:16" ht="39.950000000000003" customHeight="1" x14ac:dyDescent="0.25">
      <c r="D16" s="87" t="s">
        <v>105</v>
      </c>
      <c r="E16" s="88"/>
      <c r="F16" s="22">
        <v>-1.5495817821399176E-2</v>
      </c>
      <c r="G16" s="22">
        <v>9.658570736173186E-2</v>
      </c>
      <c r="H16" s="23">
        <v>5.6283231746855046E-2</v>
      </c>
      <c r="I16" s="22"/>
      <c r="J16" s="22"/>
      <c r="K16" s="23"/>
    </row>
    <row r="17" spans="4:16" ht="39.950000000000003" customHeight="1" x14ac:dyDescent="0.25">
      <c r="D17" s="87" t="s">
        <v>106</v>
      </c>
      <c r="E17" s="88"/>
      <c r="F17" s="22">
        <v>-1.6236406138835209E-2</v>
      </c>
      <c r="G17" s="22">
        <v>-8.6712428938739872E-2</v>
      </c>
      <c r="H17" s="23">
        <v>-8.1098400341766713E-2</v>
      </c>
      <c r="I17" s="22"/>
      <c r="J17" s="22"/>
      <c r="K17" s="23"/>
    </row>
    <row r="18" spans="4:16" ht="39.950000000000003" customHeight="1" thickBot="1" x14ac:dyDescent="0.3">
      <c r="D18" s="89" t="s">
        <v>107</v>
      </c>
      <c r="E18" s="90"/>
      <c r="F18" s="26">
        <v>2.0924436921050654E-3</v>
      </c>
      <c r="G18" s="26">
        <v>7.3789489595404836E-2</v>
      </c>
      <c r="H18" s="27">
        <v>0.11078390493067851</v>
      </c>
      <c r="I18" s="26"/>
      <c r="J18" s="26"/>
      <c r="K18" s="27"/>
    </row>
    <row r="19" spans="4:16" x14ac:dyDescent="0.25">
      <c r="D19" s="80"/>
      <c r="E19" s="80"/>
    </row>
    <row r="23" spans="4:16" x14ac:dyDescent="0.25">
      <c r="O23" s="14"/>
      <c r="P23" s="14"/>
    </row>
    <row r="24" spans="4:16" x14ac:dyDescent="0.25">
      <c r="N24" s="16"/>
      <c r="O24" s="14"/>
    </row>
    <row r="25" spans="4:16" x14ac:dyDescent="0.25">
      <c r="N25" s="16"/>
    </row>
    <row r="26" spans="4:16" x14ac:dyDescent="0.25">
      <c r="N26" s="16"/>
    </row>
    <row r="27" spans="4:16" x14ac:dyDescent="0.25">
      <c r="N27" s="16"/>
    </row>
    <row r="28" spans="4:16" x14ac:dyDescent="0.25">
      <c r="N28" s="16"/>
    </row>
    <row r="29" spans="4:16" x14ac:dyDescent="0.25">
      <c r="N29" s="16"/>
    </row>
    <row r="30" spans="4:16" x14ac:dyDescent="0.25">
      <c r="N30" s="16"/>
    </row>
    <row r="31" spans="4:16" x14ac:dyDescent="0.25">
      <c r="N31" s="16"/>
    </row>
    <row r="32" spans="4:16" x14ac:dyDescent="0.25">
      <c r="N32" s="16"/>
    </row>
    <row r="33" spans="14:14" x14ac:dyDescent="0.25">
      <c r="N33" s="16"/>
    </row>
    <row r="34" spans="14:14" x14ac:dyDescent="0.25">
      <c r="N34" s="16"/>
    </row>
    <row r="35" spans="14:14" x14ac:dyDescent="0.25">
      <c r="N35" s="16"/>
    </row>
    <row r="36" spans="14:14" x14ac:dyDescent="0.25">
      <c r="N36" s="16"/>
    </row>
    <row r="37" spans="14:14" x14ac:dyDescent="0.25">
      <c r="N37" s="16"/>
    </row>
    <row r="38" spans="14:14" x14ac:dyDescent="0.25">
      <c r="N38" s="16"/>
    </row>
    <row r="39" spans="14:14" x14ac:dyDescent="0.25">
      <c r="N39" s="16"/>
    </row>
    <row r="40" spans="14:14" x14ac:dyDescent="0.25">
      <c r="N40" s="16"/>
    </row>
    <row r="41" spans="14:14" x14ac:dyDescent="0.25">
      <c r="N41" s="16"/>
    </row>
    <row r="42" spans="14:14" x14ac:dyDescent="0.25">
      <c r="N42" s="16"/>
    </row>
    <row r="43" spans="14:14" x14ac:dyDescent="0.25">
      <c r="N43" s="16"/>
    </row>
    <row r="44" spans="14:14" x14ac:dyDescent="0.25">
      <c r="N44" s="16"/>
    </row>
    <row r="45" spans="14:14" x14ac:dyDescent="0.25">
      <c r="N45" s="16"/>
    </row>
    <row r="46" spans="14:14" x14ac:dyDescent="0.25">
      <c r="N46" s="16"/>
    </row>
    <row r="47" spans="14:14" x14ac:dyDescent="0.25">
      <c r="N47" s="16"/>
    </row>
    <row r="48" spans="14:14" x14ac:dyDescent="0.25">
      <c r="N48" s="16"/>
    </row>
    <row r="49" spans="14:14" x14ac:dyDescent="0.25">
      <c r="N49" s="16"/>
    </row>
    <row r="50" spans="14:14" x14ac:dyDescent="0.25">
      <c r="N50" s="16"/>
    </row>
    <row r="51" spans="14:14" x14ac:dyDescent="0.25">
      <c r="N51" s="16"/>
    </row>
    <row r="52" spans="14:14" x14ac:dyDescent="0.25">
      <c r="N52" s="16"/>
    </row>
    <row r="53" spans="14:14" x14ac:dyDescent="0.25">
      <c r="N53" s="16"/>
    </row>
    <row r="54" spans="14:14" x14ac:dyDescent="0.25">
      <c r="N54" s="16"/>
    </row>
    <row r="55" spans="14:14" x14ac:dyDescent="0.25">
      <c r="N55" s="16"/>
    </row>
    <row r="56" spans="14:14" x14ac:dyDescent="0.25">
      <c r="N56" s="16"/>
    </row>
    <row r="57" spans="14:14" x14ac:dyDescent="0.25">
      <c r="N57" s="16"/>
    </row>
    <row r="58" spans="14:14" x14ac:dyDescent="0.25">
      <c r="N58" s="16"/>
    </row>
    <row r="59" spans="14:14" x14ac:dyDescent="0.25">
      <c r="N59" s="16"/>
    </row>
    <row r="60" spans="14:14" x14ac:dyDescent="0.25">
      <c r="N60" s="16"/>
    </row>
    <row r="61" spans="14:14" x14ac:dyDescent="0.25">
      <c r="N61" s="16"/>
    </row>
    <row r="62" spans="14:14" x14ac:dyDescent="0.25">
      <c r="N62" s="16"/>
    </row>
    <row r="63" spans="14:14" x14ac:dyDescent="0.25">
      <c r="N63" s="16"/>
    </row>
    <row r="64" spans="14:14" x14ac:dyDescent="0.25">
      <c r="N64" s="16"/>
    </row>
    <row r="65" spans="14:14" x14ac:dyDescent="0.25">
      <c r="N65" s="16"/>
    </row>
    <row r="66" spans="14:14" x14ac:dyDescent="0.25">
      <c r="N66" s="16"/>
    </row>
    <row r="67" spans="14:14" x14ac:dyDescent="0.25">
      <c r="N67" s="16"/>
    </row>
    <row r="68" spans="14:14" x14ac:dyDescent="0.25">
      <c r="N68" s="16"/>
    </row>
    <row r="69" spans="14:14" x14ac:dyDescent="0.25">
      <c r="N69" s="16"/>
    </row>
    <row r="70" spans="14:14" x14ac:dyDescent="0.25">
      <c r="N70" s="16"/>
    </row>
    <row r="71" spans="14:14" x14ac:dyDescent="0.25">
      <c r="N71" s="16"/>
    </row>
    <row r="72" spans="14:14" x14ac:dyDescent="0.25">
      <c r="N72" s="16"/>
    </row>
    <row r="73" spans="14:14" x14ac:dyDescent="0.25">
      <c r="N73" s="16"/>
    </row>
    <row r="74" spans="14:14" x14ac:dyDescent="0.25">
      <c r="N74" s="16"/>
    </row>
    <row r="75" spans="14:14" x14ac:dyDescent="0.25">
      <c r="N75" s="16"/>
    </row>
    <row r="76" spans="14:14" x14ac:dyDescent="0.25">
      <c r="N76" s="16"/>
    </row>
    <row r="77" spans="14:14" x14ac:dyDescent="0.25">
      <c r="N77" s="16"/>
    </row>
    <row r="78" spans="14:14" x14ac:dyDescent="0.25">
      <c r="N78" s="16"/>
    </row>
    <row r="79" spans="14:14" x14ac:dyDescent="0.25">
      <c r="N79" s="16"/>
    </row>
    <row r="80" spans="14:14" x14ac:dyDescent="0.25">
      <c r="N80" s="16"/>
    </row>
    <row r="81" spans="14:14" x14ac:dyDescent="0.25">
      <c r="N81" s="16"/>
    </row>
    <row r="82" spans="14:14" x14ac:dyDescent="0.25">
      <c r="N82" s="16"/>
    </row>
    <row r="83" spans="14:14" x14ac:dyDescent="0.25">
      <c r="N83" s="16"/>
    </row>
    <row r="84" spans="14:14" x14ac:dyDescent="0.25">
      <c r="N84" s="16"/>
    </row>
    <row r="85" spans="14:14" x14ac:dyDescent="0.25">
      <c r="N85" s="16"/>
    </row>
    <row r="86" spans="14:14" x14ac:dyDescent="0.25">
      <c r="N86" s="16"/>
    </row>
    <row r="87" spans="14:14" x14ac:dyDescent="0.25">
      <c r="N87" s="16"/>
    </row>
    <row r="88" spans="14:14" x14ac:dyDescent="0.25">
      <c r="N88" s="16"/>
    </row>
    <row r="89" spans="14:14" x14ac:dyDescent="0.25">
      <c r="N89" s="16"/>
    </row>
    <row r="90" spans="14:14" x14ac:dyDescent="0.25">
      <c r="N90" s="16"/>
    </row>
    <row r="91" spans="14:14" x14ac:dyDescent="0.25">
      <c r="N91" s="16"/>
    </row>
    <row r="92" spans="14:14" x14ac:dyDescent="0.25">
      <c r="N92" s="16"/>
    </row>
    <row r="93" spans="14:14" x14ac:dyDescent="0.25">
      <c r="N93" s="16"/>
    </row>
    <row r="94" spans="14:14" x14ac:dyDescent="0.25">
      <c r="N94" s="16"/>
    </row>
    <row r="95" spans="14:14" x14ac:dyDescent="0.25">
      <c r="N95" s="16"/>
    </row>
    <row r="96" spans="14:14" x14ac:dyDescent="0.25">
      <c r="N96" s="16"/>
    </row>
    <row r="97" spans="14:14" x14ac:dyDescent="0.25">
      <c r="N97" s="16"/>
    </row>
    <row r="98" spans="14:14" x14ac:dyDescent="0.25">
      <c r="N98" s="16"/>
    </row>
    <row r="99" spans="14:14" x14ac:dyDescent="0.25">
      <c r="N99" s="16"/>
    </row>
    <row r="100" spans="14:14" x14ac:dyDescent="0.25">
      <c r="N100" s="16"/>
    </row>
    <row r="101" spans="14:14" x14ac:dyDescent="0.25">
      <c r="N101" s="16"/>
    </row>
    <row r="102" spans="14:14" x14ac:dyDescent="0.25">
      <c r="N102" s="16"/>
    </row>
    <row r="103" spans="14:14" x14ac:dyDescent="0.25">
      <c r="N103" s="16"/>
    </row>
    <row r="104" spans="14:14" x14ac:dyDescent="0.25">
      <c r="N104" s="16"/>
    </row>
    <row r="105" spans="14:14" x14ac:dyDescent="0.25">
      <c r="N105" s="16"/>
    </row>
    <row r="106" spans="14:14" x14ac:dyDescent="0.25">
      <c r="N106" s="16"/>
    </row>
    <row r="107" spans="14:14" x14ac:dyDescent="0.25">
      <c r="N107" s="16"/>
    </row>
    <row r="108" spans="14:14" x14ac:dyDescent="0.25">
      <c r="N108" s="16"/>
    </row>
    <row r="109" spans="14:14" x14ac:dyDescent="0.25">
      <c r="N109" s="16"/>
    </row>
    <row r="110" spans="14:14" x14ac:dyDescent="0.25">
      <c r="N110" s="16"/>
    </row>
    <row r="111" spans="14:14" x14ac:dyDescent="0.25">
      <c r="N111" s="16"/>
    </row>
    <row r="112" spans="14:14" x14ac:dyDescent="0.25">
      <c r="N112" s="16"/>
    </row>
    <row r="113" spans="14:14" x14ac:dyDescent="0.25">
      <c r="N113" s="16"/>
    </row>
    <row r="114" spans="14:14" x14ac:dyDescent="0.25">
      <c r="N114" s="16"/>
    </row>
    <row r="115" spans="14:14" x14ac:dyDescent="0.25">
      <c r="N115" s="16"/>
    </row>
    <row r="116" spans="14:14" x14ac:dyDescent="0.25">
      <c r="N116" s="16"/>
    </row>
    <row r="117" spans="14:14" x14ac:dyDescent="0.25">
      <c r="N117" s="16"/>
    </row>
    <row r="118" spans="14:14" x14ac:dyDescent="0.25">
      <c r="N118" s="16"/>
    </row>
    <row r="119" spans="14:14" x14ac:dyDescent="0.25">
      <c r="N119" s="16"/>
    </row>
    <row r="120" spans="14:14" x14ac:dyDescent="0.25">
      <c r="N120" s="16"/>
    </row>
    <row r="121" spans="14:14" x14ac:dyDescent="0.25">
      <c r="N121" s="16"/>
    </row>
    <row r="122" spans="14:14" x14ac:dyDescent="0.25">
      <c r="N122" s="16"/>
    </row>
    <row r="123" spans="14:14" x14ac:dyDescent="0.25">
      <c r="N123" s="16"/>
    </row>
    <row r="124" spans="14:14" x14ac:dyDescent="0.25">
      <c r="N124" s="16"/>
    </row>
    <row r="125" spans="14:14" x14ac:dyDescent="0.25">
      <c r="N125" s="16"/>
    </row>
    <row r="126" spans="14:14" x14ac:dyDescent="0.25">
      <c r="N126" s="16"/>
    </row>
    <row r="127" spans="14:14" x14ac:dyDescent="0.25">
      <c r="N127" s="16"/>
    </row>
    <row r="128" spans="14:14" x14ac:dyDescent="0.25">
      <c r="N128" s="16"/>
    </row>
    <row r="129" spans="14:14" x14ac:dyDescent="0.25">
      <c r="N129" s="16"/>
    </row>
    <row r="130" spans="14:14" x14ac:dyDescent="0.25">
      <c r="N130" s="16"/>
    </row>
    <row r="131" spans="14:14" x14ac:dyDescent="0.25">
      <c r="N131" s="16"/>
    </row>
    <row r="132" spans="14:14" x14ac:dyDescent="0.25">
      <c r="N132" s="16"/>
    </row>
    <row r="133" spans="14:14" x14ac:dyDescent="0.25">
      <c r="N133" s="16"/>
    </row>
    <row r="134" spans="14:14" x14ac:dyDescent="0.25">
      <c r="N134" s="16"/>
    </row>
    <row r="135" spans="14:14" x14ac:dyDescent="0.25">
      <c r="N135" s="16"/>
    </row>
    <row r="136" spans="14:14" x14ac:dyDescent="0.25">
      <c r="N136" s="16"/>
    </row>
    <row r="137" spans="14:14" x14ac:dyDescent="0.25">
      <c r="N137" s="16"/>
    </row>
    <row r="138" spans="14:14" x14ac:dyDescent="0.25">
      <c r="N138" s="16"/>
    </row>
    <row r="139" spans="14:14" x14ac:dyDescent="0.25">
      <c r="N139" s="16"/>
    </row>
    <row r="140" spans="14:14" x14ac:dyDescent="0.25">
      <c r="N140" s="16"/>
    </row>
    <row r="141" spans="14:14" x14ac:dyDescent="0.25">
      <c r="N141" s="16"/>
    </row>
    <row r="142" spans="14:14" x14ac:dyDescent="0.25">
      <c r="N142" s="16"/>
    </row>
    <row r="143" spans="14:14" x14ac:dyDescent="0.25">
      <c r="N143" s="16"/>
    </row>
    <row r="144" spans="14:14" x14ac:dyDescent="0.25">
      <c r="N144" s="16"/>
    </row>
    <row r="145" spans="14:14" x14ac:dyDescent="0.25">
      <c r="N145" s="16"/>
    </row>
    <row r="146" spans="14:14" x14ac:dyDescent="0.25">
      <c r="N146" s="16"/>
    </row>
    <row r="147" spans="14:14" x14ac:dyDescent="0.25">
      <c r="N147" s="16"/>
    </row>
    <row r="148" spans="14:14" x14ac:dyDescent="0.25">
      <c r="N148" s="16"/>
    </row>
    <row r="149" spans="14:14" x14ac:dyDescent="0.25">
      <c r="N149" s="16"/>
    </row>
    <row r="150" spans="14:14" x14ac:dyDescent="0.25">
      <c r="N150" s="16"/>
    </row>
    <row r="151" spans="14:14" x14ac:dyDescent="0.25">
      <c r="N151" s="16"/>
    </row>
    <row r="152" spans="14:14" x14ac:dyDescent="0.25">
      <c r="N152" s="16"/>
    </row>
    <row r="153" spans="14:14" x14ac:dyDescent="0.25">
      <c r="N153" s="16"/>
    </row>
    <row r="154" spans="14:14" x14ac:dyDescent="0.25">
      <c r="N154" s="16"/>
    </row>
    <row r="155" spans="14:14" x14ac:dyDescent="0.25">
      <c r="N155" s="16"/>
    </row>
    <row r="156" spans="14:14" x14ac:dyDescent="0.25">
      <c r="N156" s="16"/>
    </row>
    <row r="157" spans="14:14" x14ac:dyDescent="0.25">
      <c r="N157" s="16"/>
    </row>
    <row r="158" spans="14:14" x14ac:dyDescent="0.25">
      <c r="N158" s="16"/>
    </row>
    <row r="159" spans="14:14" x14ac:dyDescent="0.25">
      <c r="N159" s="16"/>
    </row>
    <row r="160" spans="14:14" x14ac:dyDescent="0.25">
      <c r="N160" s="16"/>
    </row>
    <row r="161" spans="14:14" x14ac:dyDescent="0.25">
      <c r="N161" s="16"/>
    </row>
    <row r="162" spans="14:14" x14ac:dyDescent="0.25">
      <c r="N162" s="16"/>
    </row>
    <row r="163" spans="14:14" x14ac:dyDescent="0.25">
      <c r="N163" s="16"/>
    </row>
    <row r="164" spans="14:14" x14ac:dyDescent="0.25">
      <c r="N164" s="16"/>
    </row>
    <row r="165" spans="14:14" x14ac:dyDescent="0.25">
      <c r="N165" s="16"/>
    </row>
    <row r="166" spans="14:14" x14ac:dyDescent="0.25">
      <c r="N166" s="16"/>
    </row>
    <row r="167" spans="14:14" x14ac:dyDescent="0.25">
      <c r="N167" s="16"/>
    </row>
    <row r="168" spans="14:14" x14ac:dyDescent="0.25">
      <c r="N168" s="16"/>
    </row>
    <row r="169" spans="14:14" x14ac:dyDescent="0.25">
      <c r="N169" s="16"/>
    </row>
    <row r="170" spans="14:14" x14ac:dyDescent="0.25">
      <c r="N170" s="16"/>
    </row>
    <row r="171" spans="14:14" x14ac:dyDescent="0.25">
      <c r="N171" s="16"/>
    </row>
    <row r="172" spans="14:14" x14ac:dyDescent="0.25">
      <c r="N172" s="16"/>
    </row>
    <row r="173" spans="14:14" x14ac:dyDescent="0.25">
      <c r="N173" s="16"/>
    </row>
    <row r="174" spans="14:14" x14ac:dyDescent="0.25">
      <c r="N174" s="16"/>
    </row>
    <row r="175" spans="14:14" x14ac:dyDescent="0.25">
      <c r="N175" s="16"/>
    </row>
    <row r="176" spans="14:14" x14ac:dyDescent="0.25">
      <c r="N176" s="16"/>
    </row>
    <row r="177" spans="14:14" x14ac:dyDescent="0.25">
      <c r="N177" s="16"/>
    </row>
    <row r="178" spans="14:14" x14ac:dyDescent="0.25">
      <c r="N178" s="16"/>
    </row>
    <row r="179" spans="14:14" x14ac:dyDescent="0.25">
      <c r="N179" s="16"/>
    </row>
    <row r="180" spans="14:14" x14ac:dyDescent="0.25">
      <c r="N180" s="16"/>
    </row>
    <row r="181" spans="14:14" x14ac:dyDescent="0.25">
      <c r="N181" s="16"/>
    </row>
    <row r="182" spans="14:14" x14ac:dyDescent="0.25">
      <c r="N182" s="16"/>
    </row>
    <row r="183" spans="14:14" x14ac:dyDescent="0.25">
      <c r="N183" s="16"/>
    </row>
    <row r="184" spans="14:14" x14ac:dyDescent="0.25">
      <c r="N184" s="16"/>
    </row>
    <row r="185" spans="14:14" x14ac:dyDescent="0.25">
      <c r="N185" s="16"/>
    </row>
    <row r="186" spans="14:14" x14ac:dyDescent="0.25">
      <c r="N186" s="16"/>
    </row>
    <row r="187" spans="14:14" x14ac:dyDescent="0.25">
      <c r="N187" s="16"/>
    </row>
    <row r="188" spans="14:14" x14ac:dyDescent="0.25">
      <c r="N188" s="16"/>
    </row>
    <row r="189" spans="14:14" x14ac:dyDescent="0.25">
      <c r="N189" s="16"/>
    </row>
    <row r="190" spans="14:14" x14ac:dyDescent="0.25">
      <c r="N190" s="16"/>
    </row>
    <row r="191" spans="14:14" x14ac:dyDescent="0.25">
      <c r="N191" s="16"/>
    </row>
    <row r="192" spans="14:14" x14ac:dyDescent="0.25">
      <c r="N192" s="16"/>
    </row>
    <row r="193" spans="14:14" x14ac:dyDescent="0.25">
      <c r="N193" s="16"/>
    </row>
    <row r="194" spans="14:14" x14ac:dyDescent="0.25">
      <c r="N194" s="16"/>
    </row>
    <row r="195" spans="14:14" x14ac:dyDescent="0.25">
      <c r="N195" s="16"/>
    </row>
    <row r="196" spans="14:14" x14ac:dyDescent="0.25">
      <c r="N196" s="16"/>
    </row>
    <row r="197" spans="14:14" x14ac:dyDescent="0.25">
      <c r="N197" s="16"/>
    </row>
    <row r="198" spans="14:14" x14ac:dyDescent="0.25">
      <c r="N198" s="16"/>
    </row>
    <row r="199" spans="14:14" x14ac:dyDescent="0.25">
      <c r="N199" s="16"/>
    </row>
    <row r="200" spans="14:14" x14ac:dyDescent="0.25">
      <c r="N200" s="16"/>
    </row>
    <row r="201" spans="14:14" x14ac:dyDescent="0.25">
      <c r="N201" s="16"/>
    </row>
    <row r="202" spans="14:14" x14ac:dyDescent="0.25">
      <c r="N202" s="16"/>
    </row>
    <row r="203" spans="14:14" x14ac:dyDescent="0.25">
      <c r="N203" s="16"/>
    </row>
    <row r="204" spans="14:14" x14ac:dyDescent="0.25">
      <c r="N204" s="16"/>
    </row>
    <row r="205" spans="14:14" x14ac:dyDescent="0.25">
      <c r="N205" s="16"/>
    </row>
    <row r="206" spans="14:14" x14ac:dyDescent="0.25">
      <c r="N206" s="16"/>
    </row>
    <row r="207" spans="14:14" x14ac:dyDescent="0.25">
      <c r="N207" s="16"/>
    </row>
    <row r="208" spans="14:14" x14ac:dyDescent="0.25">
      <c r="N208" s="16"/>
    </row>
    <row r="209" spans="14:14" x14ac:dyDescent="0.25">
      <c r="N209" s="16"/>
    </row>
    <row r="210" spans="14:14" x14ac:dyDescent="0.25">
      <c r="N210" s="16"/>
    </row>
    <row r="211" spans="14:14" x14ac:dyDescent="0.25">
      <c r="N211" s="16"/>
    </row>
    <row r="212" spans="14:14" x14ac:dyDescent="0.25">
      <c r="N212" s="16"/>
    </row>
    <row r="213" spans="14:14" x14ac:dyDescent="0.25">
      <c r="N213" s="16"/>
    </row>
    <row r="214" spans="14:14" x14ac:dyDescent="0.25">
      <c r="N214" s="16"/>
    </row>
    <row r="215" spans="14:14" x14ac:dyDescent="0.25">
      <c r="N215" s="16"/>
    </row>
    <row r="216" spans="14:14" x14ac:dyDescent="0.25">
      <c r="N216" s="16"/>
    </row>
    <row r="217" spans="14:14" x14ac:dyDescent="0.25">
      <c r="N217" s="16"/>
    </row>
    <row r="218" spans="14:14" x14ac:dyDescent="0.25">
      <c r="N218" s="16"/>
    </row>
    <row r="219" spans="14:14" x14ac:dyDescent="0.25">
      <c r="N219" s="16"/>
    </row>
    <row r="220" spans="14:14" x14ac:dyDescent="0.25">
      <c r="N220" s="16"/>
    </row>
    <row r="221" spans="14:14" x14ac:dyDescent="0.25">
      <c r="N221" s="16"/>
    </row>
    <row r="222" spans="14:14" x14ac:dyDescent="0.25">
      <c r="N222" s="16"/>
    </row>
    <row r="223" spans="14:14" x14ac:dyDescent="0.25">
      <c r="N223" s="16"/>
    </row>
    <row r="224" spans="14:14" x14ac:dyDescent="0.25">
      <c r="N224" s="16"/>
    </row>
    <row r="225" spans="14:14" x14ac:dyDescent="0.25">
      <c r="N225" s="16"/>
    </row>
    <row r="226" spans="14:14" x14ac:dyDescent="0.25">
      <c r="N226" s="16"/>
    </row>
    <row r="227" spans="14:14" x14ac:dyDescent="0.25">
      <c r="N227" s="16"/>
    </row>
    <row r="228" spans="14:14" x14ac:dyDescent="0.25">
      <c r="N228" s="16"/>
    </row>
    <row r="229" spans="14:14" x14ac:dyDescent="0.25">
      <c r="N229" s="16"/>
    </row>
    <row r="230" spans="14:14" x14ac:dyDescent="0.25">
      <c r="N230" s="16"/>
    </row>
    <row r="231" spans="14:14" x14ac:dyDescent="0.25">
      <c r="N231" s="16"/>
    </row>
    <row r="232" spans="14:14" x14ac:dyDescent="0.25">
      <c r="N232" s="16"/>
    </row>
    <row r="233" spans="14:14" x14ac:dyDescent="0.25">
      <c r="N233" s="16"/>
    </row>
    <row r="234" spans="14:14" x14ac:dyDescent="0.25">
      <c r="N234" s="16"/>
    </row>
    <row r="235" spans="14:14" x14ac:dyDescent="0.25">
      <c r="N235" s="16"/>
    </row>
    <row r="236" spans="14:14" x14ac:dyDescent="0.25">
      <c r="N236" s="16"/>
    </row>
    <row r="237" spans="14:14" x14ac:dyDescent="0.25">
      <c r="N237" s="16"/>
    </row>
    <row r="238" spans="14:14" x14ac:dyDescent="0.25">
      <c r="N238" s="16"/>
    </row>
    <row r="239" spans="14:14" x14ac:dyDescent="0.25">
      <c r="N239" s="16"/>
    </row>
    <row r="240" spans="14:14" x14ac:dyDescent="0.25">
      <c r="N240" s="16"/>
    </row>
    <row r="241" spans="14:14" x14ac:dyDescent="0.25">
      <c r="N241" s="16"/>
    </row>
    <row r="242" spans="14:14" x14ac:dyDescent="0.25">
      <c r="N242" s="16"/>
    </row>
    <row r="243" spans="14:14" x14ac:dyDescent="0.25">
      <c r="N243" s="16"/>
    </row>
    <row r="244" spans="14:14" x14ac:dyDescent="0.25">
      <c r="N244" s="16"/>
    </row>
    <row r="245" spans="14:14" x14ac:dyDescent="0.25">
      <c r="N245" s="16"/>
    </row>
    <row r="246" spans="14:14" x14ac:dyDescent="0.25">
      <c r="N246" s="16"/>
    </row>
    <row r="247" spans="14:14" x14ac:dyDescent="0.25">
      <c r="N247" s="16"/>
    </row>
    <row r="248" spans="14:14" x14ac:dyDescent="0.25">
      <c r="N248" s="16"/>
    </row>
    <row r="249" spans="14:14" x14ac:dyDescent="0.25">
      <c r="N249" s="16"/>
    </row>
    <row r="250" spans="14:14" x14ac:dyDescent="0.25">
      <c r="N250" s="16"/>
    </row>
    <row r="251" spans="14:14" x14ac:dyDescent="0.25">
      <c r="N251" s="16"/>
    </row>
    <row r="252" spans="14:14" x14ac:dyDescent="0.25">
      <c r="N252" s="16"/>
    </row>
    <row r="253" spans="14:14" x14ac:dyDescent="0.25">
      <c r="N253" s="16"/>
    </row>
    <row r="254" spans="14:14" x14ac:dyDescent="0.25">
      <c r="N254" s="16"/>
    </row>
    <row r="255" spans="14:14" x14ac:dyDescent="0.25">
      <c r="N255" s="16"/>
    </row>
    <row r="256" spans="14:14" x14ac:dyDescent="0.25">
      <c r="N256" s="16"/>
    </row>
    <row r="257" spans="14:14" x14ac:dyDescent="0.25">
      <c r="N257" s="16"/>
    </row>
    <row r="258" spans="14:14" x14ac:dyDescent="0.25">
      <c r="N258" s="16"/>
    </row>
    <row r="259" spans="14:14" x14ac:dyDescent="0.25">
      <c r="N259" s="16"/>
    </row>
    <row r="260" spans="14:14" x14ac:dyDescent="0.25">
      <c r="N260" s="16"/>
    </row>
    <row r="261" spans="14:14" x14ac:dyDescent="0.25">
      <c r="N261" s="16"/>
    </row>
    <row r="262" spans="14:14" x14ac:dyDescent="0.25">
      <c r="N262" s="16"/>
    </row>
    <row r="263" spans="14:14" x14ac:dyDescent="0.25">
      <c r="N263" s="16"/>
    </row>
    <row r="264" spans="14:14" x14ac:dyDescent="0.25">
      <c r="N264" s="16"/>
    </row>
    <row r="265" spans="14:14" x14ac:dyDescent="0.25">
      <c r="N265" s="16"/>
    </row>
    <row r="266" spans="14:14" x14ac:dyDescent="0.25">
      <c r="N266" s="16"/>
    </row>
    <row r="267" spans="14:14" x14ac:dyDescent="0.25">
      <c r="N267" s="16"/>
    </row>
    <row r="268" spans="14:14" x14ac:dyDescent="0.25">
      <c r="N268" s="16"/>
    </row>
    <row r="269" spans="14:14" x14ac:dyDescent="0.25">
      <c r="N269" s="16"/>
    </row>
    <row r="270" spans="14:14" x14ac:dyDescent="0.25">
      <c r="N270" s="16"/>
    </row>
    <row r="271" spans="14:14" x14ac:dyDescent="0.25">
      <c r="N271" s="16"/>
    </row>
    <row r="272" spans="14:14" x14ac:dyDescent="0.25">
      <c r="N272" s="16"/>
    </row>
    <row r="273" spans="14:14" x14ac:dyDescent="0.25">
      <c r="N273" s="16"/>
    </row>
    <row r="274" spans="14:14" x14ac:dyDescent="0.25">
      <c r="N274" s="16"/>
    </row>
    <row r="275" spans="14:14" x14ac:dyDescent="0.25">
      <c r="N275" s="16"/>
    </row>
    <row r="276" spans="14:14" x14ac:dyDescent="0.25">
      <c r="N276" s="16"/>
    </row>
    <row r="277" spans="14:14" x14ac:dyDescent="0.25">
      <c r="N277" s="16"/>
    </row>
    <row r="278" spans="14:14" x14ac:dyDescent="0.25">
      <c r="N278" s="16"/>
    </row>
    <row r="279" spans="14:14" x14ac:dyDescent="0.25">
      <c r="N279" s="16"/>
    </row>
    <row r="280" spans="14:14" x14ac:dyDescent="0.25">
      <c r="N280" s="16"/>
    </row>
    <row r="281" spans="14:14" x14ac:dyDescent="0.25">
      <c r="N281" s="16"/>
    </row>
    <row r="282" spans="14:14" x14ac:dyDescent="0.25">
      <c r="N282" s="16"/>
    </row>
    <row r="283" spans="14:14" x14ac:dyDescent="0.25">
      <c r="N283" s="16"/>
    </row>
    <row r="284" spans="14:14" x14ac:dyDescent="0.25">
      <c r="N284" s="16"/>
    </row>
    <row r="285" spans="14:14" x14ac:dyDescent="0.25">
      <c r="N285" s="16"/>
    </row>
    <row r="286" spans="14:14" x14ac:dyDescent="0.25">
      <c r="N286" s="16"/>
    </row>
    <row r="287" spans="14:14" x14ac:dyDescent="0.25">
      <c r="N287" s="16"/>
    </row>
    <row r="288" spans="14:14" x14ac:dyDescent="0.25">
      <c r="N288" s="16"/>
    </row>
    <row r="289" spans="14:14" x14ac:dyDescent="0.25">
      <c r="N289" s="16"/>
    </row>
    <row r="290" spans="14:14" x14ac:dyDescent="0.25">
      <c r="N290" s="16"/>
    </row>
    <row r="291" spans="14:14" x14ac:dyDescent="0.25">
      <c r="N291" s="16"/>
    </row>
    <row r="292" spans="14:14" x14ac:dyDescent="0.25">
      <c r="N292" s="16"/>
    </row>
    <row r="293" spans="14:14" x14ac:dyDescent="0.25">
      <c r="N293" s="16"/>
    </row>
    <row r="294" spans="14:14" x14ac:dyDescent="0.25">
      <c r="N294" s="16"/>
    </row>
    <row r="295" spans="14:14" x14ac:dyDescent="0.25">
      <c r="N295" s="16"/>
    </row>
    <row r="296" spans="14:14" x14ac:dyDescent="0.25">
      <c r="N296" s="16"/>
    </row>
    <row r="297" spans="14:14" x14ac:dyDescent="0.25">
      <c r="N297" s="16"/>
    </row>
    <row r="298" spans="14:14" x14ac:dyDescent="0.25">
      <c r="N298" s="16"/>
    </row>
    <row r="299" spans="14:14" x14ac:dyDescent="0.25">
      <c r="N299" s="16"/>
    </row>
    <row r="300" spans="14:14" x14ac:dyDescent="0.25">
      <c r="N300" s="16"/>
    </row>
    <row r="301" spans="14:14" x14ac:dyDescent="0.25">
      <c r="N301" s="16"/>
    </row>
    <row r="302" spans="14:14" x14ac:dyDescent="0.25">
      <c r="N302" s="16"/>
    </row>
    <row r="303" spans="14:14" x14ac:dyDescent="0.25">
      <c r="N303" s="16"/>
    </row>
    <row r="304" spans="14:14" x14ac:dyDescent="0.25">
      <c r="N304" s="16"/>
    </row>
    <row r="305" spans="14:14" x14ac:dyDescent="0.25">
      <c r="N305" s="16"/>
    </row>
    <row r="306" spans="14:14" x14ac:dyDescent="0.25">
      <c r="N306" s="16"/>
    </row>
    <row r="307" spans="14:14" x14ac:dyDescent="0.25">
      <c r="N307" s="16"/>
    </row>
    <row r="308" spans="14:14" x14ac:dyDescent="0.25">
      <c r="N308" s="16"/>
    </row>
    <row r="309" spans="14:14" x14ac:dyDescent="0.25">
      <c r="N309" s="16"/>
    </row>
    <row r="310" spans="14:14" x14ac:dyDescent="0.25">
      <c r="N310" s="16"/>
    </row>
    <row r="311" spans="14:14" x14ac:dyDescent="0.25">
      <c r="N311" s="16"/>
    </row>
    <row r="312" spans="14:14" x14ac:dyDescent="0.25">
      <c r="N312" s="16"/>
    </row>
    <row r="313" spans="14:14" x14ac:dyDescent="0.25">
      <c r="N313" s="16"/>
    </row>
    <row r="314" spans="14:14" x14ac:dyDescent="0.25">
      <c r="N314" s="16"/>
    </row>
    <row r="315" spans="14:14" x14ac:dyDescent="0.25">
      <c r="N315" s="16"/>
    </row>
    <row r="316" spans="14:14" x14ac:dyDescent="0.25">
      <c r="N316" s="16"/>
    </row>
    <row r="317" spans="14:14" x14ac:dyDescent="0.25">
      <c r="N317" s="16"/>
    </row>
    <row r="318" spans="14:14" x14ac:dyDescent="0.25">
      <c r="N318" s="16"/>
    </row>
    <row r="319" spans="14:14" x14ac:dyDescent="0.25">
      <c r="N319" s="16"/>
    </row>
    <row r="320" spans="14:14" x14ac:dyDescent="0.25">
      <c r="N320" s="16"/>
    </row>
    <row r="321" spans="14:14" x14ac:dyDescent="0.25">
      <c r="N321" s="16"/>
    </row>
    <row r="322" spans="14:14" x14ac:dyDescent="0.25">
      <c r="N322" s="16"/>
    </row>
    <row r="323" spans="14:14" x14ac:dyDescent="0.25">
      <c r="N323" s="16"/>
    </row>
    <row r="324" spans="14:14" x14ac:dyDescent="0.25">
      <c r="N324" s="16"/>
    </row>
    <row r="325" spans="14:14" x14ac:dyDescent="0.25">
      <c r="N325" s="16"/>
    </row>
    <row r="326" spans="14:14" x14ac:dyDescent="0.25">
      <c r="N326" s="16"/>
    </row>
    <row r="327" spans="14:14" x14ac:dyDescent="0.25">
      <c r="N327" s="16"/>
    </row>
    <row r="328" spans="14:14" x14ac:dyDescent="0.25">
      <c r="N328" s="16"/>
    </row>
    <row r="329" spans="14:14" x14ac:dyDescent="0.25">
      <c r="N329" s="16"/>
    </row>
    <row r="330" spans="14:14" x14ac:dyDescent="0.25">
      <c r="N330" s="16"/>
    </row>
    <row r="331" spans="14:14" x14ac:dyDescent="0.25">
      <c r="N331" s="16"/>
    </row>
    <row r="332" spans="14:14" x14ac:dyDescent="0.25">
      <c r="N332" s="16"/>
    </row>
    <row r="333" spans="14:14" x14ac:dyDescent="0.25">
      <c r="N333" s="16"/>
    </row>
    <row r="334" spans="14:14" x14ac:dyDescent="0.25">
      <c r="N334" s="16"/>
    </row>
    <row r="335" spans="14:14" x14ac:dyDescent="0.25">
      <c r="N335" s="16"/>
    </row>
    <row r="336" spans="14:14" x14ac:dyDescent="0.25">
      <c r="N336" s="16"/>
    </row>
    <row r="337" spans="14:14" x14ac:dyDescent="0.25">
      <c r="N337" s="16"/>
    </row>
    <row r="338" spans="14:14" x14ac:dyDescent="0.25">
      <c r="N338" s="16"/>
    </row>
    <row r="339" spans="14:14" x14ac:dyDescent="0.25">
      <c r="N339" s="16"/>
    </row>
    <row r="340" spans="14:14" x14ac:dyDescent="0.25">
      <c r="N340" s="16"/>
    </row>
    <row r="341" spans="14:14" x14ac:dyDescent="0.25">
      <c r="N341" s="16"/>
    </row>
    <row r="342" spans="14:14" x14ac:dyDescent="0.25">
      <c r="N342" s="16"/>
    </row>
    <row r="343" spans="14:14" x14ac:dyDescent="0.25">
      <c r="N343" s="16"/>
    </row>
    <row r="344" spans="14:14" x14ac:dyDescent="0.25">
      <c r="N344" s="16"/>
    </row>
    <row r="345" spans="14:14" x14ac:dyDescent="0.25">
      <c r="N345" s="16"/>
    </row>
    <row r="346" spans="14:14" x14ac:dyDescent="0.25">
      <c r="N346" s="16"/>
    </row>
    <row r="347" spans="14:14" x14ac:dyDescent="0.25">
      <c r="N347" s="16"/>
    </row>
    <row r="348" spans="14:14" x14ac:dyDescent="0.25">
      <c r="N348" s="16"/>
    </row>
    <row r="349" spans="14:14" x14ac:dyDescent="0.25">
      <c r="N349" s="16"/>
    </row>
    <row r="350" spans="14:14" x14ac:dyDescent="0.25">
      <c r="N350" s="16"/>
    </row>
    <row r="351" spans="14:14" x14ac:dyDescent="0.25">
      <c r="N351" s="16"/>
    </row>
    <row r="352" spans="14:14" x14ac:dyDescent="0.25">
      <c r="N352" s="16"/>
    </row>
    <row r="353" spans="14:14" x14ac:dyDescent="0.25">
      <c r="N353" s="16"/>
    </row>
    <row r="354" spans="14:14" x14ac:dyDescent="0.25">
      <c r="N354" s="16"/>
    </row>
    <row r="355" spans="14:14" x14ac:dyDescent="0.25">
      <c r="N355" s="16"/>
    </row>
    <row r="356" spans="14:14" x14ac:dyDescent="0.25">
      <c r="N356" s="16"/>
    </row>
    <row r="357" spans="14:14" x14ac:dyDescent="0.25">
      <c r="N357" s="16"/>
    </row>
    <row r="358" spans="14:14" x14ac:dyDescent="0.25">
      <c r="N358" s="16"/>
    </row>
    <row r="359" spans="14:14" x14ac:dyDescent="0.25">
      <c r="N359" s="16"/>
    </row>
    <row r="360" spans="14:14" x14ac:dyDescent="0.25">
      <c r="N360" s="16"/>
    </row>
    <row r="361" spans="14:14" x14ac:dyDescent="0.25">
      <c r="N361" s="16"/>
    </row>
    <row r="362" spans="14:14" x14ac:dyDescent="0.25">
      <c r="N362" s="16"/>
    </row>
    <row r="363" spans="14:14" x14ac:dyDescent="0.25">
      <c r="N363" s="16"/>
    </row>
    <row r="364" spans="14:14" x14ac:dyDescent="0.25">
      <c r="N364" s="16"/>
    </row>
    <row r="365" spans="14:14" x14ac:dyDescent="0.25">
      <c r="N365" s="16"/>
    </row>
    <row r="366" spans="14:14" x14ac:dyDescent="0.25">
      <c r="N366" s="16"/>
    </row>
    <row r="367" spans="14:14" x14ac:dyDescent="0.25">
      <c r="N367" s="16"/>
    </row>
    <row r="368" spans="14:14" x14ac:dyDescent="0.25">
      <c r="N368" s="16"/>
    </row>
    <row r="369" spans="14:14" x14ac:dyDescent="0.25">
      <c r="N369" s="16"/>
    </row>
    <row r="370" spans="14:14" x14ac:dyDescent="0.25">
      <c r="N370" s="16"/>
    </row>
    <row r="371" spans="14:14" x14ac:dyDescent="0.25">
      <c r="N371" s="16"/>
    </row>
    <row r="372" spans="14:14" x14ac:dyDescent="0.25">
      <c r="N372" s="16"/>
    </row>
    <row r="373" spans="14:14" x14ac:dyDescent="0.25">
      <c r="N373" s="16"/>
    </row>
    <row r="374" spans="14:14" x14ac:dyDescent="0.25">
      <c r="N374" s="16"/>
    </row>
    <row r="375" spans="14:14" x14ac:dyDescent="0.25">
      <c r="N375" s="16"/>
    </row>
    <row r="376" spans="14:14" x14ac:dyDescent="0.25">
      <c r="N376" s="16"/>
    </row>
    <row r="377" spans="14:14" x14ac:dyDescent="0.25">
      <c r="N377" s="16"/>
    </row>
    <row r="378" spans="14:14" x14ac:dyDescent="0.25">
      <c r="N378" s="16"/>
    </row>
    <row r="379" spans="14:14" x14ac:dyDescent="0.25">
      <c r="N379" s="16"/>
    </row>
    <row r="380" spans="14:14" x14ac:dyDescent="0.25">
      <c r="N380" s="16"/>
    </row>
    <row r="381" spans="14:14" x14ac:dyDescent="0.25">
      <c r="N381" s="16"/>
    </row>
    <row r="382" spans="14:14" x14ac:dyDescent="0.25">
      <c r="N382" s="16"/>
    </row>
    <row r="383" spans="14:14" x14ac:dyDescent="0.25">
      <c r="N383" s="16"/>
    </row>
    <row r="384" spans="14:14" x14ac:dyDescent="0.25">
      <c r="N384" s="15"/>
    </row>
    <row r="385" spans="14:14" x14ac:dyDescent="0.25">
      <c r="N385" s="15"/>
    </row>
    <row r="386" spans="14:14" x14ac:dyDescent="0.25">
      <c r="N386" s="15"/>
    </row>
    <row r="387" spans="14:14" x14ac:dyDescent="0.25">
      <c r="N387" s="15"/>
    </row>
    <row r="388" spans="14:14" x14ac:dyDescent="0.25">
      <c r="N388" s="15"/>
    </row>
    <row r="389" spans="14:14" x14ac:dyDescent="0.25">
      <c r="N389" s="15"/>
    </row>
    <row r="390" spans="14:14" x14ac:dyDescent="0.25">
      <c r="N390" s="15"/>
    </row>
    <row r="391" spans="14:14" x14ac:dyDescent="0.25">
      <c r="N391" s="15"/>
    </row>
    <row r="392" spans="14:14" x14ac:dyDescent="0.25">
      <c r="N392" s="15"/>
    </row>
  </sheetData>
  <mergeCells count="16">
    <mergeCell ref="D10:E10"/>
    <mergeCell ref="D11:E11"/>
    <mergeCell ref="D12:E12"/>
    <mergeCell ref="F7:G7"/>
    <mergeCell ref="D19:E19"/>
    <mergeCell ref="D18:E18"/>
    <mergeCell ref="D13:E13"/>
    <mergeCell ref="D14:E14"/>
    <mergeCell ref="D15:E15"/>
    <mergeCell ref="D16:E16"/>
    <mergeCell ref="D17:E17"/>
    <mergeCell ref="I7:J7"/>
    <mergeCell ref="A2:P4"/>
    <mergeCell ref="D8:E8"/>
    <mergeCell ref="D7:E7"/>
    <mergeCell ref="D9:E9"/>
  </mergeCells>
  <conditionalFormatting sqref="F9:H1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9:K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1">
    <dataValidation type="list" allowBlank="1" showInputMessage="1" showErrorMessage="1" sqref="F7 I7" xr:uid="{6CE92108-9D7D-4D7B-863C-FDFBD4EBF90A}">
      <formula1>"USD, EUR, JPY, GBP, CAD, AUD, NZD, CHF"</formula1>
    </dataValidation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test">
                <anchor moveWithCells="1" sizeWithCells="1">
                  <from>
                    <xdr:col>0</xdr:col>
                    <xdr:colOff>409575</xdr:colOff>
                    <xdr:row>9</xdr:row>
                    <xdr:rowOff>352425</xdr:rowOff>
                  </from>
                  <to>
                    <xdr:col>2</xdr:col>
                    <xdr:colOff>485775</xdr:colOff>
                    <xdr:row>12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F29D6-0664-47D3-893A-590C5372F520}">
  <sheetPr codeName="Feuil3"/>
  <dimension ref="B1:Y397"/>
  <sheetViews>
    <sheetView zoomScale="85" zoomScaleNormal="85" workbookViewId="0">
      <selection activeCell="I6" sqref="I6"/>
    </sheetView>
  </sheetViews>
  <sheetFormatPr defaultColWidth="10.85546875" defaultRowHeight="15" x14ac:dyDescent="0.25"/>
  <cols>
    <col min="1" max="1" width="6" style="18" customWidth="1"/>
    <col min="2" max="2" width="20.28515625" style="11" bestFit="1" customWidth="1"/>
    <col min="3" max="3" width="36.28515625" style="18" bestFit="1" customWidth="1"/>
    <col min="4" max="4" width="8.5703125" style="18" bestFit="1" customWidth="1"/>
    <col min="5" max="5" width="14.7109375" style="18" bestFit="1" customWidth="1"/>
    <col min="6" max="15" width="10.85546875" style="18" bestFit="1" customWidth="1"/>
    <col min="16" max="21" width="9.85546875" style="18" bestFit="1" customWidth="1"/>
    <col min="22" max="22" width="9.7109375" style="18" bestFit="1" customWidth="1"/>
    <col min="23" max="23" width="8.85546875" style="18" bestFit="1" customWidth="1"/>
    <col min="24" max="24" width="11.5703125" style="18" customWidth="1"/>
    <col min="25" max="25" width="13.7109375" style="18" customWidth="1"/>
    <col min="26" max="16384" width="10.85546875" style="18"/>
  </cols>
  <sheetData>
    <row r="1" spans="2:25" ht="15.75" thickBot="1" x14ac:dyDescent="0.3"/>
    <row r="2" spans="2:25" ht="29.1" customHeight="1" thickBot="1" x14ac:dyDescent="0.3">
      <c r="B2" s="57" t="s">
        <v>108</v>
      </c>
      <c r="C2" s="58" t="str">
        <f>_xll.DSGRID("USIRPR1, USIRPR2, USIRPR3, USIRPR4, USIRPR5, USIRPR6, USIRPR7, USIRPR8, USIRPR9, USIRP10","X","-15D","TIME","D","CustomHeader=true;CustHeaderDatatypes=GEOGN;RowHeader=true;ColHeader=true;Transpose=true;Code=true;DispSeriesDescription=true;YearlyTSFormat=false;QuarterlyTSFormat=false;MonthlyTSFormat=false;AutoResize=true")</f>
        <v>Name</v>
      </c>
      <c r="D2" s="29" t="s">
        <v>57</v>
      </c>
      <c r="E2" s="78" t="s">
        <v>58</v>
      </c>
      <c r="F2" s="30">
        <v>45583</v>
      </c>
      <c r="G2" s="30">
        <v>45586</v>
      </c>
      <c r="H2" s="30">
        <v>45587</v>
      </c>
      <c r="I2" s="30">
        <v>45588</v>
      </c>
      <c r="J2" s="30">
        <v>45589</v>
      </c>
      <c r="K2" s="30">
        <v>45590</v>
      </c>
      <c r="L2" s="30">
        <v>45593</v>
      </c>
      <c r="M2" s="30">
        <v>45594</v>
      </c>
      <c r="N2" s="30">
        <v>45595</v>
      </c>
      <c r="O2" s="30">
        <v>45596</v>
      </c>
      <c r="P2" s="30">
        <v>45597</v>
      </c>
      <c r="Q2" s="30">
        <v>45600</v>
      </c>
      <c r="R2" s="30">
        <v>45601</v>
      </c>
      <c r="S2" s="30">
        <v>45602</v>
      </c>
      <c r="T2" s="30">
        <v>45603</v>
      </c>
      <c r="U2" s="69">
        <v>45604</v>
      </c>
      <c r="V2" s="75" t="s">
        <v>109</v>
      </c>
      <c r="W2" s="7" t="s">
        <v>95</v>
      </c>
      <c r="X2" s="8" t="s">
        <v>96</v>
      </c>
      <c r="Y2" s="9" t="s">
        <v>97</v>
      </c>
    </row>
    <row r="3" spans="2:25" ht="36.950000000000003" customHeight="1" x14ac:dyDescent="0.25">
      <c r="B3" s="51" t="s">
        <v>110</v>
      </c>
      <c r="C3" s="59" t="s">
        <v>63</v>
      </c>
      <c r="D3" s="32" t="s">
        <v>1</v>
      </c>
      <c r="E3" s="32" t="s">
        <v>64</v>
      </c>
      <c r="F3" s="33">
        <v>4.5919999999999996</v>
      </c>
      <c r="G3" s="33">
        <v>4.6050000000000004</v>
      </c>
      <c r="H3" s="33">
        <v>4.5990000000000002</v>
      </c>
      <c r="I3" s="33">
        <v>4.6050000000000004</v>
      </c>
      <c r="J3" s="33">
        <v>4.5919999999999996</v>
      </c>
      <c r="K3" s="33">
        <v>4.5919999999999996</v>
      </c>
      <c r="L3" s="33">
        <v>4.5910000000000002</v>
      </c>
      <c r="M3" s="33">
        <v>4.5839999999999996</v>
      </c>
      <c r="N3" s="33">
        <v>4.5940000000000003</v>
      </c>
      <c r="O3" s="33">
        <v>4.5940000000000003</v>
      </c>
      <c r="P3" s="33">
        <v>4.5869999999999997</v>
      </c>
      <c r="Q3" s="33">
        <v>4.5839999999999996</v>
      </c>
      <c r="R3" s="33">
        <v>4.5839999999999996</v>
      </c>
      <c r="S3" s="33">
        <v>4.5810000000000004</v>
      </c>
      <c r="T3" s="33">
        <v>4.3940000000000001</v>
      </c>
      <c r="U3" s="70">
        <v>4.4130000000000003</v>
      </c>
      <c r="V3" s="74"/>
      <c r="W3" s="22">
        <f>(T3-S3)/S3</f>
        <v>-4.0820781488757972E-2</v>
      </c>
      <c r="X3" s="22">
        <f>(T3-M3)/M3</f>
        <v>-4.1448516579406527E-2</v>
      </c>
      <c r="Y3" s="23">
        <f>(T3-F3)/F3</f>
        <v>-4.3118466898954599E-2</v>
      </c>
    </row>
    <row r="4" spans="2:25" ht="36.950000000000003" customHeight="1" x14ac:dyDescent="0.25">
      <c r="B4" s="52" t="s">
        <v>111</v>
      </c>
      <c r="C4" s="55" t="s">
        <v>112</v>
      </c>
      <c r="D4" s="35" t="s">
        <v>9</v>
      </c>
      <c r="E4" s="35" t="s">
        <v>64</v>
      </c>
      <c r="F4" s="36">
        <v>4.3869999999999996</v>
      </c>
      <c r="G4" s="36">
        <v>4.4290000000000003</v>
      </c>
      <c r="H4" s="36">
        <v>4.4139999999999997</v>
      </c>
      <c r="I4" s="36">
        <v>4.423</v>
      </c>
      <c r="J4" s="36">
        <v>4.3929999999999998</v>
      </c>
      <c r="K4" s="36">
        <v>4.3929999999999998</v>
      </c>
      <c r="L4" s="36">
        <v>4.4009999999999998</v>
      </c>
      <c r="M4" s="36">
        <v>4.3890000000000002</v>
      </c>
      <c r="N4" s="36">
        <v>4.407</v>
      </c>
      <c r="O4" s="36">
        <v>4.4029999999999996</v>
      </c>
      <c r="P4" s="36">
        <v>4.3710000000000004</v>
      </c>
      <c r="Q4" s="36">
        <v>4.3760000000000003</v>
      </c>
      <c r="R4" s="36">
        <v>4.3869999999999996</v>
      </c>
      <c r="S4" s="36">
        <v>4.4089999999999998</v>
      </c>
      <c r="T4" s="36">
        <v>4.2919999999999998</v>
      </c>
      <c r="U4" s="71">
        <v>4.3230000000000004</v>
      </c>
      <c r="V4" s="73"/>
      <c r="W4" s="22">
        <f t="shared" ref="W4:W12" si="0">(T4-S4)/S4</f>
        <v>-2.6536629621229303E-2</v>
      </c>
      <c r="X4" s="22">
        <f t="shared" ref="X4:X12" si="1">(T4-M4)/M4</f>
        <v>-2.2100706311232721E-2</v>
      </c>
      <c r="Y4" s="23">
        <f t="shared" ref="Y4:Y12" si="2">(T4-F4)/F4</f>
        <v>-2.1654889446090668E-2</v>
      </c>
    </row>
    <row r="5" spans="2:25" ht="36.950000000000003" customHeight="1" x14ac:dyDescent="0.25">
      <c r="B5" s="52" t="s">
        <v>113</v>
      </c>
      <c r="C5" s="55" t="s">
        <v>114</v>
      </c>
      <c r="D5" s="35" t="s">
        <v>17</v>
      </c>
      <c r="E5" s="35" t="s">
        <v>64</v>
      </c>
      <c r="F5" s="36">
        <v>4.1970000000000001</v>
      </c>
      <c r="G5" s="36">
        <v>4.2519999999999998</v>
      </c>
      <c r="H5" s="36">
        <v>4.2430000000000003</v>
      </c>
      <c r="I5" s="36">
        <v>4.2569999999999997</v>
      </c>
      <c r="J5" s="36">
        <v>4.2279999999999998</v>
      </c>
      <c r="K5" s="36">
        <v>4.2300000000000004</v>
      </c>
      <c r="L5" s="36">
        <v>4.2370000000000001</v>
      </c>
      <c r="M5" s="36">
        <v>4.218</v>
      </c>
      <c r="N5" s="36">
        <v>4.2569999999999997</v>
      </c>
      <c r="O5" s="36">
        <v>4.2480000000000002</v>
      </c>
      <c r="P5" s="36">
        <v>4.24</v>
      </c>
      <c r="Q5" s="36">
        <v>4.2370000000000001</v>
      </c>
      <c r="R5" s="36">
        <v>4.2430000000000003</v>
      </c>
      <c r="S5" s="36">
        <v>4.3129999999999997</v>
      </c>
      <c r="T5" s="36">
        <v>4.1280000000000001</v>
      </c>
      <c r="U5" s="71">
        <v>4.1779999999999999</v>
      </c>
      <c r="V5" s="73"/>
      <c r="W5" s="22">
        <f t="shared" si="0"/>
        <v>-4.2893577556225276E-2</v>
      </c>
      <c r="X5" s="22">
        <f t="shared" si="1"/>
        <v>-2.1337126600284462E-2</v>
      </c>
      <c r="Y5" s="23">
        <f t="shared" si="2"/>
        <v>-1.6440314510364533E-2</v>
      </c>
    </row>
    <row r="6" spans="2:25" ht="36.950000000000003" customHeight="1" x14ac:dyDescent="0.25">
      <c r="B6" s="52" t="s">
        <v>115</v>
      </c>
      <c r="C6" s="55" t="s">
        <v>116</v>
      </c>
      <c r="D6" s="35" t="s">
        <v>25</v>
      </c>
      <c r="E6" s="35" t="s">
        <v>64</v>
      </c>
      <c r="F6" s="36">
        <v>3.97</v>
      </c>
      <c r="G6" s="36">
        <v>4.04</v>
      </c>
      <c r="H6" s="36">
        <v>4.0350000000000001</v>
      </c>
      <c r="I6" s="36">
        <v>4.0579999999999998</v>
      </c>
      <c r="J6" s="36">
        <v>4.0279999999999996</v>
      </c>
      <c r="K6" s="36">
        <v>4.0419999999999998</v>
      </c>
      <c r="L6" s="36">
        <v>4.0519999999999996</v>
      </c>
      <c r="M6" s="36">
        <v>4.03</v>
      </c>
      <c r="N6" s="36">
        <v>4.0830000000000002</v>
      </c>
      <c r="O6" s="36">
        <v>4.085</v>
      </c>
      <c r="P6" s="36">
        <v>4.09</v>
      </c>
      <c r="Q6" s="36">
        <v>4.0720000000000001</v>
      </c>
      <c r="R6" s="36">
        <v>4.0629999999999997</v>
      </c>
      <c r="S6" s="36">
        <v>4.1529999999999996</v>
      </c>
      <c r="T6" s="36">
        <v>4.0309999999999997</v>
      </c>
      <c r="U6" s="71">
        <v>4.0839999999999996</v>
      </c>
      <c r="V6" s="73"/>
      <c r="W6" s="22">
        <f t="shared" si="0"/>
        <v>-2.9376354442571612E-2</v>
      </c>
      <c r="X6" s="22">
        <f t="shared" si="1"/>
        <v>2.4813895781623964E-4</v>
      </c>
      <c r="Y6" s="23">
        <f t="shared" si="2"/>
        <v>1.53652392947102E-2</v>
      </c>
    </row>
    <row r="7" spans="2:25" ht="36.950000000000003" customHeight="1" x14ac:dyDescent="0.25">
      <c r="B7" s="52" t="s">
        <v>117</v>
      </c>
      <c r="C7" s="55" t="s">
        <v>77</v>
      </c>
      <c r="D7" s="35" t="s">
        <v>33</v>
      </c>
      <c r="E7" s="35" t="s">
        <v>64</v>
      </c>
      <c r="F7" s="36">
        <v>3.7410000000000001</v>
      </c>
      <c r="G7" s="36">
        <v>3.875</v>
      </c>
      <c r="H7" s="36">
        <v>3.883</v>
      </c>
      <c r="I7" s="36">
        <v>3.9089999999999998</v>
      </c>
      <c r="J7" s="36">
        <v>3.879</v>
      </c>
      <c r="K7" s="36">
        <v>3.891</v>
      </c>
      <c r="L7" s="36">
        <v>3.9140000000000001</v>
      </c>
      <c r="M7" s="36">
        <v>3.891</v>
      </c>
      <c r="N7" s="36">
        <v>3.95</v>
      </c>
      <c r="O7" s="36">
        <v>3.9620000000000002</v>
      </c>
      <c r="P7" s="36">
        <v>3.8159999999999998</v>
      </c>
      <c r="Q7" s="36">
        <v>3.95</v>
      </c>
      <c r="R7" s="36">
        <v>3.9529999999999998</v>
      </c>
      <c r="S7" s="36">
        <v>4.0590000000000002</v>
      </c>
      <c r="T7" s="36">
        <v>3.9049999999999998</v>
      </c>
      <c r="U7" s="71">
        <v>3.9670000000000001</v>
      </c>
      <c r="V7" s="73"/>
      <c r="W7" s="22">
        <f t="shared" si="0"/>
        <v>-3.7940379403794126E-2</v>
      </c>
      <c r="X7" s="22">
        <f t="shared" si="1"/>
        <v>3.5980467746080159E-3</v>
      </c>
      <c r="Y7" s="23">
        <f t="shared" si="2"/>
        <v>4.3838545843357307E-2</v>
      </c>
    </row>
    <row r="8" spans="2:25" ht="36.950000000000003" customHeight="1" x14ac:dyDescent="0.25">
      <c r="B8" s="52" t="s">
        <v>118</v>
      </c>
      <c r="C8" s="55" t="s">
        <v>195</v>
      </c>
      <c r="D8" s="35" t="s">
        <v>41</v>
      </c>
      <c r="E8" s="35" t="s">
        <v>64</v>
      </c>
      <c r="F8" s="76">
        <v>3.6259999999999999</v>
      </c>
      <c r="G8" s="36">
        <v>3.7130000000000001</v>
      </c>
      <c r="H8" s="36">
        <v>3.7250000000000001</v>
      </c>
      <c r="I8" s="36">
        <v>3.7629999999999999</v>
      </c>
      <c r="J8" s="36">
        <v>3.73</v>
      </c>
      <c r="K8" s="36">
        <v>3.7719999999999998</v>
      </c>
      <c r="L8" s="36">
        <v>3.78</v>
      </c>
      <c r="M8" s="36">
        <v>3.7549999999999999</v>
      </c>
      <c r="N8" s="36">
        <v>3.8250000000000002</v>
      </c>
      <c r="O8" s="36">
        <v>3.8340000000000001</v>
      </c>
      <c r="P8" s="36">
        <v>3.8519999999999999</v>
      </c>
      <c r="Q8" s="36">
        <v>3.8250000000000002</v>
      </c>
      <c r="R8" s="36">
        <v>3.8340000000000001</v>
      </c>
      <c r="S8" s="36">
        <v>3.9489999999999998</v>
      </c>
      <c r="T8" s="36">
        <v>3.8380000000000001</v>
      </c>
      <c r="U8" s="71">
        <v>3.9049999999999998</v>
      </c>
      <c r="V8" s="73"/>
      <c r="W8" s="22">
        <f t="shared" si="0"/>
        <v>-2.8108381868827494E-2</v>
      </c>
      <c r="X8" s="22">
        <f t="shared" si="1"/>
        <v>2.2103861517976081E-2</v>
      </c>
      <c r="Y8" s="23">
        <f t="shared" si="2"/>
        <v>5.8466629895201377E-2</v>
      </c>
    </row>
    <row r="9" spans="2:25" ht="36.950000000000003" customHeight="1" x14ac:dyDescent="0.25">
      <c r="B9" s="52" t="s">
        <v>119</v>
      </c>
      <c r="C9" s="55" t="s">
        <v>196</v>
      </c>
      <c r="D9" s="35" t="s">
        <v>49</v>
      </c>
      <c r="E9" s="35" t="s">
        <v>64</v>
      </c>
      <c r="F9" s="76">
        <v>3.528</v>
      </c>
      <c r="G9" s="36">
        <v>3.6179999999999999</v>
      </c>
      <c r="H9" s="36">
        <v>3.6349999999999998</v>
      </c>
      <c r="I9" s="36">
        <v>3.6779999999999999</v>
      </c>
      <c r="J9" s="36">
        <v>3.6469999999999998</v>
      </c>
      <c r="K9" s="36">
        <v>3.7050000000000001</v>
      </c>
      <c r="L9" s="36">
        <v>3.7080000000000002</v>
      </c>
      <c r="M9" s="36">
        <v>3.6829999999999998</v>
      </c>
      <c r="N9" s="36">
        <v>3.762</v>
      </c>
      <c r="O9" s="36">
        <v>3.7719999999999998</v>
      </c>
      <c r="P9" s="36">
        <v>3.78</v>
      </c>
      <c r="Q9" s="36">
        <v>3.7549999999999999</v>
      </c>
      <c r="R9" s="36">
        <v>3.7719999999999998</v>
      </c>
      <c r="S9" s="36">
        <v>3.9</v>
      </c>
      <c r="T9" s="36">
        <v>3.78</v>
      </c>
      <c r="U9" s="71">
        <v>3.8359999999999999</v>
      </c>
      <c r="V9" s="73"/>
      <c r="W9" s="22">
        <f t="shared" si="0"/>
        <v>-3.0769230769230799E-2</v>
      </c>
      <c r="X9" s="22">
        <f t="shared" si="1"/>
        <v>2.6337225088243276E-2</v>
      </c>
      <c r="Y9" s="23">
        <f t="shared" si="2"/>
        <v>7.1428571428571369E-2</v>
      </c>
    </row>
    <row r="10" spans="2:25" ht="36.950000000000003" customHeight="1" x14ac:dyDescent="0.25">
      <c r="B10" s="52" t="s">
        <v>120</v>
      </c>
      <c r="C10" s="55" t="s">
        <v>197</v>
      </c>
      <c r="D10" s="35" t="s">
        <v>198</v>
      </c>
      <c r="E10" s="35" t="s">
        <v>64</v>
      </c>
      <c r="F10" s="76">
        <v>2.887</v>
      </c>
      <c r="G10" s="36">
        <v>3.5190000000000001</v>
      </c>
      <c r="H10" s="36">
        <v>3.5430000000000001</v>
      </c>
      <c r="I10" s="36">
        <v>3.5910000000000002</v>
      </c>
      <c r="J10" s="36">
        <v>3.5550000000000002</v>
      </c>
      <c r="K10" s="36">
        <v>3.5670000000000002</v>
      </c>
      <c r="L10" s="36">
        <v>3.6269999999999998</v>
      </c>
      <c r="M10" s="36">
        <v>3.6080000000000001</v>
      </c>
      <c r="N10" s="36">
        <v>3.6930000000000001</v>
      </c>
      <c r="O10" s="36">
        <v>3.7029999999999998</v>
      </c>
      <c r="P10" s="36">
        <v>2.73</v>
      </c>
      <c r="Q10" s="36">
        <v>3.6970000000000001</v>
      </c>
      <c r="R10" s="36">
        <v>3.7149999999999999</v>
      </c>
      <c r="S10" s="36">
        <v>3.8479999999999999</v>
      </c>
      <c r="T10" s="36">
        <v>3.74</v>
      </c>
      <c r="U10" s="71">
        <v>3.8</v>
      </c>
      <c r="V10" s="73"/>
      <c r="W10" s="22">
        <f t="shared" si="0"/>
        <v>-2.8066528066527978E-2</v>
      </c>
      <c r="X10" s="22">
        <f t="shared" si="1"/>
        <v>3.6585365853658569E-2</v>
      </c>
      <c r="Y10" s="23">
        <f t="shared" si="2"/>
        <v>0.29546241773467274</v>
      </c>
    </row>
    <row r="11" spans="2:25" ht="36.950000000000003" customHeight="1" x14ac:dyDescent="0.25">
      <c r="B11" s="52" t="s">
        <v>121</v>
      </c>
      <c r="C11" s="55" t="s">
        <v>199</v>
      </c>
      <c r="D11" s="35" t="s">
        <v>200</v>
      </c>
      <c r="E11" s="35" t="s">
        <v>64</v>
      </c>
      <c r="F11" s="76">
        <v>3.3849999999999998</v>
      </c>
      <c r="G11" s="36">
        <v>3.4630000000000001</v>
      </c>
      <c r="H11" s="36">
        <v>3.488</v>
      </c>
      <c r="I11" s="36">
        <v>3.54</v>
      </c>
      <c r="J11" s="36">
        <v>3.5049999999999999</v>
      </c>
      <c r="K11" s="36">
        <v>3.5449999999999999</v>
      </c>
      <c r="L11" s="36">
        <v>3.585</v>
      </c>
      <c r="M11" s="36">
        <v>3.5550000000000002</v>
      </c>
      <c r="N11" s="36">
        <v>3.6549999999999998</v>
      </c>
      <c r="O11" s="36">
        <v>3.66</v>
      </c>
      <c r="P11" s="36">
        <v>3.6749999999999998</v>
      </c>
      <c r="Q11" s="36">
        <v>3.6549999999999998</v>
      </c>
      <c r="R11" s="36">
        <v>3.68</v>
      </c>
      <c r="S11" s="36">
        <v>3.82</v>
      </c>
      <c r="T11" s="36">
        <v>3.7029999999999998</v>
      </c>
      <c r="U11" s="71">
        <v>3.7629999999999999</v>
      </c>
      <c r="V11" s="73"/>
      <c r="W11" s="22">
        <f t="shared" si="0"/>
        <v>-3.0628272251308899E-2</v>
      </c>
      <c r="X11" s="22">
        <f t="shared" si="1"/>
        <v>4.1631504922644072E-2</v>
      </c>
      <c r="Y11" s="23">
        <f t="shared" si="2"/>
        <v>9.3943870014771072E-2</v>
      </c>
    </row>
    <row r="12" spans="2:25" ht="36.950000000000003" customHeight="1" thickBot="1" x14ac:dyDescent="0.3">
      <c r="B12" s="53" t="s">
        <v>122</v>
      </c>
      <c r="C12" s="56" t="s">
        <v>201</v>
      </c>
      <c r="D12" s="38" t="s">
        <v>202</v>
      </c>
      <c r="E12" s="38" t="s">
        <v>64</v>
      </c>
      <c r="F12" s="77">
        <v>3.3330000000000002</v>
      </c>
      <c r="G12" s="39">
        <v>3.415</v>
      </c>
      <c r="H12" s="39">
        <v>3.4359999999999999</v>
      </c>
      <c r="I12" s="39">
        <v>3.5030000000000001</v>
      </c>
      <c r="J12" s="39">
        <v>3.4569999999999999</v>
      </c>
      <c r="K12" s="39">
        <v>3.5009999999999999</v>
      </c>
      <c r="L12" s="39">
        <v>3.5369999999999999</v>
      </c>
      <c r="M12" s="39">
        <v>3.5139999999999998</v>
      </c>
      <c r="N12" s="39">
        <v>3.625</v>
      </c>
      <c r="O12" s="39">
        <v>3.6269999999999998</v>
      </c>
      <c r="P12" s="39">
        <v>3.6379999999999999</v>
      </c>
      <c r="Q12" s="39">
        <v>3.6219999999999999</v>
      </c>
      <c r="R12" s="39">
        <v>3.6469999999999998</v>
      </c>
      <c r="S12" s="39">
        <v>3.7869999999999999</v>
      </c>
      <c r="T12" s="39">
        <v>3.6880000000000002</v>
      </c>
      <c r="U12" s="72">
        <v>3.74</v>
      </c>
      <c r="V12" s="73"/>
      <c r="W12" s="26">
        <f t="shared" si="0"/>
        <v>-2.6142064959070441E-2</v>
      </c>
      <c r="X12" s="26">
        <f t="shared" si="1"/>
        <v>4.9516220830961979E-2</v>
      </c>
      <c r="Y12" s="27">
        <f t="shared" si="2"/>
        <v>0.1065106510651065</v>
      </c>
    </row>
    <row r="13" spans="2:25" ht="36.950000000000003" customHeight="1" x14ac:dyDescent="0.25">
      <c r="C13" s="91" t="s">
        <v>123</v>
      </c>
      <c r="D13" s="91">
        <f>_xll.DSGRID("USPRATE.","","-1Q","QTE","Q","RowHeader=false;ColHeader=false;DispSeriesDescription=false;YearlyTSFormat=false;QuarterlyTSFormat=false;MonthlyTSFormat=false")</f>
        <v>5</v>
      </c>
    </row>
    <row r="14" spans="2:25" ht="15.75" thickBot="1" x14ac:dyDescent="0.3">
      <c r="C14" s="92"/>
      <c r="D14" s="92"/>
    </row>
    <row r="21" spans="12:17" x14ac:dyDescent="0.25">
      <c r="M21" s="19"/>
      <c r="N21" s="19"/>
    </row>
    <row r="22" spans="12:17" x14ac:dyDescent="0.25">
      <c r="L22" s="19"/>
      <c r="O22" s="19"/>
    </row>
    <row r="28" spans="12:17" x14ac:dyDescent="0.25">
      <c r="P28" s="19"/>
      <c r="Q28" s="19"/>
    </row>
    <row r="29" spans="12:17" x14ac:dyDescent="0.25">
      <c r="O29" s="41"/>
    </row>
    <row r="30" spans="12:17" x14ac:dyDescent="0.25">
      <c r="O30" s="41"/>
    </row>
    <row r="31" spans="12:17" x14ac:dyDescent="0.25">
      <c r="O31" s="41"/>
    </row>
    <row r="32" spans="12:17" x14ac:dyDescent="0.25">
      <c r="O32" s="41"/>
    </row>
    <row r="33" spans="15:15" x14ac:dyDescent="0.25">
      <c r="O33" s="41"/>
    </row>
    <row r="34" spans="15:15" x14ac:dyDescent="0.25">
      <c r="O34" s="41"/>
    </row>
    <row r="35" spans="15:15" x14ac:dyDescent="0.25">
      <c r="O35" s="41"/>
    </row>
    <row r="36" spans="15:15" x14ac:dyDescent="0.25">
      <c r="O36" s="41"/>
    </row>
    <row r="37" spans="15:15" x14ac:dyDescent="0.25">
      <c r="O37" s="41"/>
    </row>
    <row r="38" spans="15:15" x14ac:dyDescent="0.25">
      <c r="O38" s="41"/>
    </row>
    <row r="39" spans="15:15" x14ac:dyDescent="0.25">
      <c r="O39" s="41"/>
    </row>
    <row r="40" spans="15:15" x14ac:dyDescent="0.25">
      <c r="O40" s="41"/>
    </row>
    <row r="41" spans="15:15" x14ac:dyDescent="0.25">
      <c r="O41" s="41"/>
    </row>
    <row r="42" spans="15:15" x14ac:dyDescent="0.25">
      <c r="O42" s="41"/>
    </row>
    <row r="43" spans="15:15" x14ac:dyDescent="0.25">
      <c r="O43" s="41"/>
    </row>
    <row r="44" spans="15:15" x14ac:dyDescent="0.25">
      <c r="O44" s="41"/>
    </row>
    <row r="45" spans="15:15" x14ac:dyDescent="0.25">
      <c r="O45" s="41"/>
    </row>
    <row r="46" spans="15:15" x14ac:dyDescent="0.25">
      <c r="O46" s="41"/>
    </row>
    <row r="47" spans="15:15" x14ac:dyDescent="0.25">
      <c r="O47" s="41"/>
    </row>
    <row r="48" spans="15:15" x14ac:dyDescent="0.25">
      <c r="O48" s="41"/>
    </row>
    <row r="49" spans="15:15" x14ac:dyDescent="0.25">
      <c r="O49" s="41"/>
    </row>
    <row r="50" spans="15:15" x14ac:dyDescent="0.25">
      <c r="O50" s="41"/>
    </row>
    <row r="51" spans="15:15" x14ac:dyDescent="0.25">
      <c r="O51" s="41"/>
    </row>
    <row r="52" spans="15:15" x14ac:dyDescent="0.25">
      <c r="O52" s="41"/>
    </row>
    <row r="53" spans="15:15" x14ac:dyDescent="0.25">
      <c r="O53" s="41"/>
    </row>
    <row r="54" spans="15:15" x14ac:dyDescent="0.25">
      <c r="O54" s="41"/>
    </row>
    <row r="55" spans="15:15" x14ac:dyDescent="0.25">
      <c r="O55" s="41"/>
    </row>
    <row r="56" spans="15:15" x14ac:dyDescent="0.25">
      <c r="O56" s="41"/>
    </row>
    <row r="57" spans="15:15" x14ac:dyDescent="0.25">
      <c r="O57" s="41"/>
    </row>
    <row r="58" spans="15:15" x14ac:dyDescent="0.25">
      <c r="O58" s="41"/>
    </row>
    <row r="59" spans="15:15" x14ac:dyDescent="0.25">
      <c r="O59" s="41"/>
    </row>
    <row r="60" spans="15:15" x14ac:dyDescent="0.25">
      <c r="O60" s="41"/>
    </row>
    <row r="61" spans="15:15" x14ac:dyDescent="0.25">
      <c r="O61" s="41"/>
    </row>
    <row r="62" spans="15:15" x14ac:dyDescent="0.25">
      <c r="O62" s="41"/>
    </row>
    <row r="63" spans="15:15" x14ac:dyDescent="0.25">
      <c r="O63" s="41"/>
    </row>
    <row r="64" spans="15:15" x14ac:dyDescent="0.25">
      <c r="O64" s="41"/>
    </row>
    <row r="65" spans="15:15" x14ac:dyDescent="0.25">
      <c r="O65" s="41"/>
    </row>
    <row r="66" spans="15:15" x14ac:dyDescent="0.25">
      <c r="O66" s="41"/>
    </row>
    <row r="67" spans="15:15" x14ac:dyDescent="0.25">
      <c r="O67" s="41"/>
    </row>
    <row r="68" spans="15:15" x14ac:dyDescent="0.25">
      <c r="O68" s="41"/>
    </row>
    <row r="69" spans="15:15" x14ac:dyDescent="0.25">
      <c r="O69" s="41"/>
    </row>
    <row r="70" spans="15:15" x14ac:dyDescent="0.25">
      <c r="O70" s="41"/>
    </row>
    <row r="71" spans="15:15" x14ac:dyDescent="0.25">
      <c r="O71" s="41"/>
    </row>
    <row r="72" spans="15:15" x14ac:dyDescent="0.25">
      <c r="O72" s="41"/>
    </row>
    <row r="73" spans="15:15" x14ac:dyDescent="0.25">
      <c r="O73" s="41"/>
    </row>
    <row r="74" spans="15:15" x14ac:dyDescent="0.25">
      <c r="O74" s="41"/>
    </row>
    <row r="75" spans="15:15" x14ac:dyDescent="0.25">
      <c r="O75" s="41"/>
    </row>
    <row r="76" spans="15:15" x14ac:dyDescent="0.25">
      <c r="O76" s="41"/>
    </row>
    <row r="77" spans="15:15" x14ac:dyDescent="0.25">
      <c r="O77" s="41"/>
    </row>
    <row r="78" spans="15:15" x14ac:dyDescent="0.25">
      <c r="O78" s="41"/>
    </row>
    <row r="79" spans="15:15" x14ac:dyDescent="0.25">
      <c r="O79" s="41"/>
    </row>
    <row r="80" spans="15:15" x14ac:dyDescent="0.25">
      <c r="O80" s="41"/>
    </row>
    <row r="81" spans="15:15" x14ac:dyDescent="0.25">
      <c r="O81" s="41"/>
    </row>
    <row r="82" spans="15:15" x14ac:dyDescent="0.25">
      <c r="O82" s="41"/>
    </row>
    <row r="83" spans="15:15" x14ac:dyDescent="0.25">
      <c r="O83" s="41"/>
    </row>
    <row r="84" spans="15:15" x14ac:dyDescent="0.25">
      <c r="O84" s="41"/>
    </row>
    <row r="85" spans="15:15" x14ac:dyDescent="0.25">
      <c r="O85" s="41"/>
    </row>
    <row r="86" spans="15:15" x14ac:dyDescent="0.25">
      <c r="O86" s="41"/>
    </row>
    <row r="87" spans="15:15" x14ac:dyDescent="0.25">
      <c r="O87" s="41"/>
    </row>
    <row r="88" spans="15:15" x14ac:dyDescent="0.25">
      <c r="O88" s="41"/>
    </row>
    <row r="89" spans="15:15" x14ac:dyDescent="0.25">
      <c r="O89" s="41"/>
    </row>
    <row r="90" spans="15:15" x14ac:dyDescent="0.25">
      <c r="O90" s="41"/>
    </row>
    <row r="91" spans="15:15" x14ac:dyDescent="0.25">
      <c r="O91" s="41"/>
    </row>
    <row r="92" spans="15:15" x14ac:dyDescent="0.25">
      <c r="O92" s="41"/>
    </row>
    <row r="93" spans="15:15" x14ac:dyDescent="0.25">
      <c r="O93" s="41"/>
    </row>
    <row r="94" spans="15:15" x14ac:dyDescent="0.25">
      <c r="O94" s="41"/>
    </row>
    <row r="95" spans="15:15" x14ac:dyDescent="0.25">
      <c r="O95" s="41"/>
    </row>
    <row r="96" spans="15:15" x14ac:dyDescent="0.25">
      <c r="O96" s="41"/>
    </row>
    <row r="97" spans="15:15" x14ac:dyDescent="0.25">
      <c r="O97" s="41"/>
    </row>
    <row r="98" spans="15:15" x14ac:dyDescent="0.25">
      <c r="O98" s="41"/>
    </row>
    <row r="99" spans="15:15" x14ac:dyDescent="0.25">
      <c r="O99" s="41"/>
    </row>
    <row r="100" spans="15:15" x14ac:dyDescent="0.25">
      <c r="O100" s="41"/>
    </row>
    <row r="101" spans="15:15" x14ac:dyDescent="0.25">
      <c r="O101" s="41"/>
    </row>
    <row r="102" spans="15:15" x14ac:dyDescent="0.25">
      <c r="O102" s="41"/>
    </row>
    <row r="103" spans="15:15" x14ac:dyDescent="0.25">
      <c r="O103" s="41"/>
    </row>
    <row r="104" spans="15:15" x14ac:dyDescent="0.25">
      <c r="O104" s="41"/>
    </row>
    <row r="105" spans="15:15" x14ac:dyDescent="0.25">
      <c r="O105" s="41"/>
    </row>
    <row r="106" spans="15:15" x14ac:dyDescent="0.25">
      <c r="O106" s="41"/>
    </row>
    <row r="107" spans="15:15" x14ac:dyDescent="0.25">
      <c r="O107" s="41"/>
    </row>
    <row r="108" spans="15:15" x14ac:dyDescent="0.25">
      <c r="O108" s="41"/>
    </row>
    <row r="109" spans="15:15" x14ac:dyDescent="0.25">
      <c r="O109" s="41"/>
    </row>
    <row r="110" spans="15:15" x14ac:dyDescent="0.25">
      <c r="O110" s="41"/>
    </row>
    <row r="111" spans="15:15" x14ac:dyDescent="0.25">
      <c r="O111" s="41"/>
    </row>
    <row r="112" spans="15:15" x14ac:dyDescent="0.25">
      <c r="O112" s="41"/>
    </row>
    <row r="113" spans="15:15" x14ac:dyDescent="0.25">
      <c r="O113" s="41"/>
    </row>
    <row r="114" spans="15:15" x14ac:dyDescent="0.25">
      <c r="O114" s="41"/>
    </row>
    <row r="115" spans="15:15" x14ac:dyDescent="0.25">
      <c r="O115" s="41"/>
    </row>
    <row r="116" spans="15:15" x14ac:dyDescent="0.25">
      <c r="O116" s="41"/>
    </row>
    <row r="117" spans="15:15" x14ac:dyDescent="0.25">
      <c r="O117" s="41"/>
    </row>
    <row r="118" spans="15:15" x14ac:dyDescent="0.25">
      <c r="O118" s="41"/>
    </row>
    <row r="119" spans="15:15" x14ac:dyDescent="0.25">
      <c r="O119" s="41"/>
    </row>
    <row r="120" spans="15:15" x14ac:dyDescent="0.25">
      <c r="O120" s="41"/>
    </row>
    <row r="121" spans="15:15" x14ac:dyDescent="0.25">
      <c r="O121" s="41"/>
    </row>
    <row r="122" spans="15:15" x14ac:dyDescent="0.25">
      <c r="O122" s="41"/>
    </row>
    <row r="123" spans="15:15" x14ac:dyDescent="0.25">
      <c r="O123" s="41"/>
    </row>
    <row r="124" spans="15:15" x14ac:dyDescent="0.25">
      <c r="O124" s="41"/>
    </row>
    <row r="125" spans="15:15" x14ac:dyDescent="0.25">
      <c r="O125" s="41"/>
    </row>
    <row r="126" spans="15:15" x14ac:dyDescent="0.25">
      <c r="O126" s="41"/>
    </row>
    <row r="127" spans="15:15" x14ac:dyDescent="0.25">
      <c r="O127" s="41"/>
    </row>
    <row r="128" spans="15:15" x14ac:dyDescent="0.25">
      <c r="O128" s="41"/>
    </row>
    <row r="129" spans="15:15" x14ac:dyDescent="0.25">
      <c r="O129" s="41"/>
    </row>
    <row r="130" spans="15:15" x14ac:dyDescent="0.25">
      <c r="O130" s="41"/>
    </row>
    <row r="131" spans="15:15" x14ac:dyDescent="0.25">
      <c r="O131" s="41"/>
    </row>
    <row r="132" spans="15:15" x14ac:dyDescent="0.25">
      <c r="O132" s="41"/>
    </row>
    <row r="133" spans="15:15" x14ac:dyDescent="0.25">
      <c r="O133" s="41"/>
    </row>
    <row r="134" spans="15:15" x14ac:dyDescent="0.25">
      <c r="O134" s="41"/>
    </row>
    <row r="135" spans="15:15" x14ac:dyDescent="0.25">
      <c r="O135" s="41"/>
    </row>
    <row r="136" spans="15:15" x14ac:dyDescent="0.25">
      <c r="O136" s="41"/>
    </row>
    <row r="137" spans="15:15" x14ac:dyDescent="0.25">
      <c r="O137" s="41"/>
    </row>
    <row r="138" spans="15:15" x14ac:dyDescent="0.25">
      <c r="O138" s="41"/>
    </row>
    <row r="139" spans="15:15" x14ac:dyDescent="0.25">
      <c r="O139" s="41"/>
    </row>
    <row r="140" spans="15:15" x14ac:dyDescent="0.25">
      <c r="O140" s="41"/>
    </row>
    <row r="141" spans="15:15" x14ac:dyDescent="0.25">
      <c r="O141" s="41"/>
    </row>
    <row r="142" spans="15:15" x14ac:dyDescent="0.25">
      <c r="O142" s="41"/>
    </row>
    <row r="143" spans="15:15" x14ac:dyDescent="0.25">
      <c r="O143" s="41"/>
    </row>
    <row r="144" spans="15:15" x14ac:dyDescent="0.25">
      <c r="O144" s="41"/>
    </row>
    <row r="145" spans="15:15" x14ac:dyDescent="0.25">
      <c r="O145" s="41"/>
    </row>
    <row r="146" spans="15:15" x14ac:dyDescent="0.25">
      <c r="O146" s="41"/>
    </row>
    <row r="147" spans="15:15" x14ac:dyDescent="0.25">
      <c r="O147" s="41"/>
    </row>
    <row r="148" spans="15:15" x14ac:dyDescent="0.25">
      <c r="O148" s="41"/>
    </row>
    <row r="149" spans="15:15" x14ac:dyDescent="0.25">
      <c r="O149" s="41"/>
    </row>
    <row r="150" spans="15:15" x14ac:dyDescent="0.25">
      <c r="O150" s="41"/>
    </row>
    <row r="151" spans="15:15" x14ac:dyDescent="0.25">
      <c r="O151" s="41"/>
    </row>
    <row r="152" spans="15:15" x14ac:dyDescent="0.25">
      <c r="O152" s="41"/>
    </row>
    <row r="153" spans="15:15" x14ac:dyDescent="0.25">
      <c r="O153" s="41"/>
    </row>
    <row r="154" spans="15:15" x14ac:dyDescent="0.25">
      <c r="O154" s="41"/>
    </row>
    <row r="155" spans="15:15" x14ac:dyDescent="0.25">
      <c r="O155" s="41"/>
    </row>
    <row r="156" spans="15:15" x14ac:dyDescent="0.25">
      <c r="O156" s="41"/>
    </row>
    <row r="157" spans="15:15" x14ac:dyDescent="0.25">
      <c r="O157" s="41"/>
    </row>
    <row r="158" spans="15:15" x14ac:dyDescent="0.25">
      <c r="O158" s="41"/>
    </row>
    <row r="159" spans="15:15" x14ac:dyDescent="0.25">
      <c r="O159" s="41"/>
    </row>
    <row r="160" spans="15:15" x14ac:dyDescent="0.25">
      <c r="O160" s="41"/>
    </row>
    <row r="161" spans="15:15" x14ac:dyDescent="0.25">
      <c r="O161" s="41"/>
    </row>
    <row r="162" spans="15:15" x14ac:dyDescent="0.25">
      <c r="O162" s="41"/>
    </row>
    <row r="163" spans="15:15" x14ac:dyDescent="0.25">
      <c r="O163" s="41"/>
    </row>
    <row r="164" spans="15:15" x14ac:dyDescent="0.25">
      <c r="O164" s="41"/>
    </row>
    <row r="165" spans="15:15" x14ac:dyDescent="0.25">
      <c r="O165" s="41"/>
    </row>
    <row r="166" spans="15:15" x14ac:dyDescent="0.25">
      <c r="O166" s="41"/>
    </row>
    <row r="167" spans="15:15" x14ac:dyDescent="0.25">
      <c r="O167" s="41"/>
    </row>
    <row r="168" spans="15:15" x14ac:dyDescent="0.25">
      <c r="O168" s="41"/>
    </row>
    <row r="169" spans="15:15" x14ac:dyDescent="0.25">
      <c r="O169" s="41"/>
    </row>
    <row r="170" spans="15:15" x14ac:dyDescent="0.25">
      <c r="O170" s="41"/>
    </row>
    <row r="171" spans="15:15" x14ac:dyDescent="0.25">
      <c r="O171" s="41"/>
    </row>
    <row r="172" spans="15:15" x14ac:dyDescent="0.25">
      <c r="O172" s="41"/>
    </row>
    <row r="173" spans="15:15" x14ac:dyDescent="0.25">
      <c r="O173" s="41"/>
    </row>
    <row r="174" spans="15:15" x14ac:dyDescent="0.25">
      <c r="O174" s="41"/>
    </row>
    <row r="175" spans="15:15" x14ac:dyDescent="0.25">
      <c r="O175" s="41"/>
    </row>
    <row r="176" spans="15:15" x14ac:dyDescent="0.25">
      <c r="O176" s="41"/>
    </row>
    <row r="177" spans="15:15" x14ac:dyDescent="0.25">
      <c r="O177" s="41"/>
    </row>
    <row r="178" spans="15:15" x14ac:dyDescent="0.25">
      <c r="O178" s="41"/>
    </row>
    <row r="179" spans="15:15" x14ac:dyDescent="0.25">
      <c r="O179" s="41"/>
    </row>
    <row r="180" spans="15:15" x14ac:dyDescent="0.25">
      <c r="O180" s="41"/>
    </row>
    <row r="181" spans="15:15" x14ac:dyDescent="0.25">
      <c r="O181" s="41"/>
    </row>
    <row r="182" spans="15:15" x14ac:dyDescent="0.25">
      <c r="O182" s="41"/>
    </row>
    <row r="183" spans="15:15" x14ac:dyDescent="0.25">
      <c r="O183" s="41"/>
    </row>
    <row r="184" spans="15:15" x14ac:dyDescent="0.25">
      <c r="O184" s="41"/>
    </row>
    <row r="185" spans="15:15" x14ac:dyDescent="0.25">
      <c r="O185" s="41"/>
    </row>
    <row r="186" spans="15:15" x14ac:dyDescent="0.25">
      <c r="O186" s="41"/>
    </row>
    <row r="187" spans="15:15" x14ac:dyDescent="0.25">
      <c r="O187" s="41"/>
    </row>
    <row r="188" spans="15:15" x14ac:dyDescent="0.25">
      <c r="O188" s="41"/>
    </row>
    <row r="189" spans="15:15" x14ac:dyDescent="0.25">
      <c r="O189" s="41"/>
    </row>
    <row r="190" spans="15:15" x14ac:dyDescent="0.25">
      <c r="O190" s="41"/>
    </row>
    <row r="191" spans="15:15" x14ac:dyDescent="0.25">
      <c r="O191" s="41"/>
    </row>
    <row r="192" spans="15:15" x14ac:dyDescent="0.25">
      <c r="O192" s="41"/>
    </row>
    <row r="193" spans="15:15" x14ac:dyDescent="0.25">
      <c r="O193" s="41"/>
    </row>
    <row r="194" spans="15:15" x14ac:dyDescent="0.25">
      <c r="O194" s="41"/>
    </row>
    <row r="195" spans="15:15" x14ac:dyDescent="0.25">
      <c r="O195" s="41"/>
    </row>
    <row r="196" spans="15:15" x14ac:dyDescent="0.25">
      <c r="O196" s="41"/>
    </row>
    <row r="197" spans="15:15" x14ac:dyDescent="0.25">
      <c r="O197" s="41"/>
    </row>
    <row r="198" spans="15:15" x14ac:dyDescent="0.25">
      <c r="O198" s="41"/>
    </row>
    <row r="199" spans="15:15" x14ac:dyDescent="0.25">
      <c r="O199" s="41"/>
    </row>
    <row r="200" spans="15:15" x14ac:dyDescent="0.25">
      <c r="O200" s="41"/>
    </row>
    <row r="201" spans="15:15" x14ac:dyDescent="0.25">
      <c r="O201" s="41"/>
    </row>
    <row r="202" spans="15:15" x14ac:dyDescent="0.25">
      <c r="O202" s="41"/>
    </row>
    <row r="203" spans="15:15" x14ac:dyDescent="0.25">
      <c r="O203" s="41"/>
    </row>
    <row r="204" spans="15:15" x14ac:dyDescent="0.25">
      <c r="O204" s="41"/>
    </row>
    <row r="205" spans="15:15" x14ac:dyDescent="0.25">
      <c r="O205" s="41"/>
    </row>
    <row r="206" spans="15:15" x14ac:dyDescent="0.25">
      <c r="O206" s="41"/>
    </row>
    <row r="207" spans="15:15" x14ac:dyDescent="0.25">
      <c r="O207" s="41"/>
    </row>
    <row r="208" spans="15:15" x14ac:dyDescent="0.25">
      <c r="O208" s="41"/>
    </row>
    <row r="209" spans="15:15" x14ac:dyDescent="0.25">
      <c r="O209" s="41"/>
    </row>
    <row r="210" spans="15:15" x14ac:dyDescent="0.25">
      <c r="O210" s="41"/>
    </row>
    <row r="211" spans="15:15" x14ac:dyDescent="0.25">
      <c r="O211" s="41"/>
    </row>
    <row r="212" spans="15:15" x14ac:dyDescent="0.25">
      <c r="O212" s="41"/>
    </row>
    <row r="213" spans="15:15" x14ac:dyDescent="0.25">
      <c r="O213" s="41"/>
    </row>
    <row r="214" spans="15:15" x14ac:dyDescent="0.25">
      <c r="O214" s="41"/>
    </row>
    <row r="215" spans="15:15" x14ac:dyDescent="0.25">
      <c r="O215" s="41"/>
    </row>
    <row r="216" spans="15:15" x14ac:dyDescent="0.25">
      <c r="O216" s="41"/>
    </row>
    <row r="217" spans="15:15" x14ac:dyDescent="0.25">
      <c r="O217" s="41"/>
    </row>
    <row r="218" spans="15:15" x14ac:dyDescent="0.25">
      <c r="O218" s="41"/>
    </row>
    <row r="219" spans="15:15" x14ac:dyDescent="0.25">
      <c r="O219" s="41"/>
    </row>
    <row r="220" spans="15:15" x14ac:dyDescent="0.25">
      <c r="O220" s="41"/>
    </row>
    <row r="221" spans="15:15" x14ac:dyDescent="0.25">
      <c r="O221" s="41"/>
    </row>
    <row r="222" spans="15:15" x14ac:dyDescent="0.25">
      <c r="O222" s="41"/>
    </row>
    <row r="223" spans="15:15" x14ac:dyDescent="0.25">
      <c r="O223" s="41"/>
    </row>
    <row r="224" spans="15:15" x14ac:dyDescent="0.25">
      <c r="O224" s="41"/>
    </row>
    <row r="225" spans="15:15" x14ac:dyDescent="0.25">
      <c r="O225" s="41"/>
    </row>
    <row r="226" spans="15:15" x14ac:dyDescent="0.25">
      <c r="O226" s="41"/>
    </row>
    <row r="227" spans="15:15" x14ac:dyDescent="0.25">
      <c r="O227" s="41"/>
    </row>
    <row r="228" spans="15:15" x14ac:dyDescent="0.25">
      <c r="O228" s="41"/>
    </row>
    <row r="229" spans="15:15" x14ac:dyDescent="0.25">
      <c r="O229" s="41"/>
    </row>
    <row r="230" spans="15:15" x14ac:dyDescent="0.25">
      <c r="O230" s="41"/>
    </row>
    <row r="231" spans="15:15" x14ac:dyDescent="0.25">
      <c r="O231" s="41"/>
    </row>
    <row r="232" spans="15:15" x14ac:dyDescent="0.25">
      <c r="O232" s="41"/>
    </row>
    <row r="233" spans="15:15" x14ac:dyDescent="0.25">
      <c r="O233" s="41"/>
    </row>
    <row r="234" spans="15:15" x14ac:dyDescent="0.25">
      <c r="O234" s="41"/>
    </row>
    <row r="235" spans="15:15" x14ac:dyDescent="0.25">
      <c r="O235" s="41"/>
    </row>
    <row r="236" spans="15:15" x14ac:dyDescent="0.25">
      <c r="O236" s="41"/>
    </row>
    <row r="237" spans="15:15" x14ac:dyDescent="0.25">
      <c r="O237" s="41"/>
    </row>
    <row r="238" spans="15:15" x14ac:dyDescent="0.25">
      <c r="O238" s="41"/>
    </row>
    <row r="239" spans="15:15" x14ac:dyDescent="0.25">
      <c r="O239" s="41"/>
    </row>
    <row r="240" spans="15:15" x14ac:dyDescent="0.25">
      <c r="O240" s="41"/>
    </row>
    <row r="241" spans="15:15" x14ac:dyDescent="0.25">
      <c r="O241" s="41"/>
    </row>
    <row r="242" spans="15:15" x14ac:dyDescent="0.25">
      <c r="O242" s="41"/>
    </row>
    <row r="243" spans="15:15" x14ac:dyDescent="0.25">
      <c r="O243" s="41"/>
    </row>
    <row r="244" spans="15:15" x14ac:dyDescent="0.25">
      <c r="O244" s="41"/>
    </row>
    <row r="245" spans="15:15" x14ac:dyDescent="0.25">
      <c r="O245" s="41"/>
    </row>
    <row r="246" spans="15:15" x14ac:dyDescent="0.25">
      <c r="O246" s="41"/>
    </row>
    <row r="247" spans="15:15" x14ac:dyDescent="0.25">
      <c r="O247" s="41"/>
    </row>
    <row r="248" spans="15:15" x14ac:dyDescent="0.25">
      <c r="O248" s="41"/>
    </row>
    <row r="249" spans="15:15" x14ac:dyDescent="0.25">
      <c r="O249" s="41"/>
    </row>
    <row r="250" spans="15:15" x14ac:dyDescent="0.25">
      <c r="O250" s="41"/>
    </row>
    <row r="251" spans="15:15" x14ac:dyDescent="0.25">
      <c r="O251" s="41"/>
    </row>
    <row r="252" spans="15:15" x14ac:dyDescent="0.25">
      <c r="O252" s="41"/>
    </row>
    <row r="253" spans="15:15" x14ac:dyDescent="0.25">
      <c r="O253" s="41"/>
    </row>
    <row r="254" spans="15:15" x14ac:dyDescent="0.25">
      <c r="O254" s="41"/>
    </row>
    <row r="255" spans="15:15" x14ac:dyDescent="0.25">
      <c r="O255" s="41"/>
    </row>
    <row r="256" spans="15:15" x14ac:dyDescent="0.25">
      <c r="O256" s="41"/>
    </row>
    <row r="257" spans="15:15" x14ac:dyDescent="0.25">
      <c r="O257" s="41"/>
    </row>
    <row r="258" spans="15:15" x14ac:dyDescent="0.25">
      <c r="O258" s="41"/>
    </row>
    <row r="259" spans="15:15" x14ac:dyDescent="0.25">
      <c r="O259" s="41"/>
    </row>
    <row r="260" spans="15:15" x14ac:dyDescent="0.25">
      <c r="O260" s="41"/>
    </row>
    <row r="261" spans="15:15" x14ac:dyDescent="0.25">
      <c r="O261" s="41"/>
    </row>
    <row r="262" spans="15:15" x14ac:dyDescent="0.25">
      <c r="O262" s="41"/>
    </row>
    <row r="263" spans="15:15" x14ac:dyDescent="0.25">
      <c r="O263" s="41"/>
    </row>
    <row r="264" spans="15:15" x14ac:dyDescent="0.25">
      <c r="O264" s="41"/>
    </row>
    <row r="265" spans="15:15" x14ac:dyDescent="0.25">
      <c r="O265" s="41"/>
    </row>
    <row r="266" spans="15:15" x14ac:dyDescent="0.25">
      <c r="O266" s="41"/>
    </row>
    <row r="267" spans="15:15" x14ac:dyDescent="0.25">
      <c r="O267" s="41"/>
    </row>
    <row r="268" spans="15:15" x14ac:dyDescent="0.25">
      <c r="O268" s="41"/>
    </row>
    <row r="269" spans="15:15" x14ac:dyDescent="0.25">
      <c r="O269" s="41"/>
    </row>
    <row r="270" spans="15:15" x14ac:dyDescent="0.25">
      <c r="O270" s="41"/>
    </row>
    <row r="271" spans="15:15" x14ac:dyDescent="0.25">
      <c r="O271" s="41"/>
    </row>
    <row r="272" spans="15:15" x14ac:dyDescent="0.25">
      <c r="O272" s="41"/>
    </row>
    <row r="273" spans="15:15" x14ac:dyDescent="0.25">
      <c r="O273" s="41"/>
    </row>
    <row r="274" spans="15:15" x14ac:dyDescent="0.25">
      <c r="O274" s="41"/>
    </row>
    <row r="275" spans="15:15" x14ac:dyDescent="0.25">
      <c r="O275" s="41"/>
    </row>
    <row r="276" spans="15:15" x14ac:dyDescent="0.25">
      <c r="O276" s="41"/>
    </row>
    <row r="277" spans="15:15" x14ac:dyDescent="0.25">
      <c r="O277" s="41"/>
    </row>
    <row r="278" spans="15:15" x14ac:dyDescent="0.25">
      <c r="O278" s="41"/>
    </row>
    <row r="279" spans="15:15" x14ac:dyDescent="0.25">
      <c r="O279" s="41"/>
    </row>
    <row r="280" spans="15:15" x14ac:dyDescent="0.25">
      <c r="O280" s="41"/>
    </row>
    <row r="281" spans="15:15" x14ac:dyDescent="0.25">
      <c r="O281" s="41"/>
    </row>
    <row r="282" spans="15:15" x14ac:dyDescent="0.25">
      <c r="O282" s="41"/>
    </row>
    <row r="283" spans="15:15" x14ac:dyDescent="0.25">
      <c r="O283" s="41"/>
    </row>
    <row r="284" spans="15:15" x14ac:dyDescent="0.25">
      <c r="O284" s="41"/>
    </row>
    <row r="285" spans="15:15" x14ac:dyDescent="0.25">
      <c r="O285" s="41"/>
    </row>
    <row r="286" spans="15:15" x14ac:dyDescent="0.25">
      <c r="O286" s="41"/>
    </row>
    <row r="287" spans="15:15" x14ac:dyDescent="0.25">
      <c r="O287" s="41"/>
    </row>
    <row r="288" spans="15:15" x14ac:dyDescent="0.25">
      <c r="O288" s="41"/>
    </row>
    <row r="289" spans="15:15" x14ac:dyDescent="0.25">
      <c r="O289" s="41"/>
    </row>
    <row r="290" spans="15:15" x14ac:dyDescent="0.25">
      <c r="O290" s="41"/>
    </row>
    <row r="291" spans="15:15" x14ac:dyDescent="0.25">
      <c r="O291" s="41"/>
    </row>
    <row r="292" spans="15:15" x14ac:dyDescent="0.25">
      <c r="O292" s="41"/>
    </row>
    <row r="293" spans="15:15" x14ac:dyDescent="0.25">
      <c r="O293" s="41"/>
    </row>
    <row r="294" spans="15:15" x14ac:dyDescent="0.25">
      <c r="O294" s="41"/>
    </row>
    <row r="295" spans="15:15" x14ac:dyDescent="0.25">
      <c r="O295" s="41"/>
    </row>
    <row r="296" spans="15:15" x14ac:dyDescent="0.25">
      <c r="O296" s="41"/>
    </row>
    <row r="297" spans="15:15" x14ac:dyDescent="0.25">
      <c r="O297" s="41"/>
    </row>
    <row r="298" spans="15:15" x14ac:dyDescent="0.25">
      <c r="O298" s="41"/>
    </row>
    <row r="299" spans="15:15" x14ac:dyDescent="0.25">
      <c r="O299" s="41"/>
    </row>
    <row r="300" spans="15:15" x14ac:dyDescent="0.25">
      <c r="O300" s="41"/>
    </row>
    <row r="301" spans="15:15" x14ac:dyDescent="0.25">
      <c r="O301" s="41"/>
    </row>
    <row r="302" spans="15:15" x14ac:dyDescent="0.25">
      <c r="O302" s="41"/>
    </row>
    <row r="303" spans="15:15" x14ac:dyDescent="0.25">
      <c r="O303" s="41"/>
    </row>
    <row r="304" spans="15:15" x14ac:dyDescent="0.25">
      <c r="O304" s="41"/>
    </row>
    <row r="305" spans="15:15" x14ac:dyDescent="0.25">
      <c r="O305" s="41"/>
    </row>
    <row r="306" spans="15:15" x14ac:dyDescent="0.25">
      <c r="O306" s="41"/>
    </row>
    <row r="307" spans="15:15" x14ac:dyDescent="0.25">
      <c r="O307" s="41"/>
    </row>
    <row r="308" spans="15:15" x14ac:dyDescent="0.25">
      <c r="O308" s="41"/>
    </row>
    <row r="309" spans="15:15" x14ac:dyDescent="0.25">
      <c r="O309" s="41"/>
    </row>
    <row r="310" spans="15:15" x14ac:dyDescent="0.25">
      <c r="O310" s="41"/>
    </row>
    <row r="311" spans="15:15" x14ac:dyDescent="0.25">
      <c r="O311" s="41"/>
    </row>
    <row r="312" spans="15:15" x14ac:dyDescent="0.25">
      <c r="O312" s="41"/>
    </row>
    <row r="313" spans="15:15" x14ac:dyDescent="0.25">
      <c r="O313" s="41"/>
    </row>
    <row r="314" spans="15:15" x14ac:dyDescent="0.25">
      <c r="O314" s="41"/>
    </row>
    <row r="315" spans="15:15" x14ac:dyDescent="0.25">
      <c r="O315" s="41"/>
    </row>
    <row r="316" spans="15:15" x14ac:dyDescent="0.25">
      <c r="O316" s="41"/>
    </row>
    <row r="317" spans="15:15" x14ac:dyDescent="0.25">
      <c r="O317" s="41"/>
    </row>
    <row r="318" spans="15:15" x14ac:dyDescent="0.25">
      <c r="O318" s="41"/>
    </row>
    <row r="319" spans="15:15" x14ac:dyDescent="0.25">
      <c r="O319" s="41"/>
    </row>
    <row r="320" spans="15:15" x14ac:dyDescent="0.25">
      <c r="O320" s="41"/>
    </row>
    <row r="321" spans="15:15" x14ac:dyDescent="0.25">
      <c r="O321" s="41"/>
    </row>
    <row r="322" spans="15:15" x14ac:dyDescent="0.25">
      <c r="O322" s="41"/>
    </row>
    <row r="323" spans="15:15" x14ac:dyDescent="0.25">
      <c r="O323" s="41"/>
    </row>
    <row r="324" spans="15:15" x14ac:dyDescent="0.25">
      <c r="O324" s="41"/>
    </row>
    <row r="325" spans="15:15" x14ac:dyDescent="0.25">
      <c r="O325" s="41"/>
    </row>
    <row r="326" spans="15:15" x14ac:dyDescent="0.25">
      <c r="O326" s="41"/>
    </row>
    <row r="327" spans="15:15" x14ac:dyDescent="0.25">
      <c r="O327" s="41"/>
    </row>
    <row r="328" spans="15:15" x14ac:dyDescent="0.25">
      <c r="O328" s="41"/>
    </row>
    <row r="329" spans="15:15" x14ac:dyDescent="0.25">
      <c r="O329" s="41"/>
    </row>
    <row r="330" spans="15:15" x14ac:dyDescent="0.25">
      <c r="O330" s="41"/>
    </row>
    <row r="331" spans="15:15" x14ac:dyDescent="0.25">
      <c r="O331" s="41"/>
    </row>
    <row r="332" spans="15:15" x14ac:dyDescent="0.25">
      <c r="O332" s="41"/>
    </row>
    <row r="333" spans="15:15" x14ac:dyDescent="0.25">
      <c r="O333" s="41"/>
    </row>
    <row r="334" spans="15:15" x14ac:dyDescent="0.25">
      <c r="O334" s="41"/>
    </row>
    <row r="335" spans="15:15" x14ac:dyDescent="0.25">
      <c r="O335" s="41"/>
    </row>
    <row r="336" spans="15:15" x14ac:dyDescent="0.25">
      <c r="O336" s="41"/>
    </row>
    <row r="337" spans="15:15" x14ac:dyDescent="0.25">
      <c r="O337" s="41"/>
    </row>
    <row r="338" spans="15:15" x14ac:dyDescent="0.25">
      <c r="O338" s="41"/>
    </row>
    <row r="339" spans="15:15" x14ac:dyDescent="0.25">
      <c r="O339" s="41"/>
    </row>
    <row r="340" spans="15:15" x14ac:dyDescent="0.25">
      <c r="O340" s="41"/>
    </row>
    <row r="341" spans="15:15" x14ac:dyDescent="0.25">
      <c r="O341" s="41"/>
    </row>
    <row r="342" spans="15:15" x14ac:dyDescent="0.25">
      <c r="O342" s="41"/>
    </row>
    <row r="343" spans="15:15" x14ac:dyDescent="0.25">
      <c r="O343" s="41"/>
    </row>
    <row r="344" spans="15:15" x14ac:dyDescent="0.25">
      <c r="O344" s="41"/>
    </row>
    <row r="345" spans="15:15" x14ac:dyDescent="0.25">
      <c r="O345" s="41"/>
    </row>
    <row r="346" spans="15:15" x14ac:dyDescent="0.25">
      <c r="O346" s="41"/>
    </row>
    <row r="347" spans="15:15" x14ac:dyDescent="0.25">
      <c r="O347" s="41"/>
    </row>
    <row r="348" spans="15:15" x14ac:dyDescent="0.25">
      <c r="O348" s="41"/>
    </row>
    <row r="349" spans="15:15" x14ac:dyDescent="0.25">
      <c r="O349" s="41"/>
    </row>
    <row r="350" spans="15:15" x14ac:dyDescent="0.25">
      <c r="O350" s="41"/>
    </row>
    <row r="351" spans="15:15" x14ac:dyDescent="0.25">
      <c r="O351" s="41"/>
    </row>
    <row r="352" spans="15:15" x14ac:dyDescent="0.25">
      <c r="O352" s="41"/>
    </row>
    <row r="353" spans="15:15" x14ac:dyDescent="0.25">
      <c r="O353" s="41"/>
    </row>
    <row r="354" spans="15:15" x14ac:dyDescent="0.25">
      <c r="O354" s="41"/>
    </row>
    <row r="355" spans="15:15" x14ac:dyDescent="0.25">
      <c r="O355" s="41"/>
    </row>
    <row r="356" spans="15:15" x14ac:dyDescent="0.25">
      <c r="O356" s="41"/>
    </row>
    <row r="357" spans="15:15" x14ac:dyDescent="0.25">
      <c r="O357" s="41"/>
    </row>
    <row r="358" spans="15:15" x14ac:dyDescent="0.25">
      <c r="O358" s="41"/>
    </row>
    <row r="359" spans="15:15" x14ac:dyDescent="0.25">
      <c r="O359" s="41"/>
    </row>
    <row r="360" spans="15:15" x14ac:dyDescent="0.25">
      <c r="O360" s="41"/>
    </row>
    <row r="361" spans="15:15" x14ac:dyDescent="0.25">
      <c r="O361" s="41"/>
    </row>
    <row r="362" spans="15:15" x14ac:dyDescent="0.25">
      <c r="O362" s="41"/>
    </row>
    <row r="363" spans="15:15" x14ac:dyDescent="0.25">
      <c r="O363" s="41"/>
    </row>
    <row r="364" spans="15:15" x14ac:dyDescent="0.25">
      <c r="O364" s="41"/>
    </row>
    <row r="365" spans="15:15" x14ac:dyDescent="0.25">
      <c r="O365" s="41"/>
    </row>
    <row r="366" spans="15:15" x14ac:dyDescent="0.25">
      <c r="O366" s="41"/>
    </row>
    <row r="367" spans="15:15" x14ac:dyDescent="0.25">
      <c r="O367" s="41"/>
    </row>
    <row r="368" spans="15:15" x14ac:dyDescent="0.25">
      <c r="O368" s="41"/>
    </row>
    <row r="369" spans="15:15" x14ac:dyDescent="0.25">
      <c r="O369" s="41"/>
    </row>
    <row r="370" spans="15:15" x14ac:dyDescent="0.25">
      <c r="O370" s="41"/>
    </row>
    <row r="371" spans="15:15" x14ac:dyDescent="0.25">
      <c r="O371" s="41"/>
    </row>
    <row r="372" spans="15:15" x14ac:dyDescent="0.25">
      <c r="O372" s="41"/>
    </row>
    <row r="373" spans="15:15" x14ac:dyDescent="0.25">
      <c r="O373" s="41"/>
    </row>
    <row r="374" spans="15:15" x14ac:dyDescent="0.25">
      <c r="O374" s="41"/>
    </row>
    <row r="375" spans="15:15" x14ac:dyDescent="0.25">
      <c r="O375" s="41"/>
    </row>
    <row r="376" spans="15:15" x14ac:dyDescent="0.25">
      <c r="O376" s="41"/>
    </row>
    <row r="377" spans="15:15" x14ac:dyDescent="0.25">
      <c r="O377" s="41"/>
    </row>
    <row r="378" spans="15:15" x14ac:dyDescent="0.25">
      <c r="O378" s="41"/>
    </row>
    <row r="379" spans="15:15" x14ac:dyDescent="0.25">
      <c r="O379" s="41"/>
    </row>
    <row r="380" spans="15:15" x14ac:dyDescent="0.25">
      <c r="O380" s="41"/>
    </row>
    <row r="381" spans="15:15" x14ac:dyDescent="0.25">
      <c r="O381" s="41"/>
    </row>
    <row r="382" spans="15:15" x14ac:dyDescent="0.25">
      <c r="O382" s="41"/>
    </row>
    <row r="383" spans="15:15" x14ac:dyDescent="0.25">
      <c r="O383" s="41"/>
    </row>
    <row r="384" spans="15:15" x14ac:dyDescent="0.25">
      <c r="O384" s="41"/>
    </row>
    <row r="385" spans="15:15" x14ac:dyDescent="0.25">
      <c r="O385" s="41"/>
    </row>
    <row r="386" spans="15:15" x14ac:dyDescent="0.25">
      <c r="O386" s="41"/>
    </row>
    <row r="387" spans="15:15" x14ac:dyDescent="0.25">
      <c r="O387" s="41"/>
    </row>
    <row r="388" spans="15:15" x14ac:dyDescent="0.25">
      <c r="O388" s="41"/>
    </row>
    <row r="389" spans="15:15" x14ac:dyDescent="0.25">
      <c r="O389" s="41"/>
    </row>
    <row r="390" spans="15:15" x14ac:dyDescent="0.25">
      <c r="O390" s="41"/>
    </row>
    <row r="391" spans="15:15" x14ac:dyDescent="0.25">
      <c r="O391" s="41"/>
    </row>
    <row r="392" spans="15:15" x14ac:dyDescent="0.25">
      <c r="O392" s="41"/>
    </row>
    <row r="393" spans="15:15" x14ac:dyDescent="0.25">
      <c r="O393" s="41"/>
    </row>
    <row r="394" spans="15:15" x14ac:dyDescent="0.25">
      <c r="O394" s="41"/>
    </row>
    <row r="395" spans="15:15" x14ac:dyDescent="0.25">
      <c r="O395" s="41"/>
    </row>
    <row r="396" spans="15:15" x14ac:dyDescent="0.25">
      <c r="O396" s="41"/>
    </row>
    <row r="397" spans="15:15" x14ac:dyDescent="0.25">
      <c r="O397" s="41"/>
    </row>
  </sheetData>
  <mergeCells count="2">
    <mergeCell ref="D13:D14"/>
    <mergeCell ref="C13:C14"/>
  </mergeCells>
  <conditionalFormatting sqref="W3:Y1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customProperties>
    <customPr name="REFI_OFFICE_FUNCTION_DATA" r:id="rId2"/>
  </customProperties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1AA5C63-F425-4388-BB59-F08659FB35D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USD!F3:U3</xm:f>
              <xm:sqref>V3</xm:sqref>
            </x14:sparkline>
            <x14:sparkline>
              <xm:f>USD!F4:U4</xm:f>
              <xm:sqref>V4</xm:sqref>
            </x14:sparkline>
            <x14:sparkline>
              <xm:f>USD!F5:U5</xm:f>
              <xm:sqref>V5</xm:sqref>
            </x14:sparkline>
            <x14:sparkline>
              <xm:f>USD!F6:U6</xm:f>
              <xm:sqref>V6</xm:sqref>
            </x14:sparkline>
            <x14:sparkline>
              <xm:f>USD!F7:U7</xm:f>
              <xm:sqref>V7</xm:sqref>
            </x14:sparkline>
            <x14:sparkline>
              <xm:f>USD!F8:U8</xm:f>
              <xm:sqref>V8</xm:sqref>
            </x14:sparkline>
            <x14:sparkline>
              <xm:f>USD!F9:U9</xm:f>
              <xm:sqref>V9</xm:sqref>
            </x14:sparkline>
            <x14:sparkline>
              <xm:f>USD!F10:U10</xm:f>
              <xm:sqref>V10</xm:sqref>
            </x14:sparkline>
            <x14:sparkline>
              <xm:f>USD!F11:U11</xm:f>
              <xm:sqref>V11</xm:sqref>
            </x14:sparkline>
            <x14:sparkline>
              <xm:f>USD!F12:U12</xm:f>
              <xm:sqref>V12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A4E31-74C0-43F5-89BD-C0B7893F0348}">
  <sheetPr codeName="Feuil4"/>
  <dimension ref="B1:X397"/>
  <sheetViews>
    <sheetView topLeftCell="A3" zoomScale="84" workbookViewId="0">
      <selection activeCell="L14" sqref="L14"/>
    </sheetView>
  </sheetViews>
  <sheetFormatPr defaultColWidth="10.85546875" defaultRowHeight="15" x14ac:dyDescent="0.25"/>
  <cols>
    <col min="1" max="1" width="5.140625" style="18" customWidth="1"/>
    <col min="2" max="2" width="19.7109375" style="11" bestFit="1" customWidth="1"/>
    <col min="3" max="3" width="37.28515625" style="18" bestFit="1" customWidth="1"/>
    <col min="4" max="4" width="8.7109375" style="18" bestFit="1" customWidth="1"/>
    <col min="5" max="5" width="11.140625" style="18" bestFit="1" customWidth="1"/>
    <col min="6" max="14" width="11" style="18" bestFit="1" customWidth="1"/>
    <col min="15" max="20" width="10" style="18" bestFit="1" customWidth="1"/>
    <col min="21" max="21" width="9.85546875" style="18" bestFit="1" customWidth="1"/>
    <col min="22" max="22" width="12.28515625" style="18" customWidth="1"/>
    <col min="23" max="23" width="11.5703125" style="18" customWidth="1"/>
    <col min="24" max="24" width="13.7109375" style="18" customWidth="1"/>
    <col min="25" max="16384" width="10.85546875" style="18"/>
  </cols>
  <sheetData>
    <row r="1" spans="2:24" ht="15.75" thickBot="1" x14ac:dyDescent="0.3"/>
    <row r="2" spans="2:24" ht="29.1" customHeight="1" thickBot="1" x14ac:dyDescent="0.3">
      <c r="B2" s="47" t="s">
        <v>108</v>
      </c>
      <c r="C2" s="66" t="str">
        <f>_xll.DSGRID("EUIRPR1, EUIRPR2, EUIRPR3, EUIRPR4, EUIRPR5, EUIRPR6, EUIRPR7, EUIRPR8, EUIRPR9, EUIRP10","X","-15D","TIMEADJ","D","CustomHeader=true;CustHeaderDatatypes=GEOGN;RowHeader=true;ColHeader=true;Transpose=true;Code=true;DispSeriesDescription=true;YearlyTSFormat=false;QuarterlyTSFormat=false;MonthlyTSFormat=false;AutoResize=true")</f>
        <v>Name</v>
      </c>
      <c r="D2" s="29" t="s">
        <v>57</v>
      </c>
      <c r="E2" s="78" t="s">
        <v>58</v>
      </c>
      <c r="F2" s="30">
        <v>45586</v>
      </c>
      <c r="G2" s="30">
        <v>45587</v>
      </c>
      <c r="H2" s="30">
        <v>45588</v>
      </c>
      <c r="I2" s="30">
        <v>45589</v>
      </c>
      <c r="J2" s="30">
        <v>45590</v>
      </c>
      <c r="K2" s="30">
        <v>45593</v>
      </c>
      <c r="L2" s="30">
        <v>45594</v>
      </c>
      <c r="M2" s="30">
        <v>45595</v>
      </c>
      <c r="N2" s="30">
        <v>45596</v>
      </c>
      <c r="O2" s="30">
        <v>45597</v>
      </c>
      <c r="P2" s="30">
        <v>45600</v>
      </c>
      <c r="Q2" s="30">
        <v>45601</v>
      </c>
      <c r="R2" s="30">
        <v>45602</v>
      </c>
      <c r="S2" s="30">
        <v>45603</v>
      </c>
      <c r="T2" s="30">
        <v>45604</v>
      </c>
      <c r="U2" s="31" t="s">
        <v>109</v>
      </c>
      <c r="V2" s="7" t="s">
        <v>95</v>
      </c>
      <c r="W2" s="8" t="s">
        <v>96</v>
      </c>
      <c r="X2" s="9" t="s">
        <v>97</v>
      </c>
    </row>
    <row r="3" spans="2:24" ht="36.950000000000003" customHeight="1" x14ac:dyDescent="0.25">
      <c r="B3" s="51" t="s">
        <v>110</v>
      </c>
      <c r="C3" s="59" t="s">
        <v>59</v>
      </c>
      <c r="D3" s="32" t="s">
        <v>2</v>
      </c>
      <c r="E3" s="32" t="s">
        <v>60</v>
      </c>
      <c r="F3" s="33">
        <v>2.8525</v>
      </c>
      <c r="G3" s="33">
        <v>2.8073999999999999</v>
      </c>
      <c r="H3" s="33">
        <v>2.8279999999999998</v>
      </c>
      <c r="I3" s="33">
        <v>2.8159999999999998</v>
      </c>
      <c r="J3" s="33">
        <v>2.8216000000000001</v>
      </c>
      <c r="K3" s="33">
        <v>2.8207</v>
      </c>
      <c r="L3" s="33">
        <v>2.8321999999999998</v>
      </c>
      <c r="M3" s="33">
        <v>2.8881000000000001</v>
      </c>
      <c r="N3" s="33">
        <v>2.8887</v>
      </c>
      <c r="O3" s="33">
        <v>2.8932000000000002</v>
      </c>
      <c r="P3" s="33">
        <v>2.9009</v>
      </c>
      <c r="Q3" s="33">
        <v>2.8934000000000002</v>
      </c>
      <c r="R3" s="33">
        <v>2.8691</v>
      </c>
      <c r="S3" s="33">
        <v>2.8784000000000001</v>
      </c>
      <c r="T3" s="33">
        <v>2.8628</v>
      </c>
      <c r="U3" s="34"/>
      <c r="V3" s="24">
        <f>(T3-S3)/S3</f>
        <v>-5.4196775986659453E-3</v>
      </c>
      <c r="W3" s="22">
        <f>(T3-M3)/M3</f>
        <v>-8.7600844846092932E-3</v>
      </c>
      <c r="X3" s="23">
        <f>(T3-F3)/F3</f>
        <v>3.610867659947406E-3</v>
      </c>
    </row>
    <row r="4" spans="2:24" ht="36.950000000000003" customHeight="1" x14ac:dyDescent="0.25">
      <c r="B4" s="52" t="s">
        <v>111</v>
      </c>
      <c r="C4" s="55" t="s">
        <v>124</v>
      </c>
      <c r="D4" s="35" t="s">
        <v>10</v>
      </c>
      <c r="E4" s="35" t="s">
        <v>60</v>
      </c>
      <c r="F4" s="36">
        <v>2.6158999999999999</v>
      </c>
      <c r="G4" s="36">
        <v>2.5377000000000001</v>
      </c>
      <c r="H4" s="36">
        <v>2.5324</v>
      </c>
      <c r="I4" s="36">
        <v>2.4881000000000002</v>
      </c>
      <c r="J4" s="36">
        <v>2.4916999999999998</v>
      </c>
      <c r="K4" s="36">
        <v>2.4836999999999998</v>
      </c>
      <c r="L4" s="36">
        <v>2.4803999999999999</v>
      </c>
      <c r="M4" s="36">
        <v>2.5514999999999999</v>
      </c>
      <c r="N4" s="36">
        <v>2.5585</v>
      </c>
      <c r="O4" s="36">
        <v>2.5611000000000002</v>
      </c>
      <c r="P4" s="36">
        <v>2.5802999999999998</v>
      </c>
      <c r="Q4" s="36">
        <v>2.5962000000000001</v>
      </c>
      <c r="R4" s="36">
        <v>2.5636999999999999</v>
      </c>
      <c r="S4" s="36">
        <v>2.5973999999999999</v>
      </c>
      <c r="T4" s="36">
        <v>2.5950000000000002</v>
      </c>
      <c r="U4" s="37"/>
      <c r="V4" s="24">
        <f t="shared" ref="V4:V12" si="0">(T4-S4)/S4</f>
        <v>-9.2400092400082227E-4</v>
      </c>
      <c r="W4" s="22">
        <f t="shared" ref="W4:W12" si="1">(T4-M4)/M4</f>
        <v>1.7048794826572729E-2</v>
      </c>
      <c r="X4" s="23">
        <f t="shared" ref="X4:X12" si="2">(T4-F4)/F4</f>
        <v>-7.9896020490078743E-3</v>
      </c>
    </row>
    <row r="5" spans="2:24" ht="36.950000000000003" customHeight="1" x14ac:dyDescent="0.25">
      <c r="B5" s="52" t="s">
        <v>113</v>
      </c>
      <c r="C5" s="55" t="s">
        <v>125</v>
      </c>
      <c r="D5" s="35" t="s">
        <v>18</v>
      </c>
      <c r="E5" s="35" t="s">
        <v>60</v>
      </c>
      <c r="F5" s="36">
        <v>2.3637000000000001</v>
      </c>
      <c r="G5" s="36">
        <v>2.2774000000000001</v>
      </c>
      <c r="H5" s="36">
        <v>2.2654999999999998</v>
      </c>
      <c r="I5" s="36">
        <v>2.2391999999999999</v>
      </c>
      <c r="J5" s="36">
        <v>2.2364999999999999</v>
      </c>
      <c r="K5" s="36">
        <v>2.2456</v>
      </c>
      <c r="L5" s="36">
        <v>2.2479</v>
      </c>
      <c r="M5" s="36">
        <v>2.3374000000000001</v>
      </c>
      <c r="N5" s="36">
        <v>2.3544</v>
      </c>
      <c r="O5" s="36">
        <v>2.3426</v>
      </c>
      <c r="P5" s="36">
        <v>2.3517000000000001</v>
      </c>
      <c r="Q5" s="36">
        <v>2.3656000000000001</v>
      </c>
      <c r="R5" s="36">
        <v>2.2595000000000001</v>
      </c>
      <c r="S5" s="36">
        <v>2.2692000000000001</v>
      </c>
      <c r="T5" s="36">
        <v>2.2458</v>
      </c>
      <c r="U5" s="37"/>
      <c r="V5" s="24">
        <f t="shared" si="0"/>
        <v>-1.0312004230565877E-2</v>
      </c>
      <c r="W5" s="22">
        <f t="shared" si="1"/>
        <v>-3.9188842303414101E-2</v>
      </c>
      <c r="X5" s="23">
        <f t="shared" si="2"/>
        <v>-4.98794263231375E-2</v>
      </c>
    </row>
    <row r="6" spans="2:24" ht="36.950000000000003" customHeight="1" x14ac:dyDescent="0.25">
      <c r="B6" s="52" t="s">
        <v>115</v>
      </c>
      <c r="C6" s="55" t="s">
        <v>126</v>
      </c>
      <c r="D6" s="35" t="s">
        <v>26</v>
      </c>
      <c r="E6" s="35" t="s">
        <v>60</v>
      </c>
      <c r="F6" s="36">
        <v>2.1667000000000001</v>
      </c>
      <c r="G6" s="36">
        <v>2.0962000000000001</v>
      </c>
      <c r="H6" s="36">
        <v>2.0893999999999999</v>
      </c>
      <c r="I6" s="36">
        <v>2.0636999999999999</v>
      </c>
      <c r="J6" s="36">
        <v>2.0964999999999998</v>
      </c>
      <c r="K6" s="36">
        <v>2.0461</v>
      </c>
      <c r="L6" s="36">
        <v>2.0394000000000001</v>
      </c>
      <c r="M6" s="36">
        <v>2.1804000000000001</v>
      </c>
      <c r="N6" s="36">
        <v>2.1796000000000002</v>
      </c>
      <c r="O6" s="36">
        <v>2.1934</v>
      </c>
      <c r="P6" s="36">
        <v>2.2033</v>
      </c>
      <c r="Q6" s="36">
        <v>2.2282999999999999</v>
      </c>
      <c r="R6" s="36">
        <v>2.0971000000000002</v>
      </c>
      <c r="S6" s="36">
        <v>2.1070000000000002</v>
      </c>
      <c r="T6" s="36">
        <v>2.0861000000000001</v>
      </c>
      <c r="U6" s="37"/>
      <c r="V6" s="24">
        <f t="shared" si="0"/>
        <v>-9.9193165638349016E-3</v>
      </c>
      <c r="W6" s="22">
        <f t="shared" si="1"/>
        <v>-4.3248945147679345E-2</v>
      </c>
      <c r="X6" s="23">
        <f t="shared" si="2"/>
        <v>-3.7199427701112293E-2</v>
      </c>
    </row>
    <row r="7" spans="2:24" ht="36.950000000000003" customHeight="1" x14ac:dyDescent="0.25">
      <c r="B7" s="52" t="s">
        <v>117</v>
      </c>
      <c r="C7" s="55" t="s">
        <v>75</v>
      </c>
      <c r="D7" s="35" t="s">
        <v>34</v>
      </c>
      <c r="E7" s="35" t="s">
        <v>60</v>
      </c>
      <c r="F7" s="36">
        <v>2.0198999999999998</v>
      </c>
      <c r="G7" s="36">
        <v>1.9561999999999999</v>
      </c>
      <c r="H7" s="36">
        <v>1.9483999999999999</v>
      </c>
      <c r="I7" s="36">
        <v>1.9201999999999999</v>
      </c>
      <c r="J7" s="36">
        <v>1.823</v>
      </c>
      <c r="K7" s="36">
        <v>1.9227000000000001</v>
      </c>
      <c r="L7" s="36">
        <v>1.9452</v>
      </c>
      <c r="M7" s="36">
        <v>2.0510999999999999</v>
      </c>
      <c r="N7" s="36">
        <v>2.0661</v>
      </c>
      <c r="O7" s="36">
        <v>2.0421</v>
      </c>
      <c r="P7" s="36">
        <v>2.0198999999999998</v>
      </c>
      <c r="Q7" s="36">
        <v>2.0899000000000001</v>
      </c>
      <c r="R7" s="36">
        <v>1.9490000000000001</v>
      </c>
      <c r="S7" s="36">
        <v>1.9516</v>
      </c>
      <c r="T7" s="36">
        <v>1.9435</v>
      </c>
      <c r="U7" s="37"/>
      <c r="V7" s="24">
        <f t="shared" si="0"/>
        <v>-4.1504406640705043E-3</v>
      </c>
      <c r="W7" s="22">
        <f t="shared" si="1"/>
        <v>-5.2459655794451721E-2</v>
      </c>
      <c r="X7" s="23">
        <f t="shared" si="2"/>
        <v>-3.782365463636804E-2</v>
      </c>
    </row>
    <row r="8" spans="2:24" ht="36.950000000000003" customHeight="1" x14ac:dyDescent="0.25">
      <c r="B8" s="52" t="s">
        <v>118</v>
      </c>
      <c r="C8" s="55" t="s">
        <v>127</v>
      </c>
      <c r="D8" s="35" t="s">
        <v>42</v>
      </c>
      <c r="E8" s="35" t="s">
        <v>60</v>
      </c>
      <c r="F8" s="36">
        <v>1.9211</v>
      </c>
      <c r="G8" s="36">
        <v>1.8703000000000001</v>
      </c>
      <c r="H8" s="36">
        <v>1.8597999999999999</v>
      </c>
      <c r="I8" s="36">
        <v>1.8283</v>
      </c>
      <c r="J8" s="36">
        <v>1.9491000000000001</v>
      </c>
      <c r="K8" s="36">
        <v>1.8039000000000001</v>
      </c>
      <c r="L8" s="36">
        <v>1.7859</v>
      </c>
      <c r="M8" s="36">
        <v>1.9832000000000001</v>
      </c>
      <c r="N8" s="36">
        <v>1.9651000000000001</v>
      </c>
      <c r="O8" s="36">
        <v>1.9769000000000001</v>
      </c>
      <c r="P8" s="36">
        <v>2.0347</v>
      </c>
      <c r="Q8" s="36">
        <v>2.0379999999999998</v>
      </c>
      <c r="R8" s="36">
        <v>1.8924000000000001</v>
      </c>
      <c r="S8" s="36">
        <v>1.8893</v>
      </c>
      <c r="T8" s="36">
        <v>1.8821000000000001</v>
      </c>
      <c r="U8" s="37"/>
      <c r="V8" s="24">
        <f t="shared" si="0"/>
        <v>-3.8109352670300501E-3</v>
      </c>
      <c r="W8" s="22">
        <f t="shared" si="1"/>
        <v>-5.0978217022993128E-2</v>
      </c>
      <c r="X8" s="23">
        <f t="shared" si="2"/>
        <v>-2.0300869293633814E-2</v>
      </c>
    </row>
    <row r="9" spans="2:24" ht="36.950000000000003" customHeight="1" x14ac:dyDescent="0.25">
      <c r="B9" s="52" t="s">
        <v>119</v>
      </c>
      <c r="C9" s="55" t="s">
        <v>128</v>
      </c>
      <c r="D9" s="35" t="s">
        <v>50</v>
      </c>
      <c r="E9" s="35" t="s">
        <v>60</v>
      </c>
      <c r="F9" s="36">
        <v>1.8734999999999999</v>
      </c>
      <c r="G9" s="36">
        <v>1.8327</v>
      </c>
      <c r="H9" s="36">
        <v>1.8164</v>
      </c>
      <c r="I9" s="36">
        <v>1.7889999999999999</v>
      </c>
      <c r="J9" s="36">
        <v>1.8513999999999999</v>
      </c>
      <c r="K9" s="36">
        <v>1.7873000000000001</v>
      </c>
      <c r="L9" s="36">
        <v>1.8769</v>
      </c>
      <c r="M9" s="36">
        <v>1.9500999999999999</v>
      </c>
      <c r="N9" s="36">
        <v>1.9196</v>
      </c>
      <c r="O9" s="36">
        <v>1.9254</v>
      </c>
      <c r="P9" s="36">
        <v>1.8924000000000001</v>
      </c>
      <c r="Q9" s="36">
        <v>1.9953000000000001</v>
      </c>
      <c r="R9" s="36">
        <v>1.8592</v>
      </c>
      <c r="S9" s="36">
        <v>1.8475999999999999</v>
      </c>
      <c r="T9" s="36">
        <v>1.8395999999999999</v>
      </c>
      <c r="U9" s="37"/>
      <c r="V9" s="24">
        <f t="shared" si="0"/>
        <v>-4.3299415457891356E-3</v>
      </c>
      <c r="W9" s="22">
        <f t="shared" si="1"/>
        <v>-5.6663760832777826E-2</v>
      </c>
      <c r="X9" s="23">
        <f t="shared" si="2"/>
        <v>-1.8094475580464394E-2</v>
      </c>
    </row>
    <row r="10" spans="2:24" ht="36.950000000000003" customHeight="1" x14ac:dyDescent="0.25">
      <c r="B10" s="52" t="s">
        <v>120</v>
      </c>
      <c r="C10" s="55" t="s">
        <v>129</v>
      </c>
      <c r="D10" s="35" t="s">
        <v>130</v>
      </c>
      <c r="E10" s="35" t="s">
        <v>60</v>
      </c>
      <c r="F10" s="36">
        <v>1.8540000000000001</v>
      </c>
      <c r="G10" s="36">
        <v>1.8147</v>
      </c>
      <c r="H10" s="36">
        <v>1.8127</v>
      </c>
      <c r="I10" s="36">
        <v>1.7862</v>
      </c>
      <c r="J10" s="36">
        <v>1.8244</v>
      </c>
      <c r="K10" s="36">
        <v>1.7777000000000001</v>
      </c>
      <c r="L10" s="36">
        <v>1.7516</v>
      </c>
      <c r="M10" s="36">
        <v>1.9831000000000001</v>
      </c>
      <c r="N10" s="36">
        <v>1.9811000000000001</v>
      </c>
      <c r="O10" s="36">
        <v>1.9648000000000001</v>
      </c>
      <c r="P10" s="36">
        <v>2.0114000000000001</v>
      </c>
      <c r="Q10" s="36">
        <v>2.0276000000000001</v>
      </c>
      <c r="R10" s="36">
        <v>1.8781000000000001</v>
      </c>
      <c r="S10" s="36">
        <v>1.8742000000000001</v>
      </c>
      <c r="T10" s="36">
        <v>1.8595999999999999</v>
      </c>
      <c r="U10" s="37"/>
      <c r="V10" s="24">
        <f t="shared" si="0"/>
        <v>-7.7899903959023414E-3</v>
      </c>
      <c r="W10" s="22">
        <f t="shared" si="1"/>
        <v>-6.2276234178811035E-2</v>
      </c>
      <c r="X10" s="23">
        <f t="shared" si="2"/>
        <v>3.0204962243796261E-3</v>
      </c>
    </row>
    <row r="11" spans="2:24" ht="36.950000000000003" customHeight="1" x14ac:dyDescent="0.25">
      <c r="B11" s="52" t="s">
        <v>121</v>
      </c>
      <c r="C11" s="55" t="s">
        <v>131</v>
      </c>
      <c r="D11" s="35" t="s">
        <v>132</v>
      </c>
      <c r="E11" s="35" t="s">
        <v>60</v>
      </c>
      <c r="F11" s="36">
        <v>1.7968</v>
      </c>
      <c r="G11" s="36">
        <v>1.7546999999999999</v>
      </c>
      <c r="H11" s="36">
        <v>1.7528999999999999</v>
      </c>
      <c r="I11" s="36">
        <v>1.7222999999999999</v>
      </c>
      <c r="J11" s="36">
        <v>1.7567999999999999</v>
      </c>
      <c r="K11" s="36">
        <v>1.7073</v>
      </c>
      <c r="L11" s="36">
        <v>1.6862999999999999</v>
      </c>
      <c r="M11" s="36">
        <v>1.9152</v>
      </c>
      <c r="N11" s="36">
        <v>1.9097999999999999</v>
      </c>
      <c r="O11" s="36">
        <v>1.8879999999999999</v>
      </c>
      <c r="P11" s="36">
        <v>1.9449000000000001</v>
      </c>
      <c r="Q11" s="36">
        <v>1.9524999999999999</v>
      </c>
      <c r="R11" s="36">
        <v>1.7997000000000001</v>
      </c>
      <c r="S11" s="36">
        <v>1.7909999999999999</v>
      </c>
      <c r="T11" s="36">
        <v>1.778</v>
      </c>
      <c r="U11" s="37"/>
      <c r="V11" s="24">
        <f t="shared" si="0"/>
        <v>-7.258514796203183E-3</v>
      </c>
      <c r="W11" s="22">
        <f t="shared" si="1"/>
        <v>-7.1637426900584791E-2</v>
      </c>
      <c r="X11" s="23">
        <f t="shared" si="2"/>
        <v>-1.0463045414069417E-2</v>
      </c>
    </row>
    <row r="12" spans="2:24" ht="36.950000000000003" customHeight="1" thickBot="1" x14ac:dyDescent="0.3">
      <c r="B12" s="53" t="s">
        <v>122</v>
      </c>
      <c r="C12" s="56" t="s">
        <v>133</v>
      </c>
      <c r="D12" s="38" t="s">
        <v>134</v>
      </c>
      <c r="E12" s="38" t="s">
        <v>60</v>
      </c>
      <c r="F12" s="39">
        <v>1.8269</v>
      </c>
      <c r="G12" s="39">
        <v>1.8048999999999999</v>
      </c>
      <c r="H12" s="39">
        <v>1.8016000000000001</v>
      </c>
      <c r="I12" s="39">
        <v>1.7850999999999999</v>
      </c>
      <c r="J12" s="39">
        <v>1.8104</v>
      </c>
      <c r="K12" s="39">
        <v>1.7782</v>
      </c>
      <c r="L12" s="39">
        <v>1.7985</v>
      </c>
      <c r="M12" s="39">
        <v>1.9671000000000001</v>
      </c>
      <c r="N12" s="39">
        <v>1.9762</v>
      </c>
      <c r="O12" s="39">
        <v>1.9604999999999999</v>
      </c>
      <c r="P12" s="39">
        <v>1.9925999999999999</v>
      </c>
      <c r="Q12" s="39">
        <v>2.0202</v>
      </c>
      <c r="R12" s="39">
        <v>1.8869</v>
      </c>
      <c r="S12" s="39">
        <v>1.8794999999999999</v>
      </c>
      <c r="T12" s="39">
        <v>1.8677999999999999</v>
      </c>
      <c r="U12" s="40"/>
      <c r="V12" s="25">
        <f t="shared" si="0"/>
        <v>-6.2250598563447961E-3</v>
      </c>
      <c r="W12" s="26">
        <f t="shared" si="1"/>
        <v>-5.0480402623150913E-2</v>
      </c>
      <c r="X12" s="27">
        <f t="shared" si="2"/>
        <v>2.2387651212436334E-2</v>
      </c>
    </row>
    <row r="13" spans="2:24" ht="36.950000000000003" customHeight="1" x14ac:dyDescent="0.25">
      <c r="C13" s="91" t="s">
        <v>123</v>
      </c>
      <c r="D13" s="91">
        <v>4.25</v>
      </c>
    </row>
    <row r="14" spans="2:24" ht="15.75" thickBot="1" x14ac:dyDescent="0.3">
      <c r="C14" s="92"/>
      <c r="D14" s="92"/>
    </row>
    <row r="21" spans="12:17" x14ac:dyDescent="0.25">
      <c r="M21" s="19"/>
      <c r="N21" s="19"/>
    </row>
    <row r="22" spans="12:17" x14ac:dyDescent="0.25">
      <c r="L22" s="19"/>
      <c r="O22" s="19"/>
    </row>
    <row r="28" spans="12:17" x14ac:dyDescent="0.25">
      <c r="P28" s="19"/>
      <c r="Q28" s="19"/>
    </row>
    <row r="29" spans="12:17" x14ac:dyDescent="0.25">
      <c r="O29" s="41"/>
    </row>
    <row r="30" spans="12:17" x14ac:dyDescent="0.25">
      <c r="O30" s="41"/>
    </row>
    <row r="31" spans="12:17" x14ac:dyDescent="0.25">
      <c r="O31" s="41"/>
    </row>
    <row r="32" spans="12:17" x14ac:dyDescent="0.25">
      <c r="O32" s="41"/>
    </row>
    <row r="33" spans="15:15" x14ac:dyDescent="0.25">
      <c r="O33" s="41"/>
    </row>
    <row r="34" spans="15:15" x14ac:dyDescent="0.25">
      <c r="O34" s="41"/>
    </row>
    <row r="35" spans="15:15" x14ac:dyDescent="0.25">
      <c r="O35" s="41"/>
    </row>
    <row r="36" spans="15:15" x14ac:dyDescent="0.25">
      <c r="O36" s="41"/>
    </row>
    <row r="37" spans="15:15" x14ac:dyDescent="0.25">
      <c r="O37" s="41"/>
    </row>
    <row r="38" spans="15:15" x14ac:dyDescent="0.25">
      <c r="O38" s="41"/>
    </row>
    <row r="39" spans="15:15" x14ac:dyDescent="0.25">
      <c r="O39" s="41"/>
    </row>
    <row r="40" spans="15:15" x14ac:dyDescent="0.25">
      <c r="O40" s="41"/>
    </row>
    <row r="41" spans="15:15" x14ac:dyDescent="0.25">
      <c r="O41" s="41"/>
    </row>
    <row r="42" spans="15:15" x14ac:dyDescent="0.25">
      <c r="O42" s="41"/>
    </row>
    <row r="43" spans="15:15" x14ac:dyDescent="0.25">
      <c r="O43" s="41"/>
    </row>
    <row r="44" spans="15:15" x14ac:dyDescent="0.25">
      <c r="O44" s="41"/>
    </row>
    <row r="45" spans="15:15" x14ac:dyDescent="0.25">
      <c r="O45" s="41"/>
    </row>
    <row r="46" spans="15:15" x14ac:dyDescent="0.25">
      <c r="O46" s="41"/>
    </row>
    <row r="47" spans="15:15" x14ac:dyDescent="0.25">
      <c r="O47" s="41"/>
    </row>
    <row r="48" spans="15:15" x14ac:dyDescent="0.25">
      <c r="O48" s="41"/>
    </row>
    <row r="49" spans="15:15" x14ac:dyDescent="0.25">
      <c r="O49" s="41"/>
    </row>
    <row r="50" spans="15:15" x14ac:dyDescent="0.25">
      <c r="O50" s="41"/>
    </row>
    <row r="51" spans="15:15" x14ac:dyDescent="0.25">
      <c r="O51" s="41"/>
    </row>
    <row r="52" spans="15:15" x14ac:dyDescent="0.25">
      <c r="O52" s="41"/>
    </row>
    <row r="53" spans="15:15" x14ac:dyDescent="0.25">
      <c r="O53" s="41"/>
    </row>
    <row r="54" spans="15:15" x14ac:dyDescent="0.25">
      <c r="O54" s="41"/>
    </row>
    <row r="55" spans="15:15" x14ac:dyDescent="0.25">
      <c r="O55" s="41"/>
    </row>
    <row r="56" spans="15:15" x14ac:dyDescent="0.25">
      <c r="O56" s="41"/>
    </row>
    <row r="57" spans="15:15" x14ac:dyDescent="0.25">
      <c r="O57" s="41"/>
    </row>
    <row r="58" spans="15:15" x14ac:dyDescent="0.25">
      <c r="O58" s="41"/>
    </row>
    <row r="59" spans="15:15" x14ac:dyDescent="0.25">
      <c r="O59" s="41"/>
    </row>
    <row r="60" spans="15:15" x14ac:dyDescent="0.25">
      <c r="O60" s="41"/>
    </row>
    <row r="61" spans="15:15" x14ac:dyDescent="0.25">
      <c r="O61" s="41"/>
    </row>
    <row r="62" spans="15:15" x14ac:dyDescent="0.25">
      <c r="O62" s="41"/>
    </row>
    <row r="63" spans="15:15" x14ac:dyDescent="0.25">
      <c r="O63" s="41"/>
    </row>
    <row r="64" spans="15:15" x14ac:dyDescent="0.25">
      <c r="O64" s="41"/>
    </row>
    <row r="65" spans="15:15" x14ac:dyDescent="0.25">
      <c r="O65" s="41"/>
    </row>
    <row r="66" spans="15:15" x14ac:dyDescent="0.25">
      <c r="O66" s="41"/>
    </row>
    <row r="67" spans="15:15" x14ac:dyDescent="0.25">
      <c r="O67" s="41"/>
    </row>
    <row r="68" spans="15:15" x14ac:dyDescent="0.25">
      <c r="O68" s="41"/>
    </row>
    <row r="69" spans="15:15" x14ac:dyDescent="0.25">
      <c r="O69" s="41"/>
    </row>
    <row r="70" spans="15:15" x14ac:dyDescent="0.25">
      <c r="O70" s="41"/>
    </row>
    <row r="71" spans="15:15" x14ac:dyDescent="0.25">
      <c r="O71" s="41"/>
    </row>
    <row r="72" spans="15:15" x14ac:dyDescent="0.25">
      <c r="O72" s="41"/>
    </row>
    <row r="73" spans="15:15" x14ac:dyDescent="0.25">
      <c r="O73" s="41"/>
    </row>
    <row r="74" spans="15:15" x14ac:dyDescent="0.25">
      <c r="O74" s="41"/>
    </row>
    <row r="75" spans="15:15" x14ac:dyDescent="0.25">
      <c r="O75" s="41"/>
    </row>
    <row r="76" spans="15:15" x14ac:dyDescent="0.25">
      <c r="O76" s="41"/>
    </row>
    <row r="77" spans="15:15" x14ac:dyDescent="0.25">
      <c r="O77" s="41"/>
    </row>
    <row r="78" spans="15:15" x14ac:dyDescent="0.25">
      <c r="O78" s="41"/>
    </row>
    <row r="79" spans="15:15" x14ac:dyDescent="0.25">
      <c r="O79" s="41"/>
    </row>
    <row r="80" spans="15:15" x14ac:dyDescent="0.25">
      <c r="O80" s="41"/>
    </row>
    <row r="81" spans="15:15" x14ac:dyDescent="0.25">
      <c r="O81" s="41"/>
    </row>
    <row r="82" spans="15:15" x14ac:dyDescent="0.25">
      <c r="O82" s="41"/>
    </row>
    <row r="83" spans="15:15" x14ac:dyDescent="0.25">
      <c r="O83" s="41"/>
    </row>
    <row r="84" spans="15:15" x14ac:dyDescent="0.25">
      <c r="O84" s="41"/>
    </row>
    <row r="85" spans="15:15" x14ac:dyDescent="0.25">
      <c r="O85" s="41"/>
    </row>
    <row r="86" spans="15:15" x14ac:dyDescent="0.25">
      <c r="O86" s="41"/>
    </row>
    <row r="87" spans="15:15" x14ac:dyDescent="0.25">
      <c r="O87" s="41"/>
    </row>
    <row r="88" spans="15:15" x14ac:dyDescent="0.25">
      <c r="O88" s="41"/>
    </row>
    <row r="89" spans="15:15" x14ac:dyDescent="0.25">
      <c r="O89" s="41"/>
    </row>
    <row r="90" spans="15:15" x14ac:dyDescent="0.25">
      <c r="O90" s="41"/>
    </row>
    <row r="91" spans="15:15" x14ac:dyDescent="0.25">
      <c r="O91" s="41"/>
    </row>
    <row r="92" spans="15:15" x14ac:dyDescent="0.25">
      <c r="O92" s="41"/>
    </row>
    <row r="93" spans="15:15" x14ac:dyDescent="0.25">
      <c r="O93" s="41"/>
    </row>
    <row r="94" spans="15:15" x14ac:dyDescent="0.25">
      <c r="O94" s="41"/>
    </row>
    <row r="95" spans="15:15" x14ac:dyDescent="0.25">
      <c r="O95" s="41"/>
    </row>
    <row r="96" spans="15:15" x14ac:dyDescent="0.25">
      <c r="O96" s="41"/>
    </row>
    <row r="97" spans="15:15" x14ac:dyDescent="0.25">
      <c r="O97" s="41"/>
    </row>
    <row r="98" spans="15:15" x14ac:dyDescent="0.25">
      <c r="O98" s="41"/>
    </row>
    <row r="99" spans="15:15" x14ac:dyDescent="0.25">
      <c r="O99" s="41"/>
    </row>
    <row r="100" spans="15:15" x14ac:dyDescent="0.25">
      <c r="O100" s="41"/>
    </row>
    <row r="101" spans="15:15" x14ac:dyDescent="0.25">
      <c r="O101" s="41"/>
    </row>
    <row r="102" spans="15:15" x14ac:dyDescent="0.25">
      <c r="O102" s="41"/>
    </row>
    <row r="103" spans="15:15" x14ac:dyDescent="0.25">
      <c r="O103" s="41"/>
    </row>
    <row r="104" spans="15:15" x14ac:dyDescent="0.25">
      <c r="O104" s="41"/>
    </row>
    <row r="105" spans="15:15" x14ac:dyDescent="0.25">
      <c r="O105" s="41"/>
    </row>
    <row r="106" spans="15:15" x14ac:dyDescent="0.25">
      <c r="O106" s="41"/>
    </row>
    <row r="107" spans="15:15" x14ac:dyDescent="0.25">
      <c r="O107" s="41"/>
    </row>
    <row r="108" spans="15:15" x14ac:dyDescent="0.25">
      <c r="O108" s="41"/>
    </row>
    <row r="109" spans="15:15" x14ac:dyDescent="0.25">
      <c r="O109" s="41"/>
    </row>
    <row r="110" spans="15:15" x14ac:dyDescent="0.25">
      <c r="O110" s="41"/>
    </row>
    <row r="111" spans="15:15" x14ac:dyDescent="0.25">
      <c r="O111" s="41"/>
    </row>
    <row r="112" spans="15:15" x14ac:dyDescent="0.25">
      <c r="O112" s="41"/>
    </row>
    <row r="113" spans="15:15" x14ac:dyDescent="0.25">
      <c r="O113" s="41"/>
    </row>
    <row r="114" spans="15:15" x14ac:dyDescent="0.25">
      <c r="O114" s="41"/>
    </row>
    <row r="115" spans="15:15" x14ac:dyDescent="0.25">
      <c r="O115" s="41"/>
    </row>
    <row r="116" spans="15:15" x14ac:dyDescent="0.25">
      <c r="O116" s="41"/>
    </row>
    <row r="117" spans="15:15" x14ac:dyDescent="0.25">
      <c r="O117" s="41"/>
    </row>
    <row r="118" spans="15:15" x14ac:dyDescent="0.25">
      <c r="O118" s="41"/>
    </row>
    <row r="119" spans="15:15" x14ac:dyDescent="0.25">
      <c r="O119" s="41"/>
    </row>
    <row r="120" spans="15:15" x14ac:dyDescent="0.25">
      <c r="O120" s="41"/>
    </row>
    <row r="121" spans="15:15" x14ac:dyDescent="0.25">
      <c r="O121" s="41"/>
    </row>
    <row r="122" spans="15:15" x14ac:dyDescent="0.25">
      <c r="O122" s="41"/>
    </row>
    <row r="123" spans="15:15" x14ac:dyDescent="0.25">
      <c r="O123" s="41"/>
    </row>
    <row r="124" spans="15:15" x14ac:dyDescent="0.25">
      <c r="O124" s="41"/>
    </row>
    <row r="125" spans="15:15" x14ac:dyDescent="0.25">
      <c r="O125" s="41"/>
    </row>
    <row r="126" spans="15:15" x14ac:dyDescent="0.25">
      <c r="O126" s="41"/>
    </row>
    <row r="127" spans="15:15" x14ac:dyDescent="0.25">
      <c r="O127" s="41"/>
    </row>
    <row r="128" spans="15:15" x14ac:dyDescent="0.25">
      <c r="O128" s="41"/>
    </row>
    <row r="129" spans="15:15" x14ac:dyDescent="0.25">
      <c r="O129" s="41"/>
    </row>
    <row r="130" spans="15:15" x14ac:dyDescent="0.25">
      <c r="O130" s="41"/>
    </row>
    <row r="131" spans="15:15" x14ac:dyDescent="0.25">
      <c r="O131" s="41"/>
    </row>
    <row r="132" spans="15:15" x14ac:dyDescent="0.25">
      <c r="O132" s="41"/>
    </row>
    <row r="133" spans="15:15" x14ac:dyDescent="0.25">
      <c r="O133" s="41"/>
    </row>
    <row r="134" spans="15:15" x14ac:dyDescent="0.25">
      <c r="O134" s="41"/>
    </row>
    <row r="135" spans="15:15" x14ac:dyDescent="0.25">
      <c r="O135" s="41"/>
    </row>
    <row r="136" spans="15:15" x14ac:dyDescent="0.25">
      <c r="O136" s="41"/>
    </row>
    <row r="137" spans="15:15" x14ac:dyDescent="0.25">
      <c r="O137" s="41"/>
    </row>
    <row r="138" spans="15:15" x14ac:dyDescent="0.25">
      <c r="O138" s="41"/>
    </row>
    <row r="139" spans="15:15" x14ac:dyDescent="0.25">
      <c r="O139" s="41"/>
    </row>
    <row r="140" spans="15:15" x14ac:dyDescent="0.25">
      <c r="O140" s="41"/>
    </row>
    <row r="141" spans="15:15" x14ac:dyDescent="0.25">
      <c r="O141" s="41"/>
    </row>
    <row r="142" spans="15:15" x14ac:dyDescent="0.25">
      <c r="O142" s="41"/>
    </row>
    <row r="143" spans="15:15" x14ac:dyDescent="0.25">
      <c r="O143" s="41"/>
    </row>
    <row r="144" spans="15:15" x14ac:dyDescent="0.25">
      <c r="O144" s="41"/>
    </row>
    <row r="145" spans="15:15" x14ac:dyDescent="0.25">
      <c r="O145" s="41"/>
    </row>
    <row r="146" spans="15:15" x14ac:dyDescent="0.25">
      <c r="O146" s="41"/>
    </row>
    <row r="147" spans="15:15" x14ac:dyDescent="0.25">
      <c r="O147" s="41"/>
    </row>
    <row r="148" spans="15:15" x14ac:dyDescent="0.25">
      <c r="O148" s="41"/>
    </row>
    <row r="149" spans="15:15" x14ac:dyDescent="0.25">
      <c r="O149" s="41"/>
    </row>
    <row r="150" spans="15:15" x14ac:dyDescent="0.25">
      <c r="O150" s="41"/>
    </row>
    <row r="151" spans="15:15" x14ac:dyDescent="0.25">
      <c r="O151" s="41"/>
    </row>
    <row r="152" spans="15:15" x14ac:dyDescent="0.25">
      <c r="O152" s="41"/>
    </row>
    <row r="153" spans="15:15" x14ac:dyDescent="0.25">
      <c r="O153" s="41"/>
    </row>
    <row r="154" spans="15:15" x14ac:dyDescent="0.25">
      <c r="O154" s="41"/>
    </row>
    <row r="155" spans="15:15" x14ac:dyDescent="0.25">
      <c r="O155" s="41"/>
    </row>
    <row r="156" spans="15:15" x14ac:dyDescent="0.25">
      <c r="O156" s="41"/>
    </row>
    <row r="157" spans="15:15" x14ac:dyDescent="0.25">
      <c r="O157" s="41"/>
    </row>
    <row r="158" spans="15:15" x14ac:dyDescent="0.25">
      <c r="O158" s="41"/>
    </row>
    <row r="159" spans="15:15" x14ac:dyDescent="0.25">
      <c r="O159" s="41"/>
    </row>
    <row r="160" spans="15:15" x14ac:dyDescent="0.25">
      <c r="O160" s="41"/>
    </row>
    <row r="161" spans="15:15" x14ac:dyDescent="0.25">
      <c r="O161" s="41"/>
    </row>
    <row r="162" spans="15:15" x14ac:dyDescent="0.25">
      <c r="O162" s="41"/>
    </row>
    <row r="163" spans="15:15" x14ac:dyDescent="0.25">
      <c r="O163" s="41"/>
    </row>
    <row r="164" spans="15:15" x14ac:dyDescent="0.25">
      <c r="O164" s="41"/>
    </row>
    <row r="165" spans="15:15" x14ac:dyDescent="0.25">
      <c r="O165" s="41"/>
    </row>
    <row r="166" spans="15:15" x14ac:dyDescent="0.25">
      <c r="O166" s="41"/>
    </row>
    <row r="167" spans="15:15" x14ac:dyDescent="0.25">
      <c r="O167" s="41"/>
    </row>
    <row r="168" spans="15:15" x14ac:dyDescent="0.25">
      <c r="O168" s="41"/>
    </row>
    <row r="169" spans="15:15" x14ac:dyDescent="0.25">
      <c r="O169" s="41"/>
    </row>
    <row r="170" spans="15:15" x14ac:dyDescent="0.25">
      <c r="O170" s="41"/>
    </row>
    <row r="171" spans="15:15" x14ac:dyDescent="0.25">
      <c r="O171" s="41"/>
    </row>
    <row r="172" spans="15:15" x14ac:dyDescent="0.25">
      <c r="O172" s="41"/>
    </row>
    <row r="173" spans="15:15" x14ac:dyDescent="0.25">
      <c r="O173" s="41"/>
    </row>
    <row r="174" spans="15:15" x14ac:dyDescent="0.25">
      <c r="O174" s="41"/>
    </row>
    <row r="175" spans="15:15" x14ac:dyDescent="0.25">
      <c r="O175" s="41"/>
    </row>
    <row r="176" spans="15:15" x14ac:dyDescent="0.25">
      <c r="O176" s="41"/>
    </row>
    <row r="177" spans="15:15" x14ac:dyDescent="0.25">
      <c r="O177" s="41"/>
    </row>
    <row r="178" spans="15:15" x14ac:dyDescent="0.25">
      <c r="O178" s="41"/>
    </row>
    <row r="179" spans="15:15" x14ac:dyDescent="0.25">
      <c r="O179" s="41"/>
    </row>
    <row r="180" spans="15:15" x14ac:dyDescent="0.25">
      <c r="O180" s="41"/>
    </row>
    <row r="181" spans="15:15" x14ac:dyDescent="0.25">
      <c r="O181" s="41"/>
    </row>
    <row r="182" spans="15:15" x14ac:dyDescent="0.25">
      <c r="O182" s="41"/>
    </row>
    <row r="183" spans="15:15" x14ac:dyDescent="0.25">
      <c r="O183" s="41"/>
    </row>
    <row r="184" spans="15:15" x14ac:dyDescent="0.25">
      <c r="O184" s="41"/>
    </row>
    <row r="185" spans="15:15" x14ac:dyDescent="0.25">
      <c r="O185" s="41"/>
    </row>
    <row r="186" spans="15:15" x14ac:dyDescent="0.25">
      <c r="O186" s="41"/>
    </row>
    <row r="187" spans="15:15" x14ac:dyDescent="0.25">
      <c r="O187" s="41"/>
    </row>
    <row r="188" spans="15:15" x14ac:dyDescent="0.25">
      <c r="O188" s="41"/>
    </row>
    <row r="189" spans="15:15" x14ac:dyDescent="0.25">
      <c r="O189" s="41"/>
    </row>
    <row r="190" spans="15:15" x14ac:dyDescent="0.25">
      <c r="O190" s="41"/>
    </row>
    <row r="191" spans="15:15" x14ac:dyDescent="0.25">
      <c r="O191" s="41"/>
    </row>
    <row r="192" spans="15:15" x14ac:dyDescent="0.25">
      <c r="O192" s="41"/>
    </row>
    <row r="193" spans="15:15" x14ac:dyDescent="0.25">
      <c r="O193" s="41"/>
    </row>
    <row r="194" spans="15:15" x14ac:dyDescent="0.25">
      <c r="O194" s="41"/>
    </row>
    <row r="195" spans="15:15" x14ac:dyDescent="0.25">
      <c r="O195" s="41"/>
    </row>
    <row r="196" spans="15:15" x14ac:dyDescent="0.25">
      <c r="O196" s="41"/>
    </row>
    <row r="197" spans="15:15" x14ac:dyDescent="0.25">
      <c r="O197" s="41"/>
    </row>
    <row r="198" spans="15:15" x14ac:dyDescent="0.25">
      <c r="O198" s="41"/>
    </row>
    <row r="199" spans="15:15" x14ac:dyDescent="0.25">
      <c r="O199" s="41"/>
    </row>
    <row r="200" spans="15:15" x14ac:dyDescent="0.25">
      <c r="O200" s="41"/>
    </row>
    <row r="201" spans="15:15" x14ac:dyDescent="0.25">
      <c r="O201" s="41"/>
    </row>
    <row r="202" spans="15:15" x14ac:dyDescent="0.25">
      <c r="O202" s="41"/>
    </row>
    <row r="203" spans="15:15" x14ac:dyDescent="0.25">
      <c r="O203" s="41"/>
    </row>
    <row r="204" spans="15:15" x14ac:dyDescent="0.25">
      <c r="O204" s="41"/>
    </row>
    <row r="205" spans="15:15" x14ac:dyDescent="0.25">
      <c r="O205" s="41"/>
    </row>
    <row r="206" spans="15:15" x14ac:dyDescent="0.25">
      <c r="O206" s="41"/>
    </row>
    <row r="207" spans="15:15" x14ac:dyDescent="0.25">
      <c r="O207" s="41"/>
    </row>
    <row r="208" spans="15:15" x14ac:dyDescent="0.25">
      <c r="O208" s="41"/>
    </row>
    <row r="209" spans="15:15" x14ac:dyDescent="0.25">
      <c r="O209" s="41"/>
    </row>
    <row r="210" spans="15:15" x14ac:dyDescent="0.25">
      <c r="O210" s="41"/>
    </row>
    <row r="211" spans="15:15" x14ac:dyDescent="0.25">
      <c r="O211" s="41"/>
    </row>
    <row r="212" spans="15:15" x14ac:dyDescent="0.25">
      <c r="O212" s="41"/>
    </row>
    <row r="213" spans="15:15" x14ac:dyDescent="0.25">
      <c r="O213" s="41"/>
    </row>
    <row r="214" spans="15:15" x14ac:dyDescent="0.25">
      <c r="O214" s="41"/>
    </row>
    <row r="215" spans="15:15" x14ac:dyDescent="0.25">
      <c r="O215" s="41"/>
    </row>
    <row r="216" spans="15:15" x14ac:dyDescent="0.25">
      <c r="O216" s="41"/>
    </row>
    <row r="217" spans="15:15" x14ac:dyDescent="0.25">
      <c r="O217" s="41"/>
    </row>
    <row r="218" spans="15:15" x14ac:dyDescent="0.25">
      <c r="O218" s="41"/>
    </row>
    <row r="219" spans="15:15" x14ac:dyDescent="0.25">
      <c r="O219" s="41"/>
    </row>
    <row r="220" spans="15:15" x14ac:dyDescent="0.25">
      <c r="O220" s="41"/>
    </row>
    <row r="221" spans="15:15" x14ac:dyDescent="0.25">
      <c r="O221" s="41"/>
    </row>
    <row r="222" spans="15:15" x14ac:dyDescent="0.25">
      <c r="O222" s="41"/>
    </row>
    <row r="223" spans="15:15" x14ac:dyDescent="0.25">
      <c r="O223" s="41"/>
    </row>
    <row r="224" spans="15:15" x14ac:dyDescent="0.25">
      <c r="O224" s="41"/>
    </row>
    <row r="225" spans="15:15" x14ac:dyDescent="0.25">
      <c r="O225" s="41"/>
    </row>
    <row r="226" spans="15:15" x14ac:dyDescent="0.25">
      <c r="O226" s="41"/>
    </row>
    <row r="227" spans="15:15" x14ac:dyDescent="0.25">
      <c r="O227" s="41"/>
    </row>
    <row r="228" spans="15:15" x14ac:dyDescent="0.25">
      <c r="O228" s="41"/>
    </row>
    <row r="229" spans="15:15" x14ac:dyDescent="0.25">
      <c r="O229" s="41"/>
    </row>
    <row r="230" spans="15:15" x14ac:dyDescent="0.25">
      <c r="O230" s="41"/>
    </row>
    <row r="231" spans="15:15" x14ac:dyDescent="0.25">
      <c r="O231" s="41"/>
    </row>
    <row r="232" spans="15:15" x14ac:dyDescent="0.25">
      <c r="O232" s="41"/>
    </row>
    <row r="233" spans="15:15" x14ac:dyDescent="0.25">
      <c r="O233" s="41"/>
    </row>
    <row r="234" spans="15:15" x14ac:dyDescent="0.25">
      <c r="O234" s="41"/>
    </row>
    <row r="235" spans="15:15" x14ac:dyDescent="0.25">
      <c r="O235" s="41"/>
    </row>
    <row r="236" spans="15:15" x14ac:dyDescent="0.25">
      <c r="O236" s="41"/>
    </row>
    <row r="237" spans="15:15" x14ac:dyDescent="0.25">
      <c r="O237" s="41"/>
    </row>
    <row r="238" spans="15:15" x14ac:dyDescent="0.25">
      <c r="O238" s="41"/>
    </row>
    <row r="239" spans="15:15" x14ac:dyDescent="0.25">
      <c r="O239" s="41"/>
    </row>
    <row r="240" spans="15:15" x14ac:dyDescent="0.25">
      <c r="O240" s="41"/>
    </row>
    <row r="241" spans="15:15" x14ac:dyDescent="0.25">
      <c r="O241" s="41"/>
    </row>
    <row r="242" spans="15:15" x14ac:dyDescent="0.25">
      <c r="O242" s="41"/>
    </row>
    <row r="243" spans="15:15" x14ac:dyDescent="0.25">
      <c r="O243" s="41"/>
    </row>
    <row r="244" spans="15:15" x14ac:dyDescent="0.25">
      <c r="O244" s="41"/>
    </row>
    <row r="245" spans="15:15" x14ac:dyDescent="0.25">
      <c r="O245" s="41"/>
    </row>
    <row r="246" spans="15:15" x14ac:dyDescent="0.25">
      <c r="O246" s="41"/>
    </row>
    <row r="247" spans="15:15" x14ac:dyDescent="0.25">
      <c r="O247" s="41"/>
    </row>
    <row r="248" spans="15:15" x14ac:dyDescent="0.25">
      <c r="O248" s="41"/>
    </row>
    <row r="249" spans="15:15" x14ac:dyDescent="0.25">
      <c r="O249" s="41"/>
    </row>
    <row r="250" spans="15:15" x14ac:dyDescent="0.25">
      <c r="O250" s="41"/>
    </row>
    <row r="251" spans="15:15" x14ac:dyDescent="0.25">
      <c r="O251" s="41"/>
    </row>
    <row r="252" spans="15:15" x14ac:dyDescent="0.25">
      <c r="O252" s="41"/>
    </row>
    <row r="253" spans="15:15" x14ac:dyDescent="0.25">
      <c r="O253" s="41"/>
    </row>
    <row r="254" spans="15:15" x14ac:dyDescent="0.25">
      <c r="O254" s="41"/>
    </row>
    <row r="255" spans="15:15" x14ac:dyDescent="0.25">
      <c r="O255" s="41"/>
    </row>
    <row r="256" spans="15:15" x14ac:dyDescent="0.25">
      <c r="O256" s="41"/>
    </row>
    <row r="257" spans="15:15" x14ac:dyDescent="0.25">
      <c r="O257" s="41"/>
    </row>
    <row r="258" spans="15:15" x14ac:dyDescent="0.25">
      <c r="O258" s="41"/>
    </row>
    <row r="259" spans="15:15" x14ac:dyDescent="0.25">
      <c r="O259" s="41"/>
    </row>
    <row r="260" spans="15:15" x14ac:dyDescent="0.25">
      <c r="O260" s="41"/>
    </row>
    <row r="261" spans="15:15" x14ac:dyDescent="0.25">
      <c r="O261" s="41"/>
    </row>
    <row r="262" spans="15:15" x14ac:dyDescent="0.25">
      <c r="O262" s="41"/>
    </row>
    <row r="263" spans="15:15" x14ac:dyDescent="0.25">
      <c r="O263" s="41"/>
    </row>
    <row r="264" spans="15:15" x14ac:dyDescent="0.25">
      <c r="O264" s="41"/>
    </row>
    <row r="265" spans="15:15" x14ac:dyDescent="0.25">
      <c r="O265" s="41"/>
    </row>
    <row r="266" spans="15:15" x14ac:dyDescent="0.25">
      <c r="O266" s="41"/>
    </row>
    <row r="267" spans="15:15" x14ac:dyDescent="0.25">
      <c r="O267" s="41"/>
    </row>
    <row r="268" spans="15:15" x14ac:dyDescent="0.25">
      <c r="O268" s="41"/>
    </row>
    <row r="269" spans="15:15" x14ac:dyDescent="0.25">
      <c r="O269" s="41"/>
    </row>
    <row r="270" spans="15:15" x14ac:dyDescent="0.25">
      <c r="O270" s="41"/>
    </row>
    <row r="271" spans="15:15" x14ac:dyDescent="0.25">
      <c r="O271" s="41"/>
    </row>
    <row r="272" spans="15:15" x14ac:dyDescent="0.25">
      <c r="O272" s="41"/>
    </row>
    <row r="273" spans="15:15" x14ac:dyDescent="0.25">
      <c r="O273" s="41"/>
    </row>
    <row r="274" spans="15:15" x14ac:dyDescent="0.25">
      <c r="O274" s="41"/>
    </row>
    <row r="275" spans="15:15" x14ac:dyDescent="0.25">
      <c r="O275" s="41"/>
    </row>
    <row r="276" spans="15:15" x14ac:dyDescent="0.25">
      <c r="O276" s="41"/>
    </row>
    <row r="277" spans="15:15" x14ac:dyDescent="0.25">
      <c r="O277" s="41"/>
    </row>
    <row r="278" spans="15:15" x14ac:dyDescent="0.25">
      <c r="O278" s="41"/>
    </row>
    <row r="279" spans="15:15" x14ac:dyDescent="0.25">
      <c r="O279" s="41"/>
    </row>
    <row r="280" spans="15:15" x14ac:dyDescent="0.25">
      <c r="O280" s="41"/>
    </row>
    <row r="281" spans="15:15" x14ac:dyDescent="0.25">
      <c r="O281" s="41"/>
    </row>
    <row r="282" spans="15:15" x14ac:dyDescent="0.25">
      <c r="O282" s="41"/>
    </row>
    <row r="283" spans="15:15" x14ac:dyDescent="0.25">
      <c r="O283" s="41"/>
    </row>
    <row r="284" spans="15:15" x14ac:dyDescent="0.25">
      <c r="O284" s="41"/>
    </row>
    <row r="285" spans="15:15" x14ac:dyDescent="0.25">
      <c r="O285" s="41"/>
    </row>
    <row r="286" spans="15:15" x14ac:dyDescent="0.25">
      <c r="O286" s="41"/>
    </row>
    <row r="287" spans="15:15" x14ac:dyDescent="0.25">
      <c r="O287" s="41"/>
    </row>
    <row r="288" spans="15:15" x14ac:dyDescent="0.25">
      <c r="O288" s="41"/>
    </row>
    <row r="289" spans="15:15" x14ac:dyDescent="0.25">
      <c r="O289" s="41"/>
    </row>
    <row r="290" spans="15:15" x14ac:dyDescent="0.25">
      <c r="O290" s="41"/>
    </row>
    <row r="291" spans="15:15" x14ac:dyDescent="0.25">
      <c r="O291" s="41"/>
    </row>
    <row r="292" spans="15:15" x14ac:dyDescent="0.25">
      <c r="O292" s="41"/>
    </row>
    <row r="293" spans="15:15" x14ac:dyDescent="0.25">
      <c r="O293" s="41"/>
    </row>
    <row r="294" spans="15:15" x14ac:dyDescent="0.25">
      <c r="O294" s="41"/>
    </row>
    <row r="295" spans="15:15" x14ac:dyDescent="0.25">
      <c r="O295" s="41"/>
    </row>
    <row r="296" spans="15:15" x14ac:dyDescent="0.25">
      <c r="O296" s="41"/>
    </row>
    <row r="297" spans="15:15" x14ac:dyDescent="0.25">
      <c r="O297" s="41"/>
    </row>
    <row r="298" spans="15:15" x14ac:dyDescent="0.25">
      <c r="O298" s="41"/>
    </row>
    <row r="299" spans="15:15" x14ac:dyDescent="0.25">
      <c r="O299" s="41"/>
    </row>
    <row r="300" spans="15:15" x14ac:dyDescent="0.25">
      <c r="O300" s="41"/>
    </row>
    <row r="301" spans="15:15" x14ac:dyDescent="0.25">
      <c r="O301" s="41"/>
    </row>
    <row r="302" spans="15:15" x14ac:dyDescent="0.25">
      <c r="O302" s="41"/>
    </row>
    <row r="303" spans="15:15" x14ac:dyDescent="0.25">
      <c r="O303" s="41"/>
    </row>
    <row r="304" spans="15:15" x14ac:dyDescent="0.25">
      <c r="O304" s="41"/>
    </row>
    <row r="305" spans="15:15" x14ac:dyDescent="0.25">
      <c r="O305" s="41"/>
    </row>
    <row r="306" spans="15:15" x14ac:dyDescent="0.25">
      <c r="O306" s="41"/>
    </row>
    <row r="307" spans="15:15" x14ac:dyDescent="0.25">
      <c r="O307" s="41"/>
    </row>
    <row r="308" spans="15:15" x14ac:dyDescent="0.25">
      <c r="O308" s="41"/>
    </row>
    <row r="309" spans="15:15" x14ac:dyDescent="0.25">
      <c r="O309" s="41"/>
    </row>
    <row r="310" spans="15:15" x14ac:dyDescent="0.25">
      <c r="O310" s="41"/>
    </row>
    <row r="311" spans="15:15" x14ac:dyDescent="0.25">
      <c r="O311" s="41"/>
    </row>
    <row r="312" spans="15:15" x14ac:dyDescent="0.25">
      <c r="O312" s="41"/>
    </row>
    <row r="313" spans="15:15" x14ac:dyDescent="0.25">
      <c r="O313" s="41"/>
    </row>
    <row r="314" spans="15:15" x14ac:dyDescent="0.25">
      <c r="O314" s="41"/>
    </row>
    <row r="315" spans="15:15" x14ac:dyDescent="0.25">
      <c r="O315" s="41"/>
    </row>
    <row r="316" spans="15:15" x14ac:dyDescent="0.25">
      <c r="O316" s="41"/>
    </row>
    <row r="317" spans="15:15" x14ac:dyDescent="0.25">
      <c r="O317" s="41"/>
    </row>
    <row r="318" spans="15:15" x14ac:dyDescent="0.25">
      <c r="O318" s="41"/>
    </row>
    <row r="319" spans="15:15" x14ac:dyDescent="0.25">
      <c r="O319" s="41"/>
    </row>
    <row r="320" spans="15:15" x14ac:dyDescent="0.25">
      <c r="O320" s="41"/>
    </row>
    <row r="321" spans="15:15" x14ac:dyDescent="0.25">
      <c r="O321" s="41"/>
    </row>
    <row r="322" spans="15:15" x14ac:dyDescent="0.25">
      <c r="O322" s="41"/>
    </row>
    <row r="323" spans="15:15" x14ac:dyDescent="0.25">
      <c r="O323" s="41"/>
    </row>
    <row r="324" spans="15:15" x14ac:dyDescent="0.25">
      <c r="O324" s="41"/>
    </row>
    <row r="325" spans="15:15" x14ac:dyDescent="0.25">
      <c r="O325" s="41"/>
    </row>
    <row r="326" spans="15:15" x14ac:dyDescent="0.25">
      <c r="O326" s="41"/>
    </row>
    <row r="327" spans="15:15" x14ac:dyDescent="0.25">
      <c r="O327" s="41"/>
    </row>
    <row r="328" spans="15:15" x14ac:dyDescent="0.25">
      <c r="O328" s="41"/>
    </row>
    <row r="329" spans="15:15" x14ac:dyDescent="0.25">
      <c r="O329" s="41"/>
    </row>
    <row r="330" spans="15:15" x14ac:dyDescent="0.25">
      <c r="O330" s="41"/>
    </row>
    <row r="331" spans="15:15" x14ac:dyDescent="0.25">
      <c r="O331" s="41"/>
    </row>
    <row r="332" spans="15:15" x14ac:dyDescent="0.25">
      <c r="O332" s="41"/>
    </row>
    <row r="333" spans="15:15" x14ac:dyDescent="0.25">
      <c r="O333" s="41"/>
    </row>
    <row r="334" spans="15:15" x14ac:dyDescent="0.25">
      <c r="O334" s="41"/>
    </row>
    <row r="335" spans="15:15" x14ac:dyDescent="0.25">
      <c r="O335" s="41"/>
    </row>
    <row r="336" spans="15:15" x14ac:dyDescent="0.25">
      <c r="O336" s="41"/>
    </row>
    <row r="337" spans="15:15" x14ac:dyDescent="0.25">
      <c r="O337" s="41"/>
    </row>
    <row r="338" spans="15:15" x14ac:dyDescent="0.25">
      <c r="O338" s="41"/>
    </row>
    <row r="339" spans="15:15" x14ac:dyDescent="0.25">
      <c r="O339" s="41"/>
    </row>
    <row r="340" spans="15:15" x14ac:dyDescent="0.25">
      <c r="O340" s="41"/>
    </row>
    <row r="341" spans="15:15" x14ac:dyDescent="0.25">
      <c r="O341" s="41"/>
    </row>
    <row r="342" spans="15:15" x14ac:dyDescent="0.25">
      <c r="O342" s="41"/>
    </row>
    <row r="343" spans="15:15" x14ac:dyDescent="0.25">
      <c r="O343" s="41"/>
    </row>
    <row r="344" spans="15:15" x14ac:dyDescent="0.25">
      <c r="O344" s="41"/>
    </row>
    <row r="345" spans="15:15" x14ac:dyDescent="0.25">
      <c r="O345" s="41"/>
    </row>
    <row r="346" spans="15:15" x14ac:dyDescent="0.25">
      <c r="O346" s="41"/>
    </row>
    <row r="347" spans="15:15" x14ac:dyDescent="0.25">
      <c r="O347" s="41"/>
    </row>
    <row r="348" spans="15:15" x14ac:dyDescent="0.25">
      <c r="O348" s="41"/>
    </row>
    <row r="349" spans="15:15" x14ac:dyDescent="0.25">
      <c r="O349" s="41"/>
    </row>
    <row r="350" spans="15:15" x14ac:dyDescent="0.25">
      <c r="O350" s="41"/>
    </row>
    <row r="351" spans="15:15" x14ac:dyDescent="0.25">
      <c r="O351" s="41"/>
    </row>
    <row r="352" spans="15:15" x14ac:dyDescent="0.25">
      <c r="O352" s="41"/>
    </row>
    <row r="353" spans="15:15" x14ac:dyDescent="0.25">
      <c r="O353" s="41"/>
    </row>
    <row r="354" spans="15:15" x14ac:dyDescent="0.25">
      <c r="O354" s="41"/>
    </row>
    <row r="355" spans="15:15" x14ac:dyDescent="0.25">
      <c r="O355" s="41"/>
    </row>
    <row r="356" spans="15:15" x14ac:dyDescent="0.25">
      <c r="O356" s="41"/>
    </row>
    <row r="357" spans="15:15" x14ac:dyDescent="0.25">
      <c r="O357" s="41"/>
    </row>
    <row r="358" spans="15:15" x14ac:dyDescent="0.25">
      <c r="O358" s="41"/>
    </row>
    <row r="359" spans="15:15" x14ac:dyDescent="0.25">
      <c r="O359" s="41"/>
    </row>
    <row r="360" spans="15:15" x14ac:dyDescent="0.25">
      <c r="O360" s="41"/>
    </row>
    <row r="361" spans="15:15" x14ac:dyDescent="0.25">
      <c r="O361" s="41"/>
    </row>
    <row r="362" spans="15:15" x14ac:dyDescent="0.25">
      <c r="O362" s="41"/>
    </row>
    <row r="363" spans="15:15" x14ac:dyDescent="0.25">
      <c r="O363" s="41"/>
    </row>
    <row r="364" spans="15:15" x14ac:dyDescent="0.25">
      <c r="O364" s="41"/>
    </row>
    <row r="365" spans="15:15" x14ac:dyDescent="0.25">
      <c r="O365" s="41"/>
    </row>
    <row r="366" spans="15:15" x14ac:dyDescent="0.25">
      <c r="O366" s="41"/>
    </row>
    <row r="367" spans="15:15" x14ac:dyDescent="0.25">
      <c r="O367" s="41"/>
    </row>
    <row r="368" spans="15:15" x14ac:dyDescent="0.25">
      <c r="O368" s="41"/>
    </row>
    <row r="369" spans="15:15" x14ac:dyDescent="0.25">
      <c r="O369" s="41"/>
    </row>
    <row r="370" spans="15:15" x14ac:dyDescent="0.25">
      <c r="O370" s="41"/>
    </row>
    <row r="371" spans="15:15" x14ac:dyDescent="0.25">
      <c r="O371" s="41"/>
    </row>
    <row r="372" spans="15:15" x14ac:dyDescent="0.25">
      <c r="O372" s="41"/>
    </row>
    <row r="373" spans="15:15" x14ac:dyDescent="0.25">
      <c r="O373" s="41"/>
    </row>
    <row r="374" spans="15:15" x14ac:dyDescent="0.25">
      <c r="O374" s="41"/>
    </row>
    <row r="375" spans="15:15" x14ac:dyDescent="0.25">
      <c r="O375" s="41"/>
    </row>
    <row r="376" spans="15:15" x14ac:dyDescent="0.25">
      <c r="O376" s="41"/>
    </row>
    <row r="377" spans="15:15" x14ac:dyDescent="0.25">
      <c r="O377" s="41"/>
    </row>
    <row r="378" spans="15:15" x14ac:dyDescent="0.25">
      <c r="O378" s="41"/>
    </row>
    <row r="379" spans="15:15" x14ac:dyDescent="0.25">
      <c r="O379" s="41"/>
    </row>
    <row r="380" spans="15:15" x14ac:dyDescent="0.25">
      <c r="O380" s="41"/>
    </row>
    <row r="381" spans="15:15" x14ac:dyDescent="0.25">
      <c r="O381" s="41"/>
    </row>
    <row r="382" spans="15:15" x14ac:dyDescent="0.25">
      <c r="O382" s="41"/>
    </row>
    <row r="383" spans="15:15" x14ac:dyDescent="0.25">
      <c r="O383" s="41"/>
    </row>
    <row r="384" spans="15:15" x14ac:dyDescent="0.25">
      <c r="O384" s="41"/>
    </row>
    <row r="385" spans="15:15" x14ac:dyDescent="0.25">
      <c r="O385" s="41"/>
    </row>
    <row r="386" spans="15:15" x14ac:dyDescent="0.25">
      <c r="O386" s="41"/>
    </row>
    <row r="387" spans="15:15" x14ac:dyDescent="0.25">
      <c r="O387" s="41"/>
    </row>
    <row r="388" spans="15:15" x14ac:dyDescent="0.25">
      <c r="O388" s="41"/>
    </row>
    <row r="389" spans="15:15" x14ac:dyDescent="0.25">
      <c r="O389" s="41"/>
    </row>
    <row r="390" spans="15:15" x14ac:dyDescent="0.25">
      <c r="O390" s="41"/>
    </row>
    <row r="391" spans="15:15" x14ac:dyDescent="0.25">
      <c r="O391" s="41"/>
    </row>
    <row r="392" spans="15:15" x14ac:dyDescent="0.25">
      <c r="O392" s="41"/>
    </row>
    <row r="393" spans="15:15" x14ac:dyDescent="0.25">
      <c r="O393" s="41"/>
    </row>
    <row r="394" spans="15:15" x14ac:dyDescent="0.25">
      <c r="O394" s="41"/>
    </row>
    <row r="395" spans="15:15" x14ac:dyDescent="0.25">
      <c r="O395" s="41"/>
    </row>
    <row r="396" spans="15:15" x14ac:dyDescent="0.25">
      <c r="O396" s="41"/>
    </row>
    <row r="397" spans="15:15" x14ac:dyDescent="0.25">
      <c r="O397" s="41"/>
    </row>
  </sheetData>
  <mergeCells count="2">
    <mergeCell ref="D13:D14"/>
    <mergeCell ref="C13:C14"/>
  </mergeCells>
  <conditionalFormatting sqref="V3:X1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customProperties>
    <customPr name="REFI_OFFICE_FUNCTION_DATA" r:id="rId2"/>
  </customProperties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xr2:uid="{10A8AB33-60E5-4DA7-9D93-1F82034018F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EUR!F3:T3</xm:f>
              <xm:sqref>U3</xm:sqref>
            </x14:sparkline>
            <x14:sparkline>
              <xm:f>EUR!F4:T4</xm:f>
              <xm:sqref>U4</xm:sqref>
            </x14:sparkline>
            <x14:sparkline>
              <xm:f>EUR!F5:T5</xm:f>
              <xm:sqref>U5</xm:sqref>
            </x14:sparkline>
            <x14:sparkline>
              <xm:f>EUR!F6:T6</xm:f>
              <xm:sqref>U6</xm:sqref>
            </x14:sparkline>
            <x14:sparkline>
              <xm:f>EUR!F7:T7</xm:f>
              <xm:sqref>U7</xm:sqref>
            </x14:sparkline>
            <x14:sparkline>
              <xm:f>EUR!F8:T8</xm:f>
              <xm:sqref>U8</xm:sqref>
            </x14:sparkline>
            <x14:sparkline>
              <xm:f>EUR!F9:T9</xm:f>
              <xm:sqref>U9</xm:sqref>
            </x14:sparkline>
            <x14:sparkline>
              <xm:f>EUR!F10:T10</xm:f>
              <xm:sqref>U10</xm:sqref>
            </x14:sparkline>
            <x14:sparkline>
              <xm:f>EUR!F11:T11</xm:f>
              <xm:sqref>U11</xm:sqref>
            </x14:sparkline>
            <x14:sparkline>
              <xm:f>EUR!F12:T12</xm:f>
              <xm:sqref>U12</xm:sqref>
            </x14:sparkline>
          </x14:sparklines>
        </x14:sparklineGroup>
      </x14:sparklineGroup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1BC87-D7FA-4E65-963D-A2C5E83AF9D4}">
  <sheetPr codeName="Feuil5"/>
  <dimension ref="B1:X397"/>
  <sheetViews>
    <sheetView zoomScale="88" workbookViewId="0">
      <selection activeCell="T3" sqref="T3"/>
    </sheetView>
  </sheetViews>
  <sheetFormatPr defaultColWidth="10.85546875" defaultRowHeight="15" x14ac:dyDescent="0.25"/>
  <cols>
    <col min="1" max="1" width="5.140625" style="11" customWidth="1"/>
    <col min="2" max="2" width="19.5703125" style="11" bestFit="1" customWidth="1"/>
    <col min="3" max="3" width="35.7109375" style="11" bestFit="1" customWidth="1"/>
    <col min="4" max="4" width="8.140625" style="11" bestFit="1" customWidth="1"/>
    <col min="5" max="5" width="7.42578125" style="11" bestFit="1" customWidth="1"/>
    <col min="6" max="14" width="11.85546875" style="11" bestFit="1" customWidth="1"/>
    <col min="15" max="20" width="10.7109375" style="11" bestFit="1" customWidth="1"/>
    <col min="21" max="21" width="9.5703125" style="11" bestFit="1" customWidth="1"/>
    <col min="22" max="22" width="12.28515625" style="11" customWidth="1"/>
    <col min="23" max="23" width="11.5703125" style="11" customWidth="1"/>
    <col min="24" max="24" width="13.7109375" style="11" customWidth="1"/>
    <col min="25" max="16384" width="10.85546875" style="11"/>
  </cols>
  <sheetData>
    <row r="1" spans="2:24" ht="15.75" thickBot="1" x14ac:dyDescent="0.3"/>
    <row r="2" spans="2:24" ht="29.1" customHeight="1" thickBot="1" x14ac:dyDescent="0.3">
      <c r="B2" s="57" t="s">
        <v>108</v>
      </c>
      <c r="C2" s="58" t="str">
        <f>_xll.DSGRID("JPIRPR1, JPIRPR2, JPIRPR3, JPIRPR4, JPIRPR5, JPIRPR6, JPIRPR7, JPIRPR8, JPIRPR9, JPIRP10","X","-15D","TIMEADJ","D","CustomHeader=true;CustHeaderDatatypes=GEOGN;RowHeader=true;ColHeader=true;Transpose=true;Code=true;DispSeriesDescription=true;YearlyTSFormat=false;QuarterlyTSFormat=false;MonthlyTSFormat=false;AutoResize=true")</f>
        <v>Name</v>
      </c>
      <c r="D2" s="29" t="s">
        <v>57</v>
      </c>
      <c r="E2" s="78" t="s">
        <v>58</v>
      </c>
      <c r="F2" s="30">
        <v>45586</v>
      </c>
      <c r="G2" s="30">
        <v>45587</v>
      </c>
      <c r="H2" s="30">
        <v>45588</v>
      </c>
      <c r="I2" s="30">
        <v>45589</v>
      </c>
      <c r="J2" s="30">
        <v>45590</v>
      </c>
      <c r="K2" s="30">
        <v>45593</v>
      </c>
      <c r="L2" s="30">
        <v>45594</v>
      </c>
      <c r="M2" s="30">
        <v>45595</v>
      </c>
      <c r="N2" s="30">
        <v>45596</v>
      </c>
      <c r="O2" s="30">
        <v>45597</v>
      </c>
      <c r="P2" s="30">
        <v>45600</v>
      </c>
      <c r="Q2" s="30">
        <v>45601</v>
      </c>
      <c r="R2" s="30">
        <v>45602</v>
      </c>
      <c r="S2" s="30">
        <v>45603</v>
      </c>
      <c r="T2" s="30">
        <v>45604</v>
      </c>
      <c r="U2" s="31" t="s">
        <v>109</v>
      </c>
      <c r="V2" s="7" t="s">
        <v>95</v>
      </c>
      <c r="W2" s="8" t="s">
        <v>96</v>
      </c>
      <c r="X2" s="9" t="s">
        <v>97</v>
      </c>
    </row>
    <row r="3" spans="2:24" ht="36.950000000000003" customHeight="1" x14ac:dyDescent="0.25">
      <c r="B3" s="51" t="s">
        <v>110</v>
      </c>
      <c r="C3" s="59" t="s">
        <v>65</v>
      </c>
      <c r="D3" s="32" t="s">
        <v>3</v>
      </c>
      <c r="E3" s="32" t="s">
        <v>66</v>
      </c>
      <c r="F3" s="33">
        <v>0.2341</v>
      </c>
      <c r="G3" s="33">
        <v>0.23430000000000001</v>
      </c>
      <c r="H3" s="33">
        <v>0.2422</v>
      </c>
      <c r="I3" s="33">
        <v>0.24299999999999999</v>
      </c>
      <c r="J3" s="33">
        <v>0.24279999999999999</v>
      </c>
      <c r="K3" s="33">
        <v>0.2412</v>
      </c>
      <c r="L3" s="33">
        <v>0.24</v>
      </c>
      <c r="M3" s="33">
        <v>0.23710000000000001</v>
      </c>
      <c r="N3" s="33">
        <v>0.22700000000000001</v>
      </c>
      <c r="O3" s="33">
        <v>0.31130000000000002</v>
      </c>
      <c r="P3" s="33">
        <v>0.31259999999999999</v>
      </c>
      <c r="Q3" s="33">
        <v>0.31169999999999998</v>
      </c>
      <c r="R3" s="33">
        <v>0.33050000000000002</v>
      </c>
      <c r="S3" s="33">
        <v>0.33879999999999999</v>
      </c>
      <c r="T3" s="33">
        <v>0.33789999999999998</v>
      </c>
      <c r="U3" s="34"/>
      <c r="V3" s="24">
        <f>(T3-S3)/S3</f>
        <v>-2.6564344746163281E-3</v>
      </c>
      <c r="W3" s="22">
        <f>(T3-M3)/M3</f>
        <v>0.42513707296499353</v>
      </c>
      <c r="X3" s="23">
        <f>(T3-F3)/F3</f>
        <v>0.4434002563007261</v>
      </c>
    </row>
    <row r="4" spans="2:24" ht="36.950000000000003" customHeight="1" x14ac:dyDescent="0.25">
      <c r="B4" s="52" t="s">
        <v>111</v>
      </c>
      <c r="C4" s="55" t="s">
        <v>135</v>
      </c>
      <c r="D4" s="35" t="s">
        <v>11</v>
      </c>
      <c r="E4" s="35" t="s">
        <v>66</v>
      </c>
      <c r="F4" s="36">
        <v>0.29680000000000001</v>
      </c>
      <c r="G4" s="36">
        <v>0.29649999999999999</v>
      </c>
      <c r="H4" s="36">
        <v>0.29580000000000001</v>
      </c>
      <c r="I4" s="36">
        <v>0.29199999999999998</v>
      </c>
      <c r="J4" s="36">
        <v>0.29020000000000001</v>
      </c>
      <c r="K4" s="36">
        <v>0.29020000000000001</v>
      </c>
      <c r="L4" s="36">
        <v>0.29630000000000001</v>
      </c>
      <c r="M4" s="36">
        <v>0.29580000000000001</v>
      </c>
      <c r="N4" s="36">
        <v>0.31109999999999999</v>
      </c>
      <c r="O4" s="36">
        <v>0.39479999999999998</v>
      </c>
      <c r="P4" s="36">
        <v>0.39539999999999997</v>
      </c>
      <c r="Q4" s="36">
        <v>0.3846</v>
      </c>
      <c r="R4" s="36">
        <v>0.40400000000000003</v>
      </c>
      <c r="S4" s="36">
        <v>0.42059999999999997</v>
      </c>
      <c r="T4" s="36">
        <v>0.41770000000000002</v>
      </c>
      <c r="U4" s="37"/>
      <c r="V4" s="24">
        <f t="shared" ref="V4:V12" si="0">(T4-S4)/S4</f>
        <v>-6.8949120304326161E-3</v>
      </c>
      <c r="W4" s="22">
        <f t="shared" ref="W4:W12" si="1">(T4-M4)/M4</f>
        <v>0.41210277214334012</v>
      </c>
      <c r="X4" s="23">
        <f t="shared" ref="X4:X12" si="2">(T4-F4)/F4</f>
        <v>0.40734501347708896</v>
      </c>
    </row>
    <row r="5" spans="2:24" ht="36.950000000000003" customHeight="1" x14ac:dyDescent="0.25">
      <c r="B5" s="52" t="s">
        <v>113</v>
      </c>
      <c r="C5" s="55" t="s">
        <v>136</v>
      </c>
      <c r="D5" s="35" t="s">
        <v>19</v>
      </c>
      <c r="E5" s="35" t="s">
        <v>66</v>
      </c>
      <c r="F5" s="36">
        <v>0.37859999999999999</v>
      </c>
      <c r="G5" s="36">
        <v>0.3856</v>
      </c>
      <c r="H5" s="36">
        <v>0.39129999999999998</v>
      </c>
      <c r="I5" s="36">
        <v>0.38519999999999999</v>
      </c>
      <c r="J5" s="36">
        <v>0.37980000000000003</v>
      </c>
      <c r="K5" s="36">
        <v>0.37719999999999998</v>
      </c>
      <c r="L5" s="36">
        <v>0.37790000000000001</v>
      </c>
      <c r="M5" s="36">
        <v>0.38269999999999998</v>
      </c>
      <c r="N5" s="36">
        <v>0.38969999999999999</v>
      </c>
      <c r="O5" s="36">
        <v>0.433</v>
      </c>
      <c r="P5" s="36">
        <v>0.43070000000000003</v>
      </c>
      <c r="Q5" s="36">
        <v>0.42199999999999999</v>
      </c>
      <c r="R5" s="36">
        <v>0.4587</v>
      </c>
      <c r="S5" s="36">
        <v>0.46850000000000003</v>
      </c>
      <c r="T5" s="36">
        <v>0.46200000000000002</v>
      </c>
      <c r="U5" s="37"/>
      <c r="V5" s="24">
        <f t="shared" si="0"/>
        <v>-1.3874066168623278E-2</v>
      </c>
      <c r="W5" s="22">
        <f t="shared" si="1"/>
        <v>0.20721191533838526</v>
      </c>
      <c r="X5" s="23">
        <f t="shared" si="2"/>
        <v>0.22028526148969899</v>
      </c>
    </row>
    <row r="6" spans="2:24" ht="36.950000000000003" customHeight="1" x14ac:dyDescent="0.25">
      <c r="B6" s="52" t="s">
        <v>115</v>
      </c>
      <c r="C6" s="55" t="s">
        <v>137</v>
      </c>
      <c r="D6" s="35" t="s">
        <v>27</v>
      </c>
      <c r="E6" s="35" t="s">
        <v>66</v>
      </c>
      <c r="F6" s="36">
        <v>0.4219</v>
      </c>
      <c r="G6" s="36">
        <v>0.42749999999999999</v>
      </c>
      <c r="H6" s="36">
        <v>0.42309999999999998</v>
      </c>
      <c r="I6" s="36">
        <v>0.4209</v>
      </c>
      <c r="J6" s="36">
        <v>0.41539999999999999</v>
      </c>
      <c r="K6" s="36">
        <v>0.41220000000000001</v>
      </c>
      <c r="L6" s="36">
        <v>0.41810000000000003</v>
      </c>
      <c r="M6" s="36">
        <v>0.4239</v>
      </c>
      <c r="N6" s="36">
        <v>0.42270000000000002</v>
      </c>
      <c r="O6" s="36">
        <v>0.47799999999999998</v>
      </c>
      <c r="P6" s="36">
        <v>0.47889999999999999</v>
      </c>
      <c r="Q6" s="36">
        <v>0.45979999999999999</v>
      </c>
      <c r="R6" s="36">
        <v>0.49209999999999998</v>
      </c>
      <c r="S6" s="36">
        <v>0.50890000000000002</v>
      </c>
      <c r="T6" s="36">
        <v>0.50019999999999998</v>
      </c>
      <c r="U6" s="37"/>
      <c r="V6" s="24">
        <f t="shared" si="0"/>
        <v>-1.7095696600510985E-2</v>
      </c>
      <c r="W6" s="22">
        <f t="shared" si="1"/>
        <v>0.17999528190610989</v>
      </c>
      <c r="X6" s="23">
        <f t="shared" si="2"/>
        <v>0.18558900213320687</v>
      </c>
    </row>
    <row r="7" spans="2:24" ht="36.950000000000003" customHeight="1" x14ac:dyDescent="0.25">
      <c r="B7" s="52" t="s">
        <v>117</v>
      </c>
      <c r="C7" s="55" t="s">
        <v>78</v>
      </c>
      <c r="D7" s="35" t="s">
        <v>35</v>
      </c>
      <c r="E7" s="35" t="s">
        <v>66</v>
      </c>
      <c r="F7" s="36">
        <v>0.44950000000000001</v>
      </c>
      <c r="G7" s="36">
        <v>0.45590000000000003</v>
      </c>
      <c r="H7" s="36">
        <v>0.45960000000000001</v>
      </c>
      <c r="I7" s="36">
        <v>0.45810000000000001</v>
      </c>
      <c r="J7" s="36">
        <v>0.45529999999999998</v>
      </c>
      <c r="K7" s="36">
        <v>0.45450000000000002</v>
      </c>
      <c r="L7" s="36">
        <v>0.45950000000000002</v>
      </c>
      <c r="M7" s="36">
        <v>0.45240000000000002</v>
      </c>
      <c r="N7" s="36">
        <v>0.47060000000000002</v>
      </c>
      <c r="O7" s="36">
        <v>0.50539999999999996</v>
      </c>
      <c r="P7" s="36">
        <v>0.50070000000000003</v>
      </c>
      <c r="Q7" s="36">
        <v>0.4879</v>
      </c>
      <c r="R7" s="36">
        <v>0.53349999999999997</v>
      </c>
      <c r="S7" s="36">
        <v>0.54490000000000005</v>
      </c>
      <c r="T7" s="36">
        <v>0.5413</v>
      </c>
      <c r="U7" s="37"/>
      <c r="V7" s="24">
        <f t="shared" si="0"/>
        <v>-6.6067168287760091E-3</v>
      </c>
      <c r="W7" s="22">
        <f t="shared" si="1"/>
        <v>0.19650751547303266</v>
      </c>
      <c r="X7" s="23">
        <f t="shared" si="2"/>
        <v>0.20422691879866517</v>
      </c>
    </row>
    <row r="8" spans="2:24" ht="36.950000000000003" customHeight="1" x14ac:dyDescent="0.25">
      <c r="B8" s="52" t="s">
        <v>118</v>
      </c>
      <c r="C8" s="55" t="s">
        <v>138</v>
      </c>
      <c r="D8" s="35" t="s">
        <v>43</v>
      </c>
      <c r="E8" s="35" t="s">
        <v>66</v>
      </c>
      <c r="F8" s="36">
        <v>0.46820000000000001</v>
      </c>
      <c r="G8" s="36">
        <v>0.48359999999999997</v>
      </c>
      <c r="H8" s="36">
        <v>0.48620000000000002</v>
      </c>
      <c r="I8" s="36">
        <v>0.48130000000000001</v>
      </c>
      <c r="J8" s="36">
        <v>0.4793</v>
      </c>
      <c r="K8" s="36">
        <v>0.47789999999999999</v>
      </c>
      <c r="L8" s="36">
        <v>0.48170000000000002</v>
      </c>
      <c r="M8" s="36">
        <v>0.47920000000000001</v>
      </c>
      <c r="N8" s="36">
        <v>0.49530000000000002</v>
      </c>
      <c r="O8" s="36">
        <v>0.5343</v>
      </c>
      <c r="P8" s="36">
        <v>0.53359999999999996</v>
      </c>
      <c r="Q8" s="36">
        <v>0.51129999999999998</v>
      </c>
      <c r="R8" s="36">
        <v>0.56259999999999999</v>
      </c>
      <c r="S8" s="36">
        <v>0.57169999999999999</v>
      </c>
      <c r="T8" s="36">
        <v>0.5806</v>
      </c>
      <c r="U8" s="37"/>
      <c r="V8" s="24">
        <f t="shared" si="0"/>
        <v>1.5567605387440999E-2</v>
      </c>
      <c r="W8" s="22">
        <f t="shared" si="1"/>
        <v>0.21160267111853084</v>
      </c>
      <c r="X8" s="23">
        <f t="shared" si="2"/>
        <v>0.24006834686031611</v>
      </c>
    </row>
    <row r="9" spans="2:24" ht="36.950000000000003" customHeight="1" x14ac:dyDescent="0.25">
      <c r="B9" s="52" t="s">
        <v>119</v>
      </c>
      <c r="C9" s="55" t="s">
        <v>139</v>
      </c>
      <c r="D9" s="35" t="s">
        <v>51</v>
      </c>
      <c r="E9" s="35" t="s">
        <v>66</v>
      </c>
      <c r="F9" s="36">
        <v>0.48480000000000001</v>
      </c>
      <c r="G9" s="36">
        <v>0.50229999999999997</v>
      </c>
      <c r="H9" s="36">
        <v>0.51100000000000001</v>
      </c>
      <c r="I9" s="36">
        <v>0.50760000000000005</v>
      </c>
      <c r="J9" s="36">
        <v>0.50139999999999996</v>
      </c>
      <c r="K9" s="36">
        <v>0.50260000000000005</v>
      </c>
      <c r="L9" s="36">
        <v>0.51749999999999996</v>
      </c>
      <c r="M9" s="36">
        <v>0.50519999999999998</v>
      </c>
      <c r="N9" s="36">
        <v>0.52610000000000001</v>
      </c>
      <c r="O9" s="36">
        <v>0.55230000000000001</v>
      </c>
      <c r="P9" s="36">
        <v>0.55589999999999995</v>
      </c>
      <c r="Q9" s="36">
        <v>0.52339999999999998</v>
      </c>
      <c r="R9" s="36">
        <v>0.59179999999999999</v>
      </c>
      <c r="S9" s="36">
        <v>0.59709999999999996</v>
      </c>
      <c r="T9" s="36">
        <v>0.60450000000000004</v>
      </c>
      <c r="U9" s="37"/>
      <c r="V9" s="24">
        <f t="shared" si="0"/>
        <v>1.2393233964160231E-2</v>
      </c>
      <c r="W9" s="22">
        <f t="shared" si="1"/>
        <v>0.19655581947743481</v>
      </c>
      <c r="X9" s="23">
        <f t="shared" si="2"/>
        <v>0.24690594059405946</v>
      </c>
    </row>
    <row r="10" spans="2:24" ht="36.950000000000003" customHeight="1" x14ac:dyDescent="0.25">
      <c r="B10" s="52" t="s">
        <v>120</v>
      </c>
      <c r="C10" s="55" t="s">
        <v>140</v>
      </c>
      <c r="D10" s="35" t="s">
        <v>141</v>
      </c>
      <c r="E10" s="35" t="s">
        <v>66</v>
      </c>
      <c r="F10" s="36">
        <v>0.5181</v>
      </c>
      <c r="G10" s="36">
        <v>0.53029999999999999</v>
      </c>
      <c r="H10" s="36">
        <v>0.52939999999999998</v>
      </c>
      <c r="I10" s="36">
        <v>0.5252</v>
      </c>
      <c r="J10" s="36">
        <v>0.5222</v>
      </c>
      <c r="K10" s="36">
        <v>0.5131</v>
      </c>
      <c r="L10" s="36">
        <v>0.52710000000000001</v>
      </c>
      <c r="M10" s="36">
        <v>0.52759999999999996</v>
      </c>
      <c r="N10" s="36">
        <v>0.54079999999999995</v>
      </c>
      <c r="O10" s="36">
        <v>0.57030000000000003</v>
      </c>
      <c r="P10" s="36">
        <v>0.56899999999999995</v>
      </c>
      <c r="Q10" s="36">
        <v>0.54800000000000004</v>
      </c>
      <c r="R10" s="36">
        <v>0.59330000000000005</v>
      </c>
      <c r="S10" s="36">
        <v>0.6069</v>
      </c>
      <c r="T10" s="36">
        <v>0.61270000000000002</v>
      </c>
      <c r="U10" s="37"/>
      <c r="V10" s="24">
        <f t="shared" si="0"/>
        <v>9.5567638820234432E-3</v>
      </c>
      <c r="W10" s="22">
        <f t="shared" si="1"/>
        <v>0.16129643669446564</v>
      </c>
      <c r="X10" s="23">
        <f t="shared" si="2"/>
        <v>0.1825902335456476</v>
      </c>
    </row>
    <row r="11" spans="2:24" ht="36.950000000000003" customHeight="1" x14ac:dyDescent="0.25">
      <c r="B11" s="52" t="s">
        <v>121</v>
      </c>
      <c r="C11" s="55" t="s">
        <v>142</v>
      </c>
      <c r="D11" s="35" t="s">
        <v>143</v>
      </c>
      <c r="E11" s="35" t="s">
        <v>66</v>
      </c>
      <c r="F11" s="36">
        <v>0.53180000000000005</v>
      </c>
      <c r="G11" s="36">
        <v>0.54559999999999997</v>
      </c>
      <c r="H11" s="36">
        <v>0.54959999999999998</v>
      </c>
      <c r="I11" s="36">
        <v>0.54269999999999996</v>
      </c>
      <c r="J11" s="36">
        <v>0.53680000000000005</v>
      </c>
      <c r="K11" s="36">
        <v>0.54620000000000002</v>
      </c>
      <c r="L11" s="36">
        <v>0.55730000000000002</v>
      </c>
      <c r="M11" s="36">
        <v>0.54420000000000002</v>
      </c>
      <c r="N11" s="36">
        <v>0.56230000000000002</v>
      </c>
      <c r="O11" s="36">
        <v>0.59750000000000003</v>
      </c>
      <c r="P11" s="36">
        <v>0.59419999999999995</v>
      </c>
      <c r="Q11" s="36">
        <v>0.57650000000000001</v>
      </c>
      <c r="R11" s="36">
        <v>0.61439999999999995</v>
      </c>
      <c r="S11" s="36">
        <v>0.62549999999999994</v>
      </c>
      <c r="T11" s="36">
        <v>0.63600000000000001</v>
      </c>
      <c r="U11" s="37"/>
      <c r="V11" s="24">
        <f t="shared" si="0"/>
        <v>1.678657074340538E-2</v>
      </c>
      <c r="W11" s="22">
        <f t="shared" si="1"/>
        <v>0.16868798235942667</v>
      </c>
      <c r="X11" s="23">
        <f t="shared" si="2"/>
        <v>0.19593832267769828</v>
      </c>
    </row>
    <row r="12" spans="2:24" ht="36.950000000000003" customHeight="1" thickBot="1" x14ac:dyDescent="0.3">
      <c r="B12" s="53" t="s">
        <v>122</v>
      </c>
      <c r="C12" s="56" t="s">
        <v>144</v>
      </c>
      <c r="D12" s="38" t="s">
        <v>145</v>
      </c>
      <c r="E12" s="38" t="s">
        <v>66</v>
      </c>
      <c r="F12" s="39">
        <v>0.55069999999999997</v>
      </c>
      <c r="G12" s="39">
        <v>0.55069999999999997</v>
      </c>
      <c r="H12" s="39">
        <v>0.56850000000000001</v>
      </c>
      <c r="I12" s="39">
        <v>0.56059999999999999</v>
      </c>
      <c r="J12" s="39">
        <v>0.57110000000000005</v>
      </c>
      <c r="K12" s="39">
        <v>0.58040000000000003</v>
      </c>
      <c r="L12" s="39">
        <v>0.55679999999999996</v>
      </c>
      <c r="M12" s="39">
        <v>0.57179999999999997</v>
      </c>
      <c r="N12" s="39">
        <v>0.57609999999999995</v>
      </c>
      <c r="O12" s="39">
        <v>0.56850000000000001</v>
      </c>
      <c r="P12" s="39">
        <v>0.56189999999999996</v>
      </c>
      <c r="Q12" s="39">
        <v>0.57340000000000002</v>
      </c>
      <c r="R12" s="39">
        <v>0.58540000000000003</v>
      </c>
      <c r="S12" s="39">
        <v>0.56859999999999999</v>
      </c>
      <c r="T12" s="39">
        <v>0.58740000000000003</v>
      </c>
      <c r="U12" s="40"/>
      <c r="V12" s="25">
        <f t="shared" si="0"/>
        <v>3.306366514245522E-2</v>
      </c>
      <c r="W12" s="26">
        <f t="shared" si="1"/>
        <v>2.728226652675771E-2</v>
      </c>
      <c r="X12" s="27">
        <f t="shared" si="2"/>
        <v>6.6642455057200053E-2</v>
      </c>
    </row>
    <row r="13" spans="2:24" ht="36.950000000000003" customHeight="1" x14ac:dyDescent="0.25">
      <c r="C13" s="91" t="s">
        <v>123</v>
      </c>
      <c r="D13" s="91">
        <f>_xll.DSGRID("JPPRATE.","","-1Q","QTE","Q","RowHeader=false;ColHeader=false;DispSeriesDescription=false;YearlyTSFormat=false;QuarterlyTSFormat=false;MonthlyTSFormat=false")</f>
        <v>0.25</v>
      </c>
    </row>
    <row r="14" spans="2:24" ht="15.75" thickBot="1" x14ac:dyDescent="0.3">
      <c r="C14" s="92"/>
      <c r="D14" s="92"/>
    </row>
    <row r="21" spans="12:17" x14ac:dyDescent="0.25">
      <c r="M21" s="14"/>
      <c r="N21" s="14"/>
    </row>
    <row r="22" spans="12:17" x14ac:dyDescent="0.25">
      <c r="L22" s="14"/>
      <c r="O22" s="14"/>
    </row>
    <row r="28" spans="12:17" x14ac:dyDescent="0.25">
      <c r="P28" s="14"/>
      <c r="Q28" s="14"/>
    </row>
    <row r="29" spans="12:17" x14ac:dyDescent="0.25">
      <c r="O29" s="15"/>
    </row>
    <row r="30" spans="12:17" x14ac:dyDescent="0.25">
      <c r="O30" s="15"/>
    </row>
    <row r="31" spans="12:17" x14ac:dyDescent="0.25">
      <c r="O31" s="15"/>
    </row>
    <row r="32" spans="12:17" x14ac:dyDescent="0.25">
      <c r="O32" s="15"/>
    </row>
    <row r="33" spans="15:15" x14ac:dyDescent="0.25">
      <c r="O33" s="15"/>
    </row>
    <row r="34" spans="15:15" x14ac:dyDescent="0.25">
      <c r="O34" s="15"/>
    </row>
    <row r="35" spans="15:15" x14ac:dyDescent="0.25">
      <c r="O35" s="15"/>
    </row>
    <row r="36" spans="15:15" x14ac:dyDescent="0.25">
      <c r="O36" s="15"/>
    </row>
    <row r="37" spans="15:15" x14ac:dyDescent="0.25">
      <c r="O37" s="15"/>
    </row>
    <row r="38" spans="15:15" x14ac:dyDescent="0.25">
      <c r="O38" s="15"/>
    </row>
    <row r="39" spans="15:15" x14ac:dyDescent="0.25">
      <c r="O39" s="15"/>
    </row>
    <row r="40" spans="15:15" x14ac:dyDescent="0.25">
      <c r="O40" s="15"/>
    </row>
    <row r="41" spans="15:15" x14ac:dyDescent="0.25">
      <c r="O41" s="15"/>
    </row>
    <row r="42" spans="15:15" x14ac:dyDescent="0.25">
      <c r="O42" s="15"/>
    </row>
    <row r="43" spans="15:15" x14ac:dyDescent="0.25">
      <c r="O43" s="15"/>
    </row>
    <row r="44" spans="15:15" x14ac:dyDescent="0.25">
      <c r="O44" s="15"/>
    </row>
    <row r="45" spans="15:15" x14ac:dyDescent="0.25">
      <c r="O45" s="15"/>
    </row>
    <row r="46" spans="15:15" x14ac:dyDescent="0.25">
      <c r="O46" s="15"/>
    </row>
    <row r="47" spans="15:15" x14ac:dyDescent="0.25">
      <c r="O47" s="15"/>
    </row>
    <row r="48" spans="15:15" x14ac:dyDescent="0.25">
      <c r="O48" s="15"/>
    </row>
    <row r="49" spans="15:15" x14ac:dyDescent="0.25">
      <c r="O49" s="15"/>
    </row>
    <row r="50" spans="15:15" x14ac:dyDescent="0.25">
      <c r="O50" s="15"/>
    </row>
    <row r="51" spans="15:15" x14ac:dyDescent="0.25">
      <c r="O51" s="15"/>
    </row>
    <row r="52" spans="15:15" x14ac:dyDescent="0.25">
      <c r="O52" s="15"/>
    </row>
    <row r="53" spans="15:15" x14ac:dyDescent="0.25">
      <c r="O53" s="15"/>
    </row>
    <row r="54" spans="15:15" x14ac:dyDescent="0.25">
      <c r="O54" s="15"/>
    </row>
    <row r="55" spans="15:15" x14ac:dyDescent="0.25">
      <c r="O55" s="15"/>
    </row>
    <row r="56" spans="15:15" x14ac:dyDescent="0.25">
      <c r="O56" s="15"/>
    </row>
    <row r="57" spans="15:15" x14ac:dyDescent="0.25">
      <c r="O57" s="15"/>
    </row>
    <row r="58" spans="15:15" x14ac:dyDescent="0.25">
      <c r="O58" s="15"/>
    </row>
    <row r="59" spans="15:15" x14ac:dyDescent="0.25">
      <c r="O59" s="15"/>
    </row>
    <row r="60" spans="15:15" x14ac:dyDescent="0.25">
      <c r="O60" s="15"/>
    </row>
    <row r="61" spans="15:15" x14ac:dyDescent="0.25">
      <c r="O61" s="15"/>
    </row>
    <row r="62" spans="15:15" x14ac:dyDescent="0.25">
      <c r="O62" s="15"/>
    </row>
    <row r="63" spans="15:15" x14ac:dyDescent="0.25">
      <c r="O63" s="15"/>
    </row>
    <row r="64" spans="15:15" x14ac:dyDescent="0.25">
      <c r="O64" s="15"/>
    </row>
    <row r="65" spans="15:15" x14ac:dyDescent="0.25">
      <c r="O65" s="15"/>
    </row>
    <row r="66" spans="15:15" x14ac:dyDescent="0.25">
      <c r="O66" s="15"/>
    </row>
    <row r="67" spans="15:15" x14ac:dyDescent="0.25">
      <c r="O67" s="15"/>
    </row>
    <row r="68" spans="15:15" x14ac:dyDescent="0.25">
      <c r="O68" s="15"/>
    </row>
    <row r="69" spans="15:15" x14ac:dyDescent="0.25">
      <c r="O69" s="15"/>
    </row>
    <row r="70" spans="15:15" x14ac:dyDescent="0.25">
      <c r="O70" s="15"/>
    </row>
    <row r="71" spans="15:15" x14ac:dyDescent="0.25">
      <c r="O71" s="15"/>
    </row>
    <row r="72" spans="15:15" x14ac:dyDescent="0.25">
      <c r="O72" s="15"/>
    </row>
    <row r="73" spans="15:15" x14ac:dyDescent="0.25">
      <c r="O73" s="15"/>
    </row>
    <row r="74" spans="15:15" x14ac:dyDescent="0.25">
      <c r="O74" s="15"/>
    </row>
    <row r="75" spans="15:15" x14ac:dyDescent="0.25">
      <c r="O75" s="15"/>
    </row>
    <row r="76" spans="15:15" x14ac:dyDescent="0.25">
      <c r="O76" s="15"/>
    </row>
    <row r="77" spans="15:15" x14ac:dyDescent="0.25">
      <c r="O77" s="15"/>
    </row>
    <row r="78" spans="15:15" x14ac:dyDescent="0.25">
      <c r="O78" s="15"/>
    </row>
    <row r="79" spans="15:15" x14ac:dyDescent="0.25">
      <c r="O79" s="15"/>
    </row>
    <row r="80" spans="15:15" x14ac:dyDescent="0.25">
      <c r="O80" s="15"/>
    </row>
    <row r="81" spans="15:15" x14ac:dyDescent="0.25">
      <c r="O81" s="15"/>
    </row>
    <row r="82" spans="15:15" x14ac:dyDescent="0.25">
      <c r="O82" s="15"/>
    </row>
    <row r="83" spans="15:15" x14ac:dyDescent="0.25">
      <c r="O83" s="15"/>
    </row>
    <row r="84" spans="15:15" x14ac:dyDescent="0.25">
      <c r="O84" s="15"/>
    </row>
    <row r="85" spans="15:15" x14ac:dyDescent="0.25">
      <c r="O85" s="15"/>
    </row>
    <row r="86" spans="15:15" x14ac:dyDescent="0.25">
      <c r="O86" s="15"/>
    </row>
    <row r="87" spans="15:15" x14ac:dyDescent="0.25">
      <c r="O87" s="15"/>
    </row>
    <row r="88" spans="15:15" x14ac:dyDescent="0.25">
      <c r="O88" s="15"/>
    </row>
    <row r="89" spans="15:15" x14ac:dyDescent="0.25">
      <c r="O89" s="15"/>
    </row>
    <row r="90" spans="15:15" x14ac:dyDescent="0.25">
      <c r="O90" s="15"/>
    </row>
    <row r="91" spans="15:15" x14ac:dyDescent="0.25">
      <c r="O91" s="15"/>
    </row>
    <row r="92" spans="15:15" x14ac:dyDescent="0.25">
      <c r="O92" s="15"/>
    </row>
    <row r="93" spans="15:15" x14ac:dyDescent="0.25">
      <c r="O93" s="15"/>
    </row>
    <row r="94" spans="15:15" x14ac:dyDescent="0.25">
      <c r="O94" s="15"/>
    </row>
    <row r="95" spans="15:15" x14ac:dyDescent="0.25">
      <c r="O95" s="15"/>
    </row>
    <row r="96" spans="15:15" x14ac:dyDescent="0.25">
      <c r="O96" s="15"/>
    </row>
    <row r="97" spans="15:15" x14ac:dyDescent="0.25">
      <c r="O97" s="15"/>
    </row>
    <row r="98" spans="15:15" x14ac:dyDescent="0.25">
      <c r="O98" s="15"/>
    </row>
    <row r="99" spans="15:15" x14ac:dyDescent="0.25">
      <c r="O99" s="15"/>
    </row>
    <row r="100" spans="15:15" x14ac:dyDescent="0.25">
      <c r="O100" s="15"/>
    </row>
    <row r="101" spans="15:15" x14ac:dyDescent="0.25">
      <c r="O101" s="15"/>
    </row>
    <row r="102" spans="15:15" x14ac:dyDescent="0.25">
      <c r="O102" s="15"/>
    </row>
    <row r="103" spans="15:15" x14ac:dyDescent="0.25">
      <c r="O103" s="15"/>
    </row>
    <row r="104" spans="15:15" x14ac:dyDescent="0.25">
      <c r="O104" s="15"/>
    </row>
    <row r="105" spans="15:15" x14ac:dyDescent="0.25">
      <c r="O105" s="15"/>
    </row>
    <row r="106" spans="15:15" x14ac:dyDescent="0.25">
      <c r="O106" s="15"/>
    </row>
    <row r="107" spans="15:15" x14ac:dyDescent="0.25">
      <c r="O107" s="15"/>
    </row>
    <row r="108" spans="15:15" x14ac:dyDescent="0.25">
      <c r="O108" s="15"/>
    </row>
    <row r="109" spans="15:15" x14ac:dyDescent="0.25">
      <c r="O109" s="15"/>
    </row>
    <row r="110" spans="15:15" x14ac:dyDescent="0.25">
      <c r="O110" s="15"/>
    </row>
    <row r="111" spans="15:15" x14ac:dyDescent="0.25">
      <c r="O111" s="15"/>
    </row>
    <row r="112" spans="15:15" x14ac:dyDescent="0.25">
      <c r="O112" s="15"/>
    </row>
    <row r="113" spans="15:15" x14ac:dyDescent="0.25">
      <c r="O113" s="15"/>
    </row>
    <row r="114" spans="15:15" x14ac:dyDescent="0.25">
      <c r="O114" s="15"/>
    </row>
    <row r="115" spans="15:15" x14ac:dyDescent="0.25">
      <c r="O115" s="15"/>
    </row>
    <row r="116" spans="15:15" x14ac:dyDescent="0.25">
      <c r="O116" s="15"/>
    </row>
    <row r="117" spans="15:15" x14ac:dyDescent="0.25">
      <c r="O117" s="15"/>
    </row>
    <row r="118" spans="15:15" x14ac:dyDescent="0.25">
      <c r="O118" s="15"/>
    </row>
    <row r="119" spans="15:15" x14ac:dyDescent="0.25">
      <c r="O119" s="15"/>
    </row>
    <row r="120" spans="15:15" x14ac:dyDescent="0.25">
      <c r="O120" s="15"/>
    </row>
    <row r="121" spans="15:15" x14ac:dyDescent="0.25">
      <c r="O121" s="15"/>
    </row>
    <row r="122" spans="15:15" x14ac:dyDescent="0.25">
      <c r="O122" s="15"/>
    </row>
    <row r="123" spans="15:15" x14ac:dyDescent="0.25">
      <c r="O123" s="15"/>
    </row>
    <row r="124" spans="15:15" x14ac:dyDescent="0.25">
      <c r="O124" s="15"/>
    </row>
    <row r="125" spans="15:15" x14ac:dyDescent="0.25">
      <c r="O125" s="15"/>
    </row>
    <row r="126" spans="15:15" x14ac:dyDescent="0.25">
      <c r="O126" s="15"/>
    </row>
    <row r="127" spans="15:15" x14ac:dyDescent="0.25">
      <c r="O127" s="15"/>
    </row>
    <row r="128" spans="15:15" x14ac:dyDescent="0.25">
      <c r="O128" s="15"/>
    </row>
    <row r="129" spans="15:15" x14ac:dyDescent="0.25">
      <c r="O129" s="15"/>
    </row>
    <row r="130" spans="15:15" x14ac:dyDescent="0.25">
      <c r="O130" s="15"/>
    </row>
    <row r="131" spans="15:15" x14ac:dyDescent="0.25">
      <c r="O131" s="15"/>
    </row>
    <row r="132" spans="15:15" x14ac:dyDescent="0.25">
      <c r="O132" s="15"/>
    </row>
    <row r="133" spans="15:15" x14ac:dyDescent="0.25">
      <c r="O133" s="15"/>
    </row>
    <row r="134" spans="15:15" x14ac:dyDescent="0.25">
      <c r="O134" s="15"/>
    </row>
    <row r="135" spans="15:15" x14ac:dyDescent="0.25">
      <c r="O135" s="15"/>
    </row>
    <row r="136" spans="15:15" x14ac:dyDescent="0.25">
      <c r="O136" s="15"/>
    </row>
    <row r="137" spans="15:15" x14ac:dyDescent="0.25">
      <c r="O137" s="15"/>
    </row>
    <row r="138" spans="15:15" x14ac:dyDescent="0.25">
      <c r="O138" s="15"/>
    </row>
    <row r="139" spans="15:15" x14ac:dyDescent="0.25">
      <c r="O139" s="15"/>
    </row>
    <row r="140" spans="15:15" x14ac:dyDescent="0.25">
      <c r="O140" s="15"/>
    </row>
    <row r="141" spans="15:15" x14ac:dyDescent="0.25">
      <c r="O141" s="15"/>
    </row>
    <row r="142" spans="15:15" x14ac:dyDescent="0.25">
      <c r="O142" s="15"/>
    </row>
    <row r="143" spans="15:15" x14ac:dyDescent="0.25">
      <c r="O143" s="15"/>
    </row>
    <row r="144" spans="15:15" x14ac:dyDescent="0.25">
      <c r="O144" s="15"/>
    </row>
    <row r="145" spans="15:15" x14ac:dyDescent="0.25">
      <c r="O145" s="15"/>
    </row>
    <row r="146" spans="15:15" x14ac:dyDescent="0.25">
      <c r="O146" s="15"/>
    </row>
    <row r="147" spans="15:15" x14ac:dyDescent="0.25">
      <c r="O147" s="15"/>
    </row>
    <row r="148" spans="15:15" x14ac:dyDescent="0.25">
      <c r="O148" s="15"/>
    </row>
    <row r="149" spans="15:15" x14ac:dyDescent="0.25">
      <c r="O149" s="15"/>
    </row>
    <row r="150" spans="15:15" x14ac:dyDescent="0.25">
      <c r="O150" s="15"/>
    </row>
    <row r="151" spans="15:15" x14ac:dyDescent="0.25">
      <c r="O151" s="15"/>
    </row>
    <row r="152" spans="15:15" x14ac:dyDescent="0.25">
      <c r="O152" s="15"/>
    </row>
    <row r="153" spans="15:15" x14ac:dyDescent="0.25">
      <c r="O153" s="15"/>
    </row>
    <row r="154" spans="15:15" x14ac:dyDescent="0.25">
      <c r="O154" s="15"/>
    </row>
    <row r="155" spans="15:15" x14ac:dyDescent="0.25">
      <c r="O155" s="15"/>
    </row>
    <row r="156" spans="15:15" x14ac:dyDescent="0.25">
      <c r="O156" s="15"/>
    </row>
    <row r="157" spans="15:15" x14ac:dyDescent="0.25">
      <c r="O157" s="15"/>
    </row>
    <row r="158" spans="15:15" x14ac:dyDescent="0.25">
      <c r="O158" s="15"/>
    </row>
    <row r="159" spans="15:15" x14ac:dyDescent="0.25">
      <c r="O159" s="15"/>
    </row>
    <row r="160" spans="15:15" x14ac:dyDescent="0.25">
      <c r="O160" s="15"/>
    </row>
    <row r="161" spans="15:15" x14ac:dyDescent="0.25">
      <c r="O161" s="15"/>
    </row>
    <row r="162" spans="15:15" x14ac:dyDescent="0.25">
      <c r="O162" s="15"/>
    </row>
    <row r="163" spans="15:15" x14ac:dyDescent="0.25">
      <c r="O163" s="15"/>
    </row>
    <row r="164" spans="15:15" x14ac:dyDescent="0.25">
      <c r="O164" s="15"/>
    </row>
    <row r="165" spans="15:15" x14ac:dyDescent="0.25">
      <c r="O165" s="15"/>
    </row>
    <row r="166" spans="15:15" x14ac:dyDescent="0.25">
      <c r="O166" s="15"/>
    </row>
    <row r="167" spans="15:15" x14ac:dyDescent="0.25">
      <c r="O167" s="15"/>
    </row>
    <row r="168" spans="15:15" x14ac:dyDescent="0.25">
      <c r="O168" s="15"/>
    </row>
    <row r="169" spans="15:15" x14ac:dyDescent="0.25">
      <c r="O169" s="15"/>
    </row>
    <row r="170" spans="15:15" x14ac:dyDescent="0.25">
      <c r="O170" s="15"/>
    </row>
    <row r="171" spans="15:15" x14ac:dyDescent="0.25">
      <c r="O171" s="15"/>
    </row>
    <row r="172" spans="15:15" x14ac:dyDescent="0.25">
      <c r="O172" s="15"/>
    </row>
    <row r="173" spans="15:15" x14ac:dyDescent="0.25">
      <c r="O173" s="15"/>
    </row>
    <row r="174" spans="15:15" x14ac:dyDescent="0.25">
      <c r="O174" s="15"/>
    </row>
    <row r="175" spans="15:15" x14ac:dyDescent="0.25">
      <c r="O175" s="15"/>
    </row>
    <row r="176" spans="15:15" x14ac:dyDescent="0.25">
      <c r="O176" s="15"/>
    </row>
    <row r="177" spans="15:15" x14ac:dyDescent="0.25">
      <c r="O177" s="15"/>
    </row>
    <row r="178" spans="15:15" x14ac:dyDescent="0.25">
      <c r="O178" s="15"/>
    </row>
    <row r="179" spans="15:15" x14ac:dyDescent="0.25">
      <c r="O179" s="15"/>
    </row>
    <row r="180" spans="15:15" x14ac:dyDescent="0.25">
      <c r="O180" s="15"/>
    </row>
    <row r="181" spans="15:15" x14ac:dyDescent="0.25">
      <c r="O181" s="15"/>
    </row>
    <row r="182" spans="15:15" x14ac:dyDescent="0.25">
      <c r="O182" s="15"/>
    </row>
    <row r="183" spans="15:15" x14ac:dyDescent="0.25">
      <c r="O183" s="15"/>
    </row>
    <row r="184" spans="15:15" x14ac:dyDescent="0.25">
      <c r="O184" s="15"/>
    </row>
    <row r="185" spans="15:15" x14ac:dyDescent="0.25">
      <c r="O185" s="15"/>
    </row>
    <row r="186" spans="15:15" x14ac:dyDescent="0.25">
      <c r="O186" s="15"/>
    </row>
    <row r="187" spans="15:15" x14ac:dyDescent="0.25">
      <c r="O187" s="15"/>
    </row>
    <row r="188" spans="15:15" x14ac:dyDescent="0.25">
      <c r="O188" s="15"/>
    </row>
    <row r="189" spans="15:15" x14ac:dyDescent="0.25">
      <c r="O189" s="15"/>
    </row>
    <row r="190" spans="15:15" x14ac:dyDescent="0.25">
      <c r="O190" s="15"/>
    </row>
    <row r="191" spans="15:15" x14ac:dyDescent="0.25">
      <c r="O191" s="15"/>
    </row>
    <row r="192" spans="15:15" x14ac:dyDescent="0.25">
      <c r="O192" s="15"/>
    </row>
    <row r="193" spans="15:15" x14ac:dyDescent="0.25">
      <c r="O193" s="15"/>
    </row>
    <row r="194" spans="15:15" x14ac:dyDescent="0.25">
      <c r="O194" s="15"/>
    </row>
    <row r="195" spans="15:15" x14ac:dyDescent="0.25">
      <c r="O195" s="15"/>
    </row>
    <row r="196" spans="15:15" x14ac:dyDescent="0.25">
      <c r="O196" s="15"/>
    </row>
    <row r="197" spans="15:15" x14ac:dyDescent="0.25">
      <c r="O197" s="15"/>
    </row>
    <row r="198" spans="15:15" x14ac:dyDescent="0.25">
      <c r="O198" s="15"/>
    </row>
    <row r="199" spans="15:15" x14ac:dyDescent="0.25">
      <c r="O199" s="15"/>
    </row>
    <row r="200" spans="15:15" x14ac:dyDescent="0.25">
      <c r="O200" s="15"/>
    </row>
    <row r="201" spans="15:15" x14ac:dyDescent="0.25">
      <c r="O201" s="15"/>
    </row>
    <row r="202" spans="15:15" x14ac:dyDescent="0.25">
      <c r="O202" s="15"/>
    </row>
    <row r="203" spans="15:15" x14ac:dyDescent="0.25">
      <c r="O203" s="15"/>
    </row>
    <row r="204" spans="15:15" x14ac:dyDescent="0.25">
      <c r="O204" s="15"/>
    </row>
    <row r="205" spans="15:15" x14ac:dyDescent="0.25">
      <c r="O205" s="15"/>
    </row>
    <row r="206" spans="15:15" x14ac:dyDescent="0.25">
      <c r="O206" s="15"/>
    </row>
    <row r="207" spans="15:15" x14ac:dyDescent="0.25">
      <c r="O207" s="15"/>
    </row>
    <row r="208" spans="15:15" x14ac:dyDescent="0.25">
      <c r="O208" s="15"/>
    </row>
    <row r="209" spans="15:15" x14ac:dyDescent="0.25">
      <c r="O209" s="15"/>
    </row>
    <row r="210" spans="15:15" x14ac:dyDescent="0.25">
      <c r="O210" s="15"/>
    </row>
    <row r="211" spans="15:15" x14ac:dyDescent="0.25">
      <c r="O211" s="15"/>
    </row>
    <row r="212" spans="15:15" x14ac:dyDescent="0.25">
      <c r="O212" s="15"/>
    </row>
    <row r="213" spans="15:15" x14ac:dyDescent="0.25">
      <c r="O213" s="15"/>
    </row>
    <row r="214" spans="15:15" x14ac:dyDescent="0.25">
      <c r="O214" s="15"/>
    </row>
    <row r="215" spans="15:15" x14ac:dyDescent="0.25">
      <c r="O215" s="15"/>
    </row>
    <row r="216" spans="15:15" x14ac:dyDescent="0.25">
      <c r="O216" s="15"/>
    </row>
    <row r="217" spans="15:15" x14ac:dyDescent="0.25">
      <c r="O217" s="15"/>
    </row>
    <row r="218" spans="15:15" x14ac:dyDescent="0.25">
      <c r="O218" s="15"/>
    </row>
    <row r="219" spans="15:15" x14ac:dyDescent="0.25">
      <c r="O219" s="15"/>
    </row>
    <row r="220" spans="15:15" x14ac:dyDescent="0.25">
      <c r="O220" s="15"/>
    </row>
    <row r="221" spans="15:15" x14ac:dyDescent="0.25">
      <c r="O221" s="15"/>
    </row>
    <row r="222" spans="15:15" x14ac:dyDescent="0.25">
      <c r="O222" s="15"/>
    </row>
    <row r="223" spans="15:15" x14ac:dyDescent="0.25">
      <c r="O223" s="15"/>
    </row>
    <row r="224" spans="15:15" x14ac:dyDescent="0.25">
      <c r="O224" s="15"/>
    </row>
    <row r="225" spans="15:15" x14ac:dyDescent="0.25">
      <c r="O225" s="15"/>
    </row>
    <row r="226" spans="15:15" x14ac:dyDescent="0.25">
      <c r="O226" s="15"/>
    </row>
    <row r="227" spans="15:15" x14ac:dyDescent="0.25">
      <c r="O227" s="15"/>
    </row>
    <row r="228" spans="15:15" x14ac:dyDescent="0.25">
      <c r="O228" s="15"/>
    </row>
    <row r="229" spans="15:15" x14ac:dyDescent="0.25">
      <c r="O229" s="15"/>
    </row>
    <row r="230" spans="15:15" x14ac:dyDescent="0.25">
      <c r="O230" s="15"/>
    </row>
    <row r="231" spans="15:15" x14ac:dyDescent="0.25">
      <c r="O231" s="15"/>
    </row>
    <row r="232" spans="15:15" x14ac:dyDescent="0.25">
      <c r="O232" s="15"/>
    </row>
    <row r="233" spans="15:15" x14ac:dyDescent="0.25">
      <c r="O233" s="15"/>
    </row>
    <row r="234" spans="15:15" x14ac:dyDescent="0.25">
      <c r="O234" s="15"/>
    </row>
    <row r="235" spans="15:15" x14ac:dyDescent="0.25">
      <c r="O235" s="15"/>
    </row>
    <row r="236" spans="15:15" x14ac:dyDescent="0.25">
      <c r="O236" s="15"/>
    </row>
    <row r="237" spans="15:15" x14ac:dyDescent="0.25">
      <c r="O237" s="15"/>
    </row>
    <row r="238" spans="15:15" x14ac:dyDescent="0.25">
      <c r="O238" s="15"/>
    </row>
    <row r="239" spans="15:15" x14ac:dyDescent="0.25">
      <c r="O239" s="15"/>
    </row>
    <row r="240" spans="15:15" x14ac:dyDescent="0.25">
      <c r="O240" s="15"/>
    </row>
    <row r="241" spans="15:15" x14ac:dyDescent="0.25">
      <c r="O241" s="15"/>
    </row>
    <row r="242" spans="15:15" x14ac:dyDescent="0.25">
      <c r="O242" s="15"/>
    </row>
    <row r="243" spans="15:15" x14ac:dyDescent="0.25">
      <c r="O243" s="15"/>
    </row>
    <row r="244" spans="15:15" x14ac:dyDescent="0.25">
      <c r="O244" s="15"/>
    </row>
    <row r="245" spans="15:15" x14ac:dyDescent="0.25">
      <c r="O245" s="15"/>
    </row>
    <row r="246" spans="15:15" x14ac:dyDescent="0.25">
      <c r="O246" s="15"/>
    </row>
    <row r="247" spans="15:15" x14ac:dyDescent="0.25">
      <c r="O247" s="15"/>
    </row>
    <row r="248" spans="15:15" x14ac:dyDescent="0.25">
      <c r="O248" s="15"/>
    </row>
    <row r="249" spans="15:15" x14ac:dyDescent="0.25">
      <c r="O249" s="15"/>
    </row>
    <row r="250" spans="15:15" x14ac:dyDescent="0.25">
      <c r="O250" s="15"/>
    </row>
    <row r="251" spans="15:15" x14ac:dyDescent="0.25">
      <c r="O251" s="15"/>
    </row>
    <row r="252" spans="15:15" x14ac:dyDescent="0.25">
      <c r="O252" s="15"/>
    </row>
    <row r="253" spans="15:15" x14ac:dyDescent="0.25">
      <c r="O253" s="15"/>
    </row>
    <row r="254" spans="15:15" x14ac:dyDescent="0.25">
      <c r="O254" s="15"/>
    </row>
    <row r="255" spans="15:15" x14ac:dyDescent="0.25">
      <c r="O255" s="15"/>
    </row>
    <row r="256" spans="15:15" x14ac:dyDescent="0.25">
      <c r="O256" s="15"/>
    </row>
    <row r="257" spans="15:15" x14ac:dyDescent="0.25">
      <c r="O257" s="15"/>
    </row>
    <row r="258" spans="15:15" x14ac:dyDescent="0.25">
      <c r="O258" s="15"/>
    </row>
    <row r="259" spans="15:15" x14ac:dyDescent="0.25">
      <c r="O259" s="15"/>
    </row>
    <row r="260" spans="15:15" x14ac:dyDescent="0.25">
      <c r="O260" s="15"/>
    </row>
    <row r="261" spans="15:15" x14ac:dyDescent="0.25">
      <c r="O261" s="15"/>
    </row>
    <row r="262" spans="15:15" x14ac:dyDescent="0.25">
      <c r="O262" s="15"/>
    </row>
    <row r="263" spans="15:15" x14ac:dyDescent="0.25">
      <c r="O263" s="15"/>
    </row>
    <row r="264" spans="15:15" x14ac:dyDescent="0.25">
      <c r="O264" s="15"/>
    </row>
    <row r="265" spans="15:15" x14ac:dyDescent="0.25">
      <c r="O265" s="15"/>
    </row>
    <row r="266" spans="15:15" x14ac:dyDescent="0.25">
      <c r="O266" s="15"/>
    </row>
    <row r="267" spans="15:15" x14ac:dyDescent="0.25">
      <c r="O267" s="15"/>
    </row>
    <row r="268" spans="15:15" x14ac:dyDescent="0.25">
      <c r="O268" s="15"/>
    </row>
    <row r="269" spans="15:15" x14ac:dyDescent="0.25">
      <c r="O269" s="15"/>
    </row>
    <row r="270" spans="15:15" x14ac:dyDescent="0.25">
      <c r="O270" s="15"/>
    </row>
    <row r="271" spans="15:15" x14ac:dyDescent="0.25">
      <c r="O271" s="15"/>
    </row>
    <row r="272" spans="15:15" x14ac:dyDescent="0.25">
      <c r="O272" s="15"/>
    </row>
    <row r="273" spans="15:15" x14ac:dyDescent="0.25">
      <c r="O273" s="15"/>
    </row>
    <row r="274" spans="15:15" x14ac:dyDescent="0.25">
      <c r="O274" s="15"/>
    </row>
    <row r="275" spans="15:15" x14ac:dyDescent="0.25">
      <c r="O275" s="15"/>
    </row>
    <row r="276" spans="15:15" x14ac:dyDescent="0.25">
      <c r="O276" s="15"/>
    </row>
    <row r="277" spans="15:15" x14ac:dyDescent="0.25">
      <c r="O277" s="15"/>
    </row>
    <row r="278" spans="15:15" x14ac:dyDescent="0.25">
      <c r="O278" s="15"/>
    </row>
    <row r="279" spans="15:15" x14ac:dyDescent="0.25">
      <c r="O279" s="15"/>
    </row>
    <row r="280" spans="15:15" x14ac:dyDescent="0.25">
      <c r="O280" s="15"/>
    </row>
    <row r="281" spans="15:15" x14ac:dyDescent="0.25">
      <c r="O281" s="15"/>
    </row>
    <row r="282" spans="15:15" x14ac:dyDescent="0.25">
      <c r="O282" s="15"/>
    </row>
    <row r="283" spans="15:15" x14ac:dyDescent="0.25">
      <c r="O283" s="15"/>
    </row>
    <row r="284" spans="15:15" x14ac:dyDescent="0.25">
      <c r="O284" s="15"/>
    </row>
    <row r="285" spans="15:15" x14ac:dyDescent="0.25">
      <c r="O285" s="15"/>
    </row>
    <row r="286" spans="15:15" x14ac:dyDescent="0.25">
      <c r="O286" s="15"/>
    </row>
    <row r="287" spans="15:15" x14ac:dyDescent="0.25">
      <c r="O287" s="15"/>
    </row>
    <row r="288" spans="15:15" x14ac:dyDescent="0.25">
      <c r="O288" s="15"/>
    </row>
    <row r="289" spans="15:15" x14ac:dyDescent="0.25">
      <c r="O289" s="15"/>
    </row>
    <row r="290" spans="15:15" x14ac:dyDescent="0.25">
      <c r="O290" s="15"/>
    </row>
    <row r="291" spans="15:15" x14ac:dyDescent="0.25">
      <c r="O291" s="15"/>
    </row>
    <row r="292" spans="15:15" x14ac:dyDescent="0.25">
      <c r="O292" s="15"/>
    </row>
    <row r="293" spans="15:15" x14ac:dyDescent="0.25">
      <c r="O293" s="15"/>
    </row>
    <row r="294" spans="15:15" x14ac:dyDescent="0.25">
      <c r="O294" s="15"/>
    </row>
    <row r="295" spans="15:15" x14ac:dyDescent="0.25">
      <c r="O295" s="15"/>
    </row>
    <row r="296" spans="15:15" x14ac:dyDescent="0.25">
      <c r="O296" s="15"/>
    </row>
    <row r="297" spans="15:15" x14ac:dyDescent="0.25">
      <c r="O297" s="15"/>
    </row>
    <row r="298" spans="15:15" x14ac:dyDescent="0.25">
      <c r="O298" s="15"/>
    </row>
    <row r="299" spans="15:15" x14ac:dyDescent="0.25">
      <c r="O299" s="15"/>
    </row>
    <row r="300" spans="15:15" x14ac:dyDescent="0.25">
      <c r="O300" s="15"/>
    </row>
    <row r="301" spans="15:15" x14ac:dyDescent="0.25">
      <c r="O301" s="15"/>
    </row>
    <row r="302" spans="15:15" x14ac:dyDescent="0.25">
      <c r="O302" s="15"/>
    </row>
    <row r="303" spans="15:15" x14ac:dyDescent="0.25">
      <c r="O303" s="15"/>
    </row>
    <row r="304" spans="15:15" x14ac:dyDescent="0.25">
      <c r="O304" s="15"/>
    </row>
    <row r="305" spans="15:15" x14ac:dyDescent="0.25">
      <c r="O305" s="15"/>
    </row>
    <row r="306" spans="15:15" x14ac:dyDescent="0.25">
      <c r="O306" s="15"/>
    </row>
    <row r="307" spans="15:15" x14ac:dyDescent="0.25">
      <c r="O307" s="15"/>
    </row>
    <row r="308" spans="15:15" x14ac:dyDescent="0.25">
      <c r="O308" s="15"/>
    </row>
    <row r="309" spans="15:15" x14ac:dyDescent="0.25">
      <c r="O309" s="15"/>
    </row>
    <row r="310" spans="15:15" x14ac:dyDescent="0.25">
      <c r="O310" s="15"/>
    </row>
    <row r="311" spans="15:15" x14ac:dyDescent="0.25">
      <c r="O311" s="15"/>
    </row>
    <row r="312" spans="15:15" x14ac:dyDescent="0.25">
      <c r="O312" s="15"/>
    </row>
    <row r="313" spans="15:15" x14ac:dyDescent="0.25">
      <c r="O313" s="15"/>
    </row>
    <row r="314" spans="15:15" x14ac:dyDescent="0.25">
      <c r="O314" s="15"/>
    </row>
    <row r="315" spans="15:15" x14ac:dyDescent="0.25">
      <c r="O315" s="15"/>
    </row>
    <row r="316" spans="15:15" x14ac:dyDescent="0.25">
      <c r="O316" s="15"/>
    </row>
    <row r="317" spans="15:15" x14ac:dyDescent="0.25">
      <c r="O317" s="15"/>
    </row>
    <row r="318" spans="15:15" x14ac:dyDescent="0.25">
      <c r="O318" s="15"/>
    </row>
    <row r="319" spans="15:15" x14ac:dyDescent="0.25">
      <c r="O319" s="15"/>
    </row>
    <row r="320" spans="15:15" x14ac:dyDescent="0.25">
      <c r="O320" s="15"/>
    </row>
    <row r="321" spans="15:15" x14ac:dyDescent="0.25">
      <c r="O321" s="15"/>
    </row>
    <row r="322" spans="15:15" x14ac:dyDescent="0.25">
      <c r="O322" s="15"/>
    </row>
    <row r="323" spans="15:15" x14ac:dyDescent="0.25">
      <c r="O323" s="15"/>
    </row>
    <row r="324" spans="15:15" x14ac:dyDescent="0.25">
      <c r="O324" s="15"/>
    </row>
    <row r="325" spans="15:15" x14ac:dyDescent="0.25">
      <c r="O325" s="15"/>
    </row>
    <row r="326" spans="15:15" x14ac:dyDescent="0.25">
      <c r="O326" s="15"/>
    </row>
    <row r="327" spans="15:15" x14ac:dyDescent="0.25">
      <c r="O327" s="15"/>
    </row>
    <row r="328" spans="15:15" x14ac:dyDescent="0.25">
      <c r="O328" s="15"/>
    </row>
    <row r="329" spans="15:15" x14ac:dyDescent="0.25">
      <c r="O329" s="15"/>
    </row>
    <row r="330" spans="15:15" x14ac:dyDescent="0.25">
      <c r="O330" s="15"/>
    </row>
    <row r="331" spans="15:15" x14ac:dyDescent="0.25">
      <c r="O331" s="15"/>
    </row>
    <row r="332" spans="15:15" x14ac:dyDescent="0.25">
      <c r="O332" s="15"/>
    </row>
    <row r="333" spans="15:15" x14ac:dyDescent="0.25">
      <c r="O333" s="15"/>
    </row>
    <row r="334" spans="15:15" x14ac:dyDescent="0.25">
      <c r="O334" s="15"/>
    </row>
    <row r="335" spans="15:15" x14ac:dyDescent="0.25">
      <c r="O335" s="15"/>
    </row>
    <row r="336" spans="15:15" x14ac:dyDescent="0.25">
      <c r="O336" s="15"/>
    </row>
    <row r="337" spans="15:15" x14ac:dyDescent="0.25">
      <c r="O337" s="15"/>
    </row>
    <row r="338" spans="15:15" x14ac:dyDescent="0.25">
      <c r="O338" s="15"/>
    </row>
    <row r="339" spans="15:15" x14ac:dyDescent="0.25">
      <c r="O339" s="15"/>
    </row>
    <row r="340" spans="15:15" x14ac:dyDescent="0.25">
      <c r="O340" s="15"/>
    </row>
    <row r="341" spans="15:15" x14ac:dyDescent="0.25">
      <c r="O341" s="15"/>
    </row>
    <row r="342" spans="15:15" x14ac:dyDescent="0.25">
      <c r="O342" s="15"/>
    </row>
    <row r="343" spans="15:15" x14ac:dyDescent="0.25">
      <c r="O343" s="15"/>
    </row>
    <row r="344" spans="15:15" x14ac:dyDescent="0.25">
      <c r="O344" s="15"/>
    </row>
    <row r="345" spans="15:15" x14ac:dyDescent="0.25">
      <c r="O345" s="15"/>
    </row>
    <row r="346" spans="15:15" x14ac:dyDescent="0.25">
      <c r="O346" s="15"/>
    </row>
    <row r="347" spans="15:15" x14ac:dyDescent="0.25">
      <c r="O347" s="15"/>
    </row>
    <row r="348" spans="15:15" x14ac:dyDescent="0.25">
      <c r="O348" s="15"/>
    </row>
    <row r="349" spans="15:15" x14ac:dyDescent="0.25">
      <c r="O349" s="15"/>
    </row>
    <row r="350" spans="15:15" x14ac:dyDescent="0.25">
      <c r="O350" s="15"/>
    </row>
    <row r="351" spans="15:15" x14ac:dyDescent="0.25">
      <c r="O351" s="15"/>
    </row>
    <row r="352" spans="15:15" x14ac:dyDescent="0.25">
      <c r="O352" s="15"/>
    </row>
    <row r="353" spans="15:15" x14ac:dyDescent="0.25">
      <c r="O353" s="15"/>
    </row>
    <row r="354" spans="15:15" x14ac:dyDescent="0.25">
      <c r="O354" s="15"/>
    </row>
    <row r="355" spans="15:15" x14ac:dyDescent="0.25">
      <c r="O355" s="15"/>
    </row>
    <row r="356" spans="15:15" x14ac:dyDescent="0.25">
      <c r="O356" s="15"/>
    </row>
    <row r="357" spans="15:15" x14ac:dyDescent="0.25">
      <c r="O357" s="15"/>
    </row>
    <row r="358" spans="15:15" x14ac:dyDescent="0.25">
      <c r="O358" s="15"/>
    </row>
    <row r="359" spans="15:15" x14ac:dyDescent="0.25">
      <c r="O359" s="15"/>
    </row>
    <row r="360" spans="15:15" x14ac:dyDescent="0.25">
      <c r="O360" s="15"/>
    </row>
    <row r="361" spans="15:15" x14ac:dyDescent="0.25">
      <c r="O361" s="15"/>
    </row>
    <row r="362" spans="15:15" x14ac:dyDescent="0.25">
      <c r="O362" s="15"/>
    </row>
    <row r="363" spans="15:15" x14ac:dyDescent="0.25">
      <c r="O363" s="15"/>
    </row>
    <row r="364" spans="15:15" x14ac:dyDescent="0.25">
      <c r="O364" s="15"/>
    </row>
    <row r="365" spans="15:15" x14ac:dyDescent="0.25">
      <c r="O365" s="15"/>
    </row>
    <row r="366" spans="15:15" x14ac:dyDescent="0.25">
      <c r="O366" s="15"/>
    </row>
    <row r="367" spans="15:15" x14ac:dyDescent="0.25">
      <c r="O367" s="15"/>
    </row>
    <row r="368" spans="15:15" x14ac:dyDescent="0.25">
      <c r="O368" s="15"/>
    </row>
    <row r="369" spans="15:15" x14ac:dyDescent="0.25">
      <c r="O369" s="15"/>
    </row>
    <row r="370" spans="15:15" x14ac:dyDescent="0.25">
      <c r="O370" s="15"/>
    </row>
    <row r="371" spans="15:15" x14ac:dyDescent="0.25">
      <c r="O371" s="15"/>
    </row>
    <row r="372" spans="15:15" x14ac:dyDescent="0.25">
      <c r="O372" s="15"/>
    </row>
    <row r="373" spans="15:15" x14ac:dyDescent="0.25">
      <c r="O373" s="15"/>
    </row>
    <row r="374" spans="15:15" x14ac:dyDescent="0.25">
      <c r="O374" s="15"/>
    </row>
    <row r="375" spans="15:15" x14ac:dyDescent="0.25">
      <c r="O375" s="15"/>
    </row>
    <row r="376" spans="15:15" x14ac:dyDescent="0.25">
      <c r="O376" s="15"/>
    </row>
    <row r="377" spans="15:15" x14ac:dyDescent="0.25">
      <c r="O377" s="15"/>
    </row>
    <row r="378" spans="15:15" x14ac:dyDescent="0.25">
      <c r="O378" s="15"/>
    </row>
    <row r="379" spans="15:15" x14ac:dyDescent="0.25">
      <c r="O379" s="15"/>
    </row>
    <row r="380" spans="15:15" x14ac:dyDescent="0.25">
      <c r="O380" s="15"/>
    </row>
    <row r="381" spans="15:15" x14ac:dyDescent="0.25">
      <c r="O381" s="15"/>
    </row>
    <row r="382" spans="15:15" x14ac:dyDescent="0.25">
      <c r="O382" s="15"/>
    </row>
    <row r="383" spans="15:15" x14ac:dyDescent="0.25">
      <c r="O383" s="15"/>
    </row>
    <row r="384" spans="15:15" x14ac:dyDescent="0.25">
      <c r="O384" s="15"/>
    </row>
    <row r="385" spans="15:15" x14ac:dyDescent="0.25">
      <c r="O385" s="15"/>
    </row>
    <row r="386" spans="15:15" x14ac:dyDescent="0.25">
      <c r="O386" s="15"/>
    </row>
    <row r="387" spans="15:15" x14ac:dyDescent="0.25">
      <c r="O387" s="15"/>
    </row>
    <row r="388" spans="15:15" x14ac:dyDescent="0.25">
      <c r="O388" s="15"/>
    </row>
    <row r="389" spans="15:15" x14ac:dyDescent="0.25">
      <c r="O389" s="15"/>
    </row>
    <row r="390" spans="15:15" x14ac:dyDescent="0.25">
      <c r="O390" s="15"/>
    </row>
    <row r="391" spans="15:15" x14ac:dyDescent="0.25">
      <c r="O391" s="15"/>
    </row>
    <row r="392" spans="15:15" x14ac:dyDescent="0.25">
      <c r="O392" s="15"/>
    </row>
    <row r="393" spans="15:15" x14ac:dyDescent="0.25">
      <c r="O393" s="15"/>
    </row>
    <row r="394" spans="15:15" x14ac:dyDescent="0.25">
      <c r="O394" s="15"/>
    </row>
    <row r="395" spans="15:15" x14ac:dyDescent="0.25">
      <c r="O395" s="15"/>
    </row>
    <row r="396" spans="15:15" x14ac:dyDescent="0.25">
      <c r="O396" s="15"/>
    </row>
    <row r="397" spans="15:15" x14ac:dyDescent="0.25">
      <c r="O397" s="15"/>
    </row>
  </sheetData>
  <mergeCells count="2">
    <mergeCell ref="D13:D14"/>
    <mergeCell ref="C13:C14"/>
  </mergeCells>
  <conditionalFormatting sqref="V3:X1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customProperties>
    <customPr name="REFI_OFFICE_FUNCTION_DATA" r:id="rId2"/>
  </customProperties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xr2:uid="{FC310F12-3C16-4E9C-A846-33F1DDCEC6E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JPY!F3:T3</xm:f>
              <xm:sqref>U3</xm:sqref>
            </x14:sparkline>
            <x14:sparkline>
              <xm:f>JPY!F4:T4</xm:f>
              <xm:sqref>U4</xm:sqref>
            </x14:sparkline>
            <x14:sparkline>
              <xm:f>JPY!F5:T5</xm:f>
              <xm:sqref>U5</xm:sqref>
            </x14:sparkline>
            <x14:sparkline>
              <xm:f>JPY!F6:T6</xm:f>
              <xm:sqref>U6</xm:sqref>
            </x14:sparkline>
            <x14:sparkline>
              <xm:f>JPY!F7:T7</xm:f>
              <xm:sqref>U7</xm:sqref>
            </x14:sparkline>
            <x14:sparkline>
              <xm:f>JPY!F8:T8</xm:f>
              <xm:sqref>U8</xm:sqref>
            </x14:sparkline>
            <x14:sparkline>
              <xm:f>JPY!F9:T9</xm:f>
              <xm:sqref>U9</xm:sqref>
            </x14:sparkline>
            <x14:sparkline>
              <xm:f>JPY!F10:T10</xm:f>
              <xm:sqref>U10</xm:sqref>
            </x14:sparkline>
            <x14:sparkline>
              <xm:f>JPY!F11:T11</xm:f>
              <xm:sqref>U11</xm:sqref>
            </x14:sparkline>
            <x14:sparkline>
              <xm:f>JPY!F12:T12</xm:f>
              <xm:sqref>U12</xm:sqref>
            </x14:sparkline>
          </x14:sparklines>
        </x14:sparklineGroup>
      </x14:sparklineGroup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21374-0AE2-4D67-A683-655810902221}">
  <sheetPr codeName="Feuil6"/>
  <dimension ref="B1:X397"/>
  <sheetViews>
    <sheetView zoomScale="99" workbookViewId="0">
      <selection activeCell="L17" sqref="L17"/>
    </sheetView>
  </sheetViews>
  <sheetFormatPr defaultColWidth="10.85546875" defaultRowHeight="15" x14ac:dyDescent="0.25"/>
  <cols>
    <col min="1" max="1" width="5.140625" style="11" customWidth="1"/>
    <col min="2" max="2" width="19.7109375" style="11" bestFit="1" customWidth="1"/>
    <col min="3" max="3" width="36.28515625" style="11" bestFit="1" customWidth="1"/>
    <col min="4" max="4" width="8.5703125" style="11" bestFit="1" customWidth="1"/>
    <col min="5" max="5" width="17.140625" style="11" bestFit="1" customWidth="1"/>
    <col min="6" max="14" width="10.85546875" style="11" bestFit="1" customWidth="1"/>
    <col min="15" max="20" width="9.85546875" style="11" bestFit="1" customWidth="1"/>
    <col min="21" max="21" width="9.5703125" style="11" bestFit="1" customWidth="1"/>
    <col min="22" max="22" width="12.28515625" style="11" customWidth="1"/>
    <col min="23" max="23" width="11.5703125" style="11" customWidth="1"/>
    <col min="24" max="24" width="13.7109375" style="11" customWidth="1"/>
    <col min="25" max="16384" width="10.85546875" style="11"/>
  </cols>
  <sheetData>
    <row r="1" spans="2:24" ht="15.75" thickBot="1" x14ac:dyDescent="0.3"/>
    <row r="2" spans="2:24" ht="29.1" customHeight="1" thickBot="1" x14ac:dyDescent="0.3">
      <c r="B2" s="57" t="s">
        <v>108</v>
      </c>
      <c r="C2" s="28" t="str">
        <f>_xll.DSGRID("UKIRPR1, UKIRPR2, UKIRPR3, UKIRPR4, UKIRPR5, UKIRPR6, UKIRPR7, UKIRPR8, UKIRPR9, UKIRP10","X","-15D","TIMEADJ","D","CustomHeader=true;CustHeaderDatatypes=GEOGN;RowHeader=true;ColHeader=true;Transpose=true;Code=true;DispSeriesDescription=true;YearlyTSFormat=false;QuarterlyTSFormat=false;MonthlyTSFormat=false;AutoResize=true")</f>
        <v>Name</v>
      </c>
      <c r="D2" s="29" t="s">
        <v>57</v>
      </c>
      <c r="E2" s="78" t="s">
        <v>58</v>
      </c>
      <c r="F2" s="30">
        <v>45586</v>
      </c>
      <c r="G2" s="30">
        <v>45587</v>
      </c>
      <c r="H2" s="30">
        <v>45588</v>
      </c>
      <c r="I2" s="30">
        <v>45589</v>
      </c>
      <c r="J2" s="30">
        <v>45590</v>
      </c>
      <c r="K2" s="30">
        <v>45593</v>
      </c>
      <c r="L2" s="30">
        <v>45594</v>
      </c>
      <c r="M2" s="30">
        <v>45595</v>
      </c>
      <c r="N2" s="30">
        <v>45596</v>
      </c>
      <c r="O2" s="30">
        <v>45597</v>
      </c>
      <c r="P2" s="30">
        <v>45600</v>
      </c>
      <c r="Q2" s="30">
        <v>45601</v>
      </c>
      <c r="R2" s="30">
        <v>45602</v>
      </c>
      <c r="S2" s="30">
        <v>45603</v>
      </c>
      <c r="T2" s="30">
        <v>45604</v>
      </c>
      <c r="U2" s="31" t="s">
        <v>109</v>
      </c>
      <c r="V2" s="7" t="s">
        <v>95</v>
      </c>
      <c r="W2" s="8" t="s">
        <v>96</v>
      </c>
      <c r="X2" s="9" t="s">
        <v>97</v>
      </c>
    </row>
    <row r="3" spans="2:24" ht="36.950000000000003" customHeight="1" x14ac:dyDescent="0.25">
      <c r="B3" s="51" t="s">
        <v>110</v>
      </c>
      <c r="C3" s="54" t="s">
        <v>61</v>
      </c>
      <c r="D3" s="32" t="s">
        <v>4</v>
      </c>
      <c r="E3" s="32" t="s">
        <v>62</v>
      </c>
      <c r="F3" s="33">
        <v>4.7064000000000004</v>
      </c>
      <c r="G3" s="33">
        <v>4.7085999999999997</v>
      </c>
      <c r="H3" s="33">
        <v>4.7104999999999997</v>
      </c>
      <c r="I3" s="33">
        <v>4.7300000000000004</v>
      </c>
      <c r="J3" s="33">
        <v>4.7297000000000002</v>
      </c>
      <c r="K3" s="33">
        <v>4.7163000000000004</v>
      </c>
      <c r="L3" s="33">
        <v>4.7122999999999999</v>
      </c>
      <c r="M3" s="33">
        <v>4.7413999999999996</v>
      </c>
      <c r="N3" s="33">
        <v>4.7510000000000003</v>
      </c>
      <c r="O3" s="33">
        <v>4.7427000000000001</v>
      </c>
      <c r="P3" s="33">
        <v>4.7229000000000001</v>
      </c>
      <c r="Q3" s="33">
        <v>4.7081</v>
      </c>
      <c r="R3" s="33">
        <v>4.7255000000000003</v>
      </c>
      <c r="S3" s="33">
        <v>4.6402000000000001</v>
      </c>
      <c r="T3" s="33">
        <v>4.6425999999999998</v>
      </c>
      <c r="U3" s="34"/>
      <c r="V3" s="24">
        <f>(T3-S3)/S3</f>
        <v>5.1721908538419372E-4</v>
      </c>
      <c r="W3" s="22">
        <f>(T3-M3)/M3</f>
        <v>-2.0837727253553758E-2</v>
      </c>
      <c r="X3" s="23">
        <f>(T3-F3)/F3</f>
        <v>-1.3556008839027817E-2</v>
      </c>
    </row>
    <row r="4" spans="2:24" ht="36.950000000000003" customHeight="1" x14ac:dyDescent="0.25">
      <c r="B4" s="52" t="s">
        <v>111</v>
      </c>
      <c r="C4" s="55" t="s">
        <v>146</v>
      </c>
      <c r="D4" s="35" t="s">
        <v>12</v>
      </c>
      <c r="E4" s="35" t="s">
        <v>62</v>
      </c>
      <c r="F4" s="36">
        <v>4.5186000000000002</v>
      </c>
      <c r="G4" s="36">
        <v>4.5164</v>
      </c>
      <c r="H4" s="36">
        <v>4.5220000000000002</v>
      </c>
      <c r="I4" s="36">
        <v>4.5340999999999996</v>
      </c>
      <c r="J4" s="36">
        <v>4.5407999999999999</v>
      </c>
      <c r="K4" s="36">
        <v>4.5452000000000004</v>
      </c>
      <c r="L4" s="36">
        <v>4.5529999999999999</v>
      </c>
      <c r="M4" s="36">
        <v>4.6341999999999999</v>
      </c>
      <c r="N4" s="36">
        <v>4.6384999999999996</v>
      </c>
      <c r="O4" s="36">
        <v>4.6437999999999997</v>
      </c>
      <c r="P4" s="36">
        <v>4.6471999999999998</v>
      </c>
      <c r="Q4" s="36">
        <v>4.6405000000000003</v>
      </c>
      <c r="R4" s="36">
        <v>4.6083999999999996</v>
      </c>
      <c r="S4" s="36">
        <v>4.4753999999999996</v>
      </c>
      <c r="T4" s="36">
        <v>4.4813999999999998</v>
      </c>
      <c r="U4" s="37"/>
      <c r="V4" s="24">
        <f t="shared" ref="V4:V12" si="0">(T4-S4)/S4</f>
        <v>1.3406622871699129E-3</v>
      </c>
      <c r="W4" s="22">
        <f t="shared" ref="W4:W12" si="1">(T4-M4)/M4</f>
        <v>-3.2972249795002385E-2</v>
      </c>
      <c r="X4" s="23">
        <f t="shared" ref="X4:X12" si="2">(T4-F4)/F4</f>
        <v>-8.2326384278317045E-3</v>
      </c>
    </row>
    <row r="5" spans="2:24" ht="36.950000000000003" customHeight="1" x14ac:dyDescent="0.25">
      <c r="B5" s="52" t="s">
        <v>113</v>
      </c>
      <c r="C5" s="55" t="s">
        <v>147</v>
      </c>
      <c r="D5" s="35" t="s">
        <v>20</v>
      </c>
      <c r="E5" s="35" t="s">
        <v>62</v>
      </c>
      <c r="F5" s="36">
        <v>4.3432000000000004</v>
      </c>
      <c r="G5" s="36">
        <v>4.3304</v>
      </c>
      <c r="H5" s="36">
        <v>4.3289999999999997</v>
      </c>
      <c r="I5" s="36">
        <v>4.3651</v>
      </c>
      <c r="J5" s="36">
        <v>4.3776999999999999</v>
      </c>
      <c r="K5" s="36">
        <v>4.3506</v>
      </c>
      <c r="L5" s="36">
        <v>4.3494999999999999</v>
      </c>
      <c r="M5" s="36">
        <v>4.4603999999999999</v>
      </c>
      <c r="N5" s="36">
        <v>4.4599000000000002</v>
      </c>
      <c r="O5" s="36">
        <v>4.4661</v>
      </c>
      <c r="P5" s="36">
        <v>4.4641000000000002</v>
      </c>
      <c r="Q5" s="36">
        <v>4.4504999999999999</v>
      </c>
      <c r="R5" s="36">
        <v>4.4371</v>
      </c>
      <c r="S5" s="36">
        <v>4.3869999999999996</v>
      </c>
      <c r="T5" s="36">
        <v>4.3902999999999999</v>
      </c>
      <c r="U5" s="37"/>
      <c r="V5" s="24">
        <f t="shared" si="0"/>
        <v>7.5222247549585209E-4</v>
      </c>
      <c r="W5" s="22">
        <f t="shared" si="1"/>
        <v>-1.5716079275401321E-2</v>
      </c>
      <c r="X5" s="23">
        <f t="shared" si="2"/>
        <v>1.0844538589058636E-2</v>
      </c>
    </row>
    <row r="6" spans="2:24" ht="36.950000000000003" customHeight="1" x14ac:dyDescent="0.25">
      <c r="B6" s="52" t="s">
        <v>115</v>
      </c>
      <c r="C6" s="55" t="s">
        <v>148</v>
      </c>
      <c r="D6" s="35" t="s">
        <v>28</v>
      </c>
      <c r="E6" s="35" t="s">
        <v>62</v>
      </c>
      <c r="F6" s="36">
        <v>4.0895999999999999</v>
      </c>
      <c r="G6" s="36">
        <v>4.1383000000000001</v>
      </c>
      <c r="H6" s="36">
        <v>4.1234999999999999</v>
      </c>
      <c r="I6" s="36">
        <v>4.1433999999999997</v>
      </c>
      <c r="J6" s="36">
        <v>4.1482999999999999</v>
      </c>
      <c r="K6" s="36">
        <v>4.1585000000000001</v>
      </c>
      <c r="L6" s="36">
        <v>4.1809000000000003</v>
      </c>
      <c r="M6" s="36">
        <v>4.3291000000000004</v>
      </c>
      <c r="N6" s="36">
        <v>4.3630000000000004</v>
      </c>
      <c r="O6" s="36">
        <v>4.3569000000000004</v>
      </c>
      <c r="P6" s="36">
        <v>4.3700999999999999</v>
      </c>
      <c r="Q6" s="36">
        <v>4.3789999999999996</v>
      </c>
      <c r="R6" s="36">
        <v>4.3513999999999999</v>
      </c>
      <c r="S6" s="36">
        <v>4.2205000000000004</v>
      </c>
      <c r="T6" s="36">
        <v>4.2320000000000002</v>
      </c>
      <c r="U6" s="37"/>
      <c r="V6" s="24">
        <f t="shared" si="0"/>
        <v>2.7247956403269381E-3</v>
      </c>
      <c r="W6" s="22">
        <f t="shared" si="1"/>
        <v>-2.2429604305744883E-2</v>
      </c>
      <c r="X6" s="23">
        <f t="shared" si="2"/>
        <v>3.4820031298904611E-2</v>
      </c>
    </row>
    <row r="7" spans="2:24" ht="36.950000000000003" customHeight="1" x14ac:dyDescent="0.25">
      <c r="B7" s="52" t="s">
        <v>117</v>
      </c>
      <c r="C7" s="55" t="s">
        <v>76</v>
      </c>
      <c r="D7" s="35" t="s">
        <v>36</v>
      </c>
      <c r="E7" s="35" t="s">
        <v>62</v>
      </c>
      <c r="F7" s="36">
        <v>3.9268999999999998</v>
      </c>
      <c r="G7" s="36">
        <v>3.9449000000000001</v>
      </c>
      <c r="H7" s="36">
        <v>3.952</v>
      </c>
      <c r="I7" s="36">
        <v>4.0002000000000004</v>
      </c>
      <c r="J7" s="36">
        <v>4.0016999999999996</v>
      </c>
      <c r="K7" s="36">
        <v>3.9828999999999999</v>
      </c>
      <c r="L7" s="36">
        <v>4.0162000000000004</v>
      </c>
      <c r="M7" s="36">
        <v>4.1863999999999999</v>
      </c>
      <c r="N7" s="36">
        <v>4.2218999999999998</v>
      </c>
      <c r="O7" s="36">
        <v>4.2096999999999998</v>
      </c>
      <c r="P7" s="36">
        <v>4.2474999999999996</v>
      </c>
      <c r="Q7" s="36">
        <v>4.2526999999999999</v>
      </c>
      <c r="R7" s="36">
        <v>4.2099000000000002</v>
      </c>
      <c r="S7" s="36">
        <v>4.1798999999999999</v>
      </c>
      <c r="T7" s="36">
        <v>4.1783000000000001</v>
      </c>
      <c r="U7" s="37"/>
      <c r="V7" s="24">
        <f t="shared" si="0"/>
        <v>-3.8278427713577451E-4</v>
      </c>
      <c r="W7" s="22">
        <f t="shared" si="1"/>
        <v>-1.9348366137970031E-3</v>
      </c>
      <c r="X7" s="23">
        <f t="shared" si="2"/>
        <v>6.4019964857775932E-2</v>
      </c>
    </row>
    <row r="8" spans="2:24" ht="36.950000000000003" customHeight="1" x14ac:dyDescent="0.25">
      <c r="B8" s="52" t="s">
        <v>118</v>
      </c>
      <c r="C8" s="55" t="s">
        <v>149</v>
      </c>
      <c r="D8" s="35" t="s">
        <v>44</v>
      </c>
      <c r="E8" s="35" t="s">
        <v>62</v>
      </c>
      <c r="F8" s="36">
        <v>3.8283</v>
      </c>
      <c r="G8" s="36">
        <v>3.8368000000000002</v>
      </c>
      <c r="H8" s="36">
        <v>3.8189000000000002</v>
      </c>
      <c r="I8" s="36">
        <v>3.8595999999999999</v>
      </c>
      <c r="J8" s="36">
        <v>3.8828</v>
      </c>
      <c r="K8" s="36">
        <v>3.8990999999999998</v>
      </c>
      <c r="L8" s="36">
        <v>3.9319000000000002</v>
      </c>
      <c r="M8" s="36">
        <v>4.1025999999999998</v>
      </c>
      <c r="N8" s="36">
        <v>4.1573000000000002</v>
      </c>
      <c r="O8" s="36">
        <v>4.1440000000000001</v>
      </c>
      <c r="P8" s="36">
        <v>4.1853999999999996</v>
      </c>
      <c r="Q8" s="36">
        <v>4.2035</v>
      </c>
      <c r="R8" s="36">
        <v>4.1773999999999996</v>
      </c>
      <c r="S8" s="36">
        <v>4.1082000000000001</v>
      </c>
      <c r="T8" s="36">
        <v>4.0965999999999996</v>
      </c>
      <c r="U8" s="37"/>
      <c r="V8" s="24">
        <f t="shared" si="0"/>
        <v>-2.8236210505818847E-3</v>
      </c>
      <c r="W8" s="22">
        <f t="shared" si="1"/>
        <v>-1.4624872032370272E-3</v>
      </c>
      <c r="X8" s="23">
        <f t="shared" si="2"/>
        <v>7.0083326803019499E-2</v>
      </c>
    </row>
    <row r="9" spans="2:24" ht="36.950000000000003" customHeight="1" x14ac:dyDescent="0.25">
      <c r="B9" s="52" t="s">
        <v>119</v>
      </c>
      <c r="C9" s="55" t="s">
        <v>150</v>
      </c>
      <c r="D9" s="35" t="s">
        <v>52</v>
      </c>
      <c r="E9" s="35" t="s">
        <v>62</v>
      </c>
      <c r="F9" s="36">
        <v>3.6762999999999999</v>
      </c>
      <c r="G9" s="36">
        <v>3.7191000000000001</v>
      </c>
      <c r="H9" s="36">
        <v>3.7339000000000002</v>
      </c>
      <c r="I9" s="36">
        <v>3.7793000000000001</v>
      </c>
      <c r="J9" s="36">
        <v>3.7936000000000001</v>
      </c>
      <c r="K9" s="36">
        <v>3.7972000000000001</v>
      </c>
      <c r="L9" s="36">
        <v>3.8403999999999998</v>
      </c>
      <c r="M9" s="36">
        <v>4.0119999999999996</v>
      </c>
      <c r="N9" s="36">
        <v>4.0941999999999998</v>
      </c>
      <c r="O9" s="36">
        <v>4.07</v>
      </c>
      <c r="P9" s="36">
        <v>4.1101000000000001</v>
      </c>
      <c r="Q9" s="36">
        <v>4.1525999999999996</v>
      </c>
      <c r="R9" s="36">
        <v>4.117</v>
      </c>
      <c r="S9" s="36">
        <v>4.0738000000000003</v>
      </c>
      <c r="T9" s="36">
        <v>4.0625999999999998</v>
      </c>
      <c r="U9" s="37"/>
      <c r="V9" s="24">
        <f t="shared" si="0"/>
        <v>-2.7492758603761946E-3</v>
      </c>
      <c r="W9" s="22">
        <f t="shared" si="1"/>
        <v>1.2612163509471636E-2</v>
      </c>
      <c r="X9" s="23">
        <f t="shared" si="2"/>
        <v>0.10507847564126972</v>
      </c>
    </row>
    <row r="10" spans="2:24" ht="36.950000000000003" customHeight="1" x14ac:dyDescent="0.25">
      <c r="B10" s="52" t="s">
        <v>120</v>
      </c>
      <c r="C10" s="55" t="s">
        <v>151</v>
      </c>
      <c r="D10" s="35" t="s">
        <v>152</v>
      </c>
      <c r="E10" s="35" t="s">
        <v>62</v>
      </c>
      <c r="F10" s="36">
        <v>3.6532</v>
      </c>
      <c r="G10" s="36">
        <v>3.6722999999999999</v>
      </c>
      <c r="H10" s="36">
        <v>3.7183000000000002</v>
      </c>
      <c r="I10" s="36">
        <v>3.7320000000000002</v>
      </c>
      <c r="J10" s="36">
        <v>3.742</v>
      </c>
      <c r="K10" s="36">
        <v>3.774</v>
      </c>
      <c r="L10" s="36">
        <v>3.8224999999999998</v>
      </c>
      <c r="M10" s="36">
        <v>3.9943</v>
      </c>
      <c r="N10" s="36">
        <v>4.0378999999999996</v>
      </c>
      <c r="O10" s="36">
        <v>4.0185000000000004</v>
      </c>
      <c r="P10" s="36">
        <v>4.0720999999999998</v>
      </c>
      <c r="Q10" s="36">
        <v>4.1418999999999997</v>
      </c>
      <c r="R10" s="36">
        <v>4.1252000000000004</v>
      </c>
      <c r="S10" s="36">
        <v>4.0917000000000003</v>
      </c>
      <c r="T10" s="36">
        <v>4.0789</v>
      </c>
      <c r="U10" s="37"/>
      <c r="V10" s="24">
        <f t="shared" si="0"/>
        <v>-3.128284087298767E-3</v>
      </c>
      <c r="W10" s="22">
        <f t="shared" si="1"/>
        <v>2.1180181759006586E-2</v>
      </c>
      <c r="X10" s="23">
        <f t="shared" si="2"/>
        <v>0.11652797547355742</v>
      </c>
    </row>
    <row r="11" spans="2:24" ht="36.950000000000003" customHeight="1" x14ac:dyDescent="0.25">
      <c r="B11" s="52" t="s">
        <v>121</v>
      </c>
      <c r="C11" s="55" t="s">
        <v>153</v>
      </c>
      <c r="D11" s="35" t="s">
        <v>154</v>
      </c>
      <c r="E11" s="35" t="s">
        <v>62</v>
      </c>
      <c r="F11" s="36">
        <v>3.6587999999999998</v>
      </c>
      <c r="G11" s="36">
        <v>3.6781999999999999</v>
      </c>
      <c r="H11" s="36">
        <v>3.7139000000000002</v>
      </c>
      <c r="I11" s="36">
        <v>3.7713999999999999</v>
      </c>
      <c r="J11" s="36">
        <v>3.7936999999999999</v>
      </c>
      <c r="K11" s="36">
        <v>3.8064</v>
      </c>
      <c r="L11" s="36">
        <v>3.8502999999999998</v>
      </c>
      <c r="M11" s="36">
        <v>3.9973999999999998</v>
      </c>
      <c r="N11" s="36">
        <v>4.1096000000000004</v>
      </c>
      <c r="O11" s="36">
        <v>4.0800999999999998</v>
      </c>
      <c r="P11" s="36">
        <v>4.1010999999999997</v>
      </c>
      <c r="Q11" s="36">
        <v>4.1631999999999998</v>
      </c>
      <c r="R11" s="36">
        <v>4.1393000000000004</v>
      </c>
      <c r="S11" s="36">
        <v>4.0622999999999996</v>
      </c>
      <c r="T11" s="36">
        <v>4.0499000000000001</v>
      </c>
      <c r="U11" s="37"/>
      <c r="V11" s="24">
        <f t="shared" si="0"/>
        <v>-3.0524579671613429E-3</v>
      </c>
      <c r="W11" s="22">
        <f t="shared" si="1"/>
        <v>1.3133536798919352E-2</v>
      </c>
      <c r="X11" s="23">
        <f t="shared" si="2"/>
        <v>0.10689297037279989</v>
      </c>
    </row>
    <row r="12" spans="2:24" ht="36.950000000000003" customHeight="1" thickBot="1" x14ac:dyDescent="0.3">
      <c r="B12" s="53" t="s">
        <v>122</v>
      </c>
      <c r="C12" s="56" t="s">
        <v>155</v>
      </c>
      <c r="D12" s="38" t="s">
        <v>156</v>
      </c>
      <c r="E12" s="38" t="s">
        <v>62</v>
      </c>
      <c r="F12" s="39">
        <v>3.5276000000000001</v>
      </c>
      <c r="G12" s="39">
        <v>3.5794000000000001</v>
      </c>
      <c r="H12" s="39">
        <v>3.5998000000000001</v>
      </c>
      <c r="I12" s="39">
        <v>3.6410999999999998</v>
      </c>
      <c r="J12" s="39">
        <v>3.7040999999999999</v>
      </c>
      <c r="K12" s="39">
        <v>3.7290000000000001</v>
      </c>
      <c r="L12" s="39">
        <v>3.7443</v>
      </c>
      <c r="M12" s="39">
        <v>3.7923</v>
      </c>
      <c r="N12" s="39">
        <v>3.9426000000000001</v>
      </c>
      <c r="O12" s="39">
        <v>4.0692000000000004</v>
      </c>
      <c r="P12" s="39">
        <v>4.0361000000000002</v>
      </c>
      <c r="Q12" s="39">
        <v>4.0575000000000001</v>
      </c>
      <c r="R12" s="39">
        <v>4.1304999999999996</v>
      </c>
      <c r="S12" s="39">
        <v>4.1109999999999998</v>
      </c>
      <c r="T12" s="39">
        <v>4.0782999999999996</v>
      </c>
      <c r="U12" s="40"/>
      <c r="V12" s="25">
        <f t="shared" si="0"/>
        <v>-7.9542690342982673E-3</v>
      </c>
      <c r="W12" s="26">
        <f t="shared" si="1"/>
        <v>7.5415974474593139E-2</v>
      </c>
      <c r="X12" s="27">
        <f t="shared" si="2"/>
        <v>0.15611180405941702</v>
      </c>
    </row>
    <row r="13" spans="2:24" ht="36.950000000000003" customHeight="1" x14ac:dyDescent="0.25">
      <c r="C13" s="91" t="s">
        <v>123</v>
      </c>
      <c r="D13" s="91">
        <f>_xll.DSGRID("UKPRATE.","","-1Q","QTE","Q","RowHeader=false;ColHeader=false;DispSeriesDescription=false;YearlyTSFormat=false;QuarterlyTSFormat=false;MonthlyTSFormat=false")</f>
        <v>5</v>
      </c>
    </row>
    <row r="14" spans="2:24" ht="15.75" thickBot="1" x14ac:dyDescent="0.3">
      <c r="C14" s="92"/>
      <c r="D14" s="92"/>
    </row>
    <row r="21" spans="12:17" x14ac:dyDescent="0.25">
      <c r="M21" s="14"/>
      <c r="N21" s="14"/>
    </row>
    <row r="22" spans="12:17" x14ac:dyDescent="0.25">
      <c r="L22" s="14"/>
      <c r="O22" s="14"/>
    </row>
    <row r="28" spans="12:17" x14ac:dyDescent="0.25">
      <c r="P28" s="14"/>
      <c r="Q28" s="14"/>
    </row>
    <row r="29" spans="12:17" x14ac:dyDescent="0.25">
      <c r="O29" s="15"/>
    </row>
    <row r="30" spans="12:17" x14ac:dyDescent="0.25">
      <c r="O30" s="15"/>
    </row>
    <row r="31" spans="12:17" x14ac:dyDescent="0.25">
      <c r="O31" s="15"/>
    </row>
    <row r="32" spans="12:17" x14ac:dyDescent="0.25">
      <c r="O32" s="15"/>
    </row>
    <row r="33" spans="15:15" x14ac:dyDescent="0.25">
      <c r="O33" s="15"/>
    </row>
    <row r="34" spans="15:15" x14ac:dyDescent="0.25">
      <c r="O34" s="15"/>
    </row>
    <row r="35" spans="15:15" x14ac:dyDescent="0.25">
      <c r="O35" s="15"/>
    </row>
    <row r="36" spans="15:15" x14ac:dyDescent="0.25">
      <c r="O36" s="15"/>
    </row>
    <row r="37" spans="15:15" x14ac:dyDescent="0.25">
      <c r="O37" s="15"/>
    </row>
    <row r="38" spans="15:15" x14ac:dyDescent="0.25">
      <c r="O38" s="15"/>
    </row>
    <row r="39" spans="15:15" x14ac:dyDescent="0.25">
      <c r="O39" s="15"/>
    </row>
    <row r="40" spans="15:15" x14ac:dyDescent="0.25">
      <c r="O40" s="15"/>
    </row>
    <row r="41" spans="15:15" x14ac:dyDescent="0.25">
      <c r="O41" s="15"/>
    </row>
    <row r="42" spans="15:15" x14ac:dyDescent="0.25">
      <c r="O42" s="15"/>
    </row>
    <row r="43" spans="15:15" x14ac:dyDescent="0.25">
      <c r="O43" s="15"/>
    </row>
    <row r="44" spans="15:15" x14ac:dyDescent="0.25">
      <c r="O44" s="15"/>
    </row>
    <row r="45" spans="15:15" x14ac:dyDescent="0.25">
      <c r="O45" s="15"/>
    </row>
    <row r="46" spans="15:15" x14ac:dyDescent="0.25">
      <c r="O46" s="15"/>
    </row>
    <row r="47" spans="15:15" x14ac:dyDescent="0.25">
      <c r="O47" s="15"/>
    </row>
    <row r="48" spans="15:15" x14ac:dyDescent="0.25">
      <c r="O48" s="15"/>
    </row>
    <row r="49" spans="15:15" x14ac:dyDescent="0.25">
      <c r="O49" s="15"/>
    </row>
    <row r="50" spans="15:15" x14ac:dyDescent="0.25">
      <c r="O50" s="15"/>
    </row>
    <row r="51" spans="15:15" x14ac:dyDescent="0.25">
      <c r="O51" s="15"/>
    </row>
    <row r="52" spans="15:15" x14ac:dyDescent="0.25">
      <c r="O52" s="15"/>
    </row>
    <row r="53" spans="15:15" x14ac:dyDescent="0.25">
      <c r="O53" s="15"/>
    </row>
    <row r="54" spans="15:15" x14ac:dyDescent="0.25">
      <c r="O54" s="15"/>
    </row>
    <row r="55" spans="15:15" x14ac:dyDescent="0.25">
      <c r="O55" s="15"/>
    </row>
    <row r="56" spans="15:15" x14ac:dyDescent="0.25">
      <c r="O56" s="15"/>
    </row>
    <row r="57" spans="15:15" x14ac:dyDescent="0.25">
      <c r="O57" s="15"/>
    </row>
    <row r="58" spans="15:15" x14ac:dyDescent="0.25">
      <c r="O58" s="15"/>
    </row>
    <row r="59" spans="15:15" x14ac:dyDescent="0.25">
      <c r="O59" s="15"/>
    </row>
    <row r="60" spans="15:15" x14ac:dyDescent="0.25">
      <c r="O60" s="15"/>
    </row>
    <row r="61" spans="15:15" x14ac:dyDescent="0.25">
      <c r="O61" s="15"/>
    </row>
    <row r="62" spans="15:15" x14ac:dyDescent="0.25">
      <c r="O62" s="15"/>
    </row>
    <row r="63" spans="15:15" x14ac:dyDescent="0.25">
      <c r="O63" s="15"/>
    </row>
    <row r="64" spans="15:15" x14ac:dyDescent="0.25">
      <c r="O64" s="15"/>
    </row>
    <row r="65" spans="15:15" x14ac:dyDescent="0.25">
      <c r="O65" s="15"/>
    </row>
    <row r="66" spans="15:15" x14ac:dyDescent="0.25">
      <c r="O66" s="15"/>
    </row>
    <row r="67" spans="15:15" x14ac:dyDescent="0.25">
      <c r="O67" s="15"/>
    </row>
    <row r="68" spans="15:15" x14ac:dyDescent="0.25">
      <c r="O68" s="15"/>
    </row>
    <row r="69" spans="15:15" x14ac:dyDescent="0.25">
      <c r="O69" s="15"/>
    </row>
    <row r="70" spans="15:15" x14ac:dyDescent="0.25">
      <c r="O70" s="15"/>
    </row>
    <row r="71" spans="15:15" x14ac:dyDescent="0.25">
      <c r="O71" s="15"/>
    </row>
    <row r="72" spans="15:15" x14ac:dyDescent="0.25">
      <c r="O72" s="15"/>
    </row>
    <row r="73" spans="15:15" x14ac:dyDescent="0.25">
      <c r="O73" s="15"/>
    </row>
    <row r="74" spans="15:15" x14ac:dyDescent="0.25">
      <c r="O74" s="15"/>
    </row>
    <row r="75" spans="15:15" x14ac:dyDescent="0.25">
      <c r="O75" s="15"/>
    </row>
    <row r="76" spans="15:15" x14ac:dyDescent="0.25">
      <c r="O76" s="15"/>
    </row>
    <row r="77" spans="15:15" x14ac:dyDescent="0.25">
      <c r="O77" s="15"/>
    </row>
    <row r="78" spans="15:15" x14ac:dyDescent="0.25">
      <c r="O78" s="15"/>
    </row>
    <row r="79" spans="15:15" x14ac:dyDescent="0.25">
      <c r="O79" s="15"/>
    </row>
    <row r="80" spans="15:15" x14ac:dyDescent="0.25">
      <c r="O80" s="15"/>
    </row>
    <row r="81" spans="15:15" x14ac:dyDescent="0.25">
      <c r="O81" s="15"/>
    </row>
    <row r="82" spans="15:15" x14ac:dyDescent="0.25">
      <c r="O82" s="15"/>
    </row>
    <row r="83" spans="15:15" x14ac:dyDescent="0.25">
      <c r="O83" s="15"/>
    </row>
    <row r="84" spans="15:15" x14ac:dyDescent="0.25">
      <c r="O84" s="15"/>
    </row>
    <row r="85" spans="15:15" x14ac:dyDescent="0.25">
      <c r="O85" s="15"/>
    </row>
    <row r="86" spans="15:15" x14ac:dyDescent="0.25">
      <c r="O86" s="15"/>
    </row>
    <row r="87" spans="15:15" x14ac:dyDescent="0.25">
      <c r="O87" s="15"/>
    </row>
    <row r="88" spans="15:15" x14ac:dyDescent="0.25">
      <c r="O88" s="15"/>
    </row>
    <row r="89" spans="15:15" x14ac:dyDescent="0.25">
      <c r="O89" s="15"/>
    </row>
    <row r="90" spans="15:15" x14ac:dyDescent="0.25">
      <c r="O90" s="15"/>
    </row>
    <row r="91" spans="15:15" x14ac:dyDescent="0.25">
      <c r="O91" s="15"/>
    </row>
    <row r="92" spans="15:15" x14ac:dyDescent="0.25">
      <c r="O92" s="15"/>
    </row>
    <row r="93" spans="15:15" x14ac:dyDescent="0.25">
      <c r="O93" s="15"/>
    </row>
    <row r="94" spans="15:15" x14ac:dyDescent="0.25">
      <c r="O94" s="15"/>
    </row>
    <row r="95" spans="15:15" x14ac:dyDescent="0.25">
      <c r="O95" s="15"/>
    </row>
    <row r="96" spans="15:15" x14ac:dyDescent="0.25">
      <c r="O96" s="15"/>
    </row>
    <row r="97" spans="15:15" x14ac:dyDescent="0.25">
      <c r="O97" s="15"/>
    </row>
    <row r="98" spans="15:15" x14ac:dyDescent="0.25">
      <c r="O98" s="15"/>
    </row>
    <row r="99" spans="15:15" x14ac:dyDescent="0.25">
      <c r="O99" s="15"/>
    </row>
    <row r="100" spans="15:15" x14ac:dyDescent="0.25">
      <c r="O100" s="15"/>
    </row>
    <row r="101" spans="15:15" x14ac:dyDescent="0.25">
      <c r="O101" s="15"/>
    </row>
    <row r="102" spans="15:15" x14ac:dyDescent="0.25">
      <c r="O102" s="15"/>
    </row>
    <row r="103" spans="15:15" x14ac:dyDescent="0.25">
      <c r="O103" s="15"/>
    </row>
    <row r="104" spans="15:15" x14ac:dyDescent="0.25">
      <c r="O104" s="15"/>
    </row>
    <row r="105" spans="15:15" x14ac:dyDescent="0.25">
      <c r="O105" s="15"/>
    </row>
    <row r="106" spans="15:15" x14ac:dyDescent="0.25">
      <c r="O106" s="15"/>
    </row>
    <row r="107" spans="15:15" x14ac:dyDescent="0.25">
      <c r="O107" s="15"/>
    </row>
    <row r="108" spans="15:15" x14ac:dyDescent="0.25">
      <c r="O108" s="15"/>
    </row>
    <row r="109" spans="15:15" x14ac:dyDescent="0.25">
      <c r="O109" s="15"/>
    </row>
    <row r="110" spans="15:15" x14ac:dyDescent="0.25">
      <c r="O110" s="15"/>
    </row>
    <row r="111" spans="15:15" x14ac:dyDescent="0.25">
      <c r="O111" s="15"/>
    </row>
    <row r="112" spans="15:15" x14ac:dyDescent="0.25">
      <c r="O112" s="15"/>
    </row>
    <row r="113" spans="15:15" x14ac:dyDescent="0.25">
      <c r="O113" s="15"/>
    </row>
    <row r="114" spans="15:15" x14ac:dyDescent="0.25">
      <c r="O114" s="15"/>
    </row>
    <row r="115" spans="15:15" x14ac:dyDescent="0.25">
      <c r="O115" s="15"/>
    </row>
    <row r="116" spans="15:15" x14ac:dyDescent="0.25">
      <c r="O116" s="15"/>
    </row>
    <row r="117" spans="15:15" x14ac:dyDescent="0.25">
      <c r="O117" s="15"/>
    </row>
    <row r="118" spans="15:15" x14ac:dyDescent="0.25">
      <c r="O118" s="15"/>
    </row>
    <row r="119" spans="15:15" x14ac:dyDescent="0.25">
      <c r="O119" s="15"/>
    </row>
    <row r="120" spans="15:15" x14ac:dyDescent="0.25">
      <c r="O120" s="15"/>
    </row>
    <row r="121" spans="15:15" x14ac:dyDescent="0.25">
      <c r="O121" s="15"/>
    </row>
    <row r="122" spans="15:15" x14ac:dyDescent="0.25">
      <c r="O122" s="15"/>
    </row>
    <row r="123" spans="15:15" x14ac:dyDescent="0.25">
      <c r="O123" s="15"/>
    </row>
    <row r="124" spans="15:15" x14ac:dyDescent="0.25">
      <c r="O124" s="15"/>
    </row>
    <row r="125" spans="15:15" x14ac:dyDescent="0.25">
      <c r="O125" s="15"/>
    </row>
    <row r="126" spans="15:15" x14ac:dyDescent="0.25">
      <c r="O126" s="15"/>
    </row>
    <row r="127" spans="15:15" x14ac:dyDescent="0.25">
      <c r="O127" s="15"/>
    </row>
    <row r="128" spans="15:15" x14ac:dyDescent="0.25">
      <c r="O128" s="15"/>
    </row>
    <row r="129" spans="15:15" x14ac:dyDescent="0.25">
      <c r="O129" s="15"/>
    </row>
    <row r="130" spans="15:15" x14ac:dyDescent="0.25">
      <c r="O130" s="15"/>
    </row>
    <row r="131" spans="15:15" x14ac:dyDescent="0.25">
      <c r="O131" s="15"/>
    </row>
    <row r="132" spans="15:15" x14ac:dyDescent="0.25">
      <c r="O132" s="15"/>
    </row>
    <row r="133" spans="15:15" x14ac:dyDescent="0.25">
      <c r="O133" s="15"/>
    </row>
    <row r="134" spans="15:15" x14ac:dyDescent="0.25">
      <c r="O134" s="15"/>
    </row>
    <row r="135" spans="15:15" x14ac:dyDescent="0.25">
      <c r="O135" s="15"/>
    </row>
    <row r="136" spans="15:15" x14ac:dyDescent="0.25">
      <c r="O136" s="15"/>
    </row>
    <row r="137" spans="15:15" x14ac:dyDescent="0.25">
      <c r="O137" s="15"/>
    </row>
    <row r="138" spans="15:15" x14ac:dyDescent="0.25">
      <c r="O138" s="15"/>
    </row>
    <row r="139" spans="15:15" x14ac:dyDescent="0.25">
      <c r="O139" s="15"/>
    </row>
    <row r="140" spans="15:15" x14ac:dyDescent="0.25">
      <c r="O140" s="15"/>
    </row>
    <row r="141" spans="15:15" x14ac:dyDescent="0.25">
      <c r="O141" s="15"/>
    </row>
    <row r="142" spans="15:15" x14ac:dyDescent="0.25">
      <c r="O142" s="15"/>
    </row>
    <row r="143" spans="15:15" x14ac:dyDescent="0.25">
      <c r="O143" s="15"/>
    </row>
    <row r="144" spans="15:15" x14ac:dyDescent="0.25">
      <c r="O144" s="15"/>
    </row>
    <row r="145" spans="15:15" x14ac:dyDescent="0.25">
      <c r="O145" s="15"/>
    </row>
    <row r="146" spans="15:15" x14ac:dyDescent="0.25">
      <c r="O146" s="15"/>
    </row>
    <row r="147" spans="15:15" x14ac:dyDescent="0.25">
      <c r="O147" s="15"/>
    </row>
    <row r="148" spans="15:15" x14ac:dyDescent="0.25">
      <c r="O148" s="15"/>
    </row>
    <row r="149" spans="15:15" x14ac:dyDescent="0.25">
      <c r="O149" s="15"/>
    </row>
    <row r="150" spans="15:15" x14ac:dyDescent="0.25">
      <c r="O150" s="15"/>
    </row>
    <row r="151" spans="15:15" x14ac:dyDescent="0.25">
      <c r="O151" s="15"/>
    </row>
    <row r="152" spans="15:15" x14ac:dyDescent="0.25">
      <c r="O152" s="15"/>
    </row>
    <row r="153" spans="15:15" x14ac:dyDescent="0.25">
      <c r="O153" s="15"/>
    </row>
    <row r="154" spans="15:15" x14ac:dyDescent="0.25">
      <c r="O154" s="15"/>
    </row>
    <row r="155" spans="15:15" x14ac:dyDescent="0.25">
      <c r="O155" s="15"/>
    </row>
    <row r="156" spans="15:15" x14ac:dyDescent="0.25">
      <c r="O156" s="15"/>
    </row>
    <row r="157" spans="15:15" x14ac:dyDescent="0.25">
      <c r="O157" s="15"/>
    </row>
    <row r="158" spans="15:15" x14ac:dyDescent="0.25">
      <c r="O158" s="15"/>
    </row>
    <row r="159" spans="15:15" x14ac:dyDescent="0.25">
      <c r="O159" s="15"/>
    </row>
    <row r="160" spans="15:15" x14ac:dyDescent="0.25">
      <c r="O160" s="15"/>
    </row>
    <row r="161" spans="15:15" x14ac:dyDescent="0.25">
      <c r="O161" s="15"/>
    </row>
    <row r="162" spans="15:15" x14ac:dyDescent="0.25">
      <c r="O162" s="15"/>
    </row>
    <row r="163" spans="15:15" x14ac:dyDescent="0.25">
      <c r="O163" s="15"/>
    </row>
    <row r="164" spans="15:15" x14ac:dyDescent="0.25">
      <c r="O164" s="15"/>
    </row>
    <row r="165" spans="15:15" x14ac:dyDescent="0.25">
      <c r="O165" s="15"/>
    </row>
    <row r="166" spans="15:15" x14ac:dyDescent="0.25">
      <c r="O166" s="15"/>
    </row>
    <row r="167" spans="15:15" x14ac:dyDescent="0.25">
      <c r="O167" s="15"/>
    </row>
    <row r="168" spans="15:15" x14ac:dyDescent="0.25">
      <c r="O168" s="15"/>
    </row>
    <row r="169" spans="15:15" x14ac:dyDescent="0.25">
      <c r="O169" s="15"/>
    </row>
    <row r="170" spans="15:15" x14ac:dyDescent="0.25">
      <c r="O170" s="15"/>
    </row>
    <row r="171" spans="15:15" x14ac:dyDescent="0.25">
      <c r="O171" s="15"/>
    </row>
    <row r="172" spans="15:15" x14ac:dyDescent="0.25">
      <c r="O172" s="15"/>
    </row>
    <row r="173" spans="15:15" x14ac:dyDescent="0.25">
      <c r="O173" s="15"/>
    </row>
    <row r="174" spans="15:15" x14ac:dyDescent="0.25">
      <c r="O174" s="15"/>
    </row>
    <row r="175" spans="15:15" x14ac:dyDescent="0.25">
      <c r="O175" s="15"/>
    </row>
    <row r="176" spans="15:15" x14ac:dyDescent="0.25">
      <c r="O176" s="15"/>
    </row>
    <row r="177" spans="15:15" x14ac:dyDescent="0.25">
      <c r="O177" s="15"/>
    </row>
    <row r="178" spans="15:15" x14ac:dyDescent="0.25">
      <c r="O178" s="15"/>
    </row>
    <row r="179" spans="15:15" x14ac:dyDescent="0.25">
      <c r="O179" s="15"/>
    </row>
    <row r="180" spans="15:15" x14ac:dyDescent="0.25">
      <c r="O180" s="15"/>
    </row>
    <row r="181" spans="15:15" x14ac:dyDescent="0.25">
      <c r="O181" s="15"/>
    </row>
    <row r="182" spans="15:15" x14ac:dyDescent="0.25">
      <c r="O182" s="15"/>
    </row>
    <row r="183" spans="15:15" x14ac:dyDescent="0.25">
      <c r="O183" s="15"/>
    </row>
    <row r="184" spans="15:15" x14ac:dyDescent="0.25">
      <c r="O184" s="15"/>
    </row>
    <row r="185" spans="15:15" x14ac:dyDescent="0.25">
      <c r="O185" s="15"/>
    </row>
    <row r="186" spans="15:15" x14ac:dyDescent="0.25">
      <c r="O186" s="15"/>
    </row>
    <row r="187" spans="15:15" x14ac:dyDescent="0.25">
      <c r="O187" s="15"/>
    </row>
    <row r="188" spans="15:15" x14ac:dyDescent="0.25">
      <c r="O188" s="15"/>
    </row>
    <row r="189" spans="15:15" x14ac:dyDescent="0.25">
      <c r="O189" s="15"/>
    </row>
    <row r="190" spans="15:15" x14ac:dyDescent="0.25">
      <c r="O190" s="15"/>
    </row>
    <row r="191" spans="15:15" x14ac:dyDescent="0.25">
      <c r="O191" s="15"/>
    </row>
    <row r="192" spans="15:15" x14ac:dyDescent="0.25">
      <c r="O192" s="15"/>
    </row>
    <row r="193" spans="15:15" x14ac:dyDescent="0.25">
      <c r="O193" s="15"/>
    </row>
    <row r="194" spans="15:15" x14ac:dyDescent="0.25">
      <c r="O194" s="15"/>
    </row>
    <row r="195" spans="15:15" x14ac:dyDescent="0.25">
      <c r="O195" s="15"/>
    </row>
    <row r="196" spans="15:15" x14ac:dyDescent="0.25">
      <c r="O196" s="15"/>
    </row>
    <row r="197" spans="15:15" x14ac:dyDescent="0.25">
      <c r="O197" s="15"/>
    </row>
    <row r="198" spans="15:15" x14ac:dyDescent="0.25">
      <c r="O198" s="15"/>
    </row>
    <row r="199" spans="15:15" x14ac:dyDescent="0.25">
      <c r="O199" s="15"/>
    </row>
    <row r="200" spans="15:15" x14ac:dyDescent="0.25">
      <c r="O200" s="15"/>
    </row>
    <row r="201" spans="15:15" x14ac:dyDescent="0.25">
      <c r="O201" s="15"/>
    </row>
    <row r="202" spans="15:15" x14ac:dyDescent="0.25">
      <c r="O202" s="15"/>
    </row>
    <row r="203" spans="15:15" x14ac:dyDescent="0.25">
      <c r="O203" s="15"/>
    </row>
    <row r="204" spans="15:15" x14ac:dyDescent="0.25">
      <c r="O204" s="15"/>
    </row>
    <row r="205" spans="15:15" x14ac:dyDescent="0.25">
      <c r="O205" s="15"/>
    </row>
    <row r="206" spans="15:15" x14ac:dyDescent="0.25">
      <c r="O206" s="15"/>
    </row>
    <row r="207" spans="15:15" x14ac:dyDescent="0.25">
      <c r="O207" s="15"/>
    </row>
    <row r="208" spans="15:15" x14ac:dyDescent="0.25">
      <c r="O208" s="15"/>
    </row>
    <row r="209" spans="15:15" x14ac:dyDescent="0.25">
      <c r="O209" s="15"/>
    </row>
    <row r="210" spans="15:15" x14ac:dyDescent="0.25">
      <c r="O210" s="15"/>
    </row>
    <row r="211" spans="15:15" x14ac:dyDescent="0.25">
      <c r="O211" s="15"/>
    </row>
    <row r="212" spans="15:15" x14ac:dyDescent="0.25">
      <c r="O212" s="15"/>
    </row>
    <row r="213" spans="15:15" x14ac:dyDescent="0.25">
      <c r="O213" s="15"/>
    </row>
    <row r="214" spans="15:15" x14ac:dyDescent="0.25">
      <c r="O214" s="15"/>
    </row>
    <row r="215" spans="15:15" x14ac:dyDescent="0.25">
      <c r="O215" s="15"/>
    </row>
    <row r="216" spans="15:15" x14ac:dyDescent="0.25">
      <c r="O216" s="15"/>
    </row>
    <row r="217" spans="15:15" x14ac:dyDescent="0.25">
      <c r="O217" s="15"/>
    </row>
    <row r="218" spans="15:15" x14ac:dyDescent="0.25">
      <c r="O218" s="15"/>
    </row>
    <row r="219" spans="15:15" x14ac:dyDescent="0.25">
      <c r="O219" s="15"/>
    </row>
    <row r="220" spans="15:15" x14ac:dyDescent="0.25">
      <c r="O220" s="15"/>
    </row>
    <row r="221" spans="15:15" x14ac:dyDescent="0.25">
      <c r="O221" s="15"/>
    </row>
    <row r="222" spans="15:15" x14ac:dyDescent="0.25">
      <c r="O222" s="15"/>
    </row>
    <row r="223" spans="15:15" x14ac:dyDescent="0.25">
      <c r="O223" s="15"/>
    </row>
    <row r="224" spans="15:15" x14ac:dyDescent="0.25">
      <c r="O224" s="15"/>
    </row>
    <row r="225" spans="15:15" x14ac:dyDescent="0.25">
      <c r="O225" s="15"/>
    </row>
    <row r="226" spans="15:15" x14ac:dyDescent="0.25">
      <c r="O226" s="15"/>
    </row>
    <row r="227" spans="15:15" x14ac:dyDescent="0.25">
      <c r="O227" s="15"/>
    </row>
    <row r="228" spans="15:15" x14ac:dyDescent="0.25">
      <c r="O228" s="15"/>
    </row>
    <row r="229" spans="15:15" x14ac:dyDescent="0.25">
      <c r="O229" s="15"/>
    </row>
    <row r="230" spans="15:15" x14ac:dyDescent="0.25">
      <c r="O230" s="15"/>
    </row>
    <row r="231" spans="15:15" x14ac:dyDescent="0.25">
      <c r="O231" s="15"/>
    </row>
    <row r="232" spans="15:15" x14ac:dyDescent="0.25">
      <c r="O232" s="15"/>
    </row>
    <row r="233" spans="15:15" x14ac:dyDescent="0.25">
      <c r="O233" s="15"/>
    </row>
    <row r="234" spans="15:15" x14ac:dyDescent="0.25">
      <c r="O234" s="15"/>
    </row>
    <row r="235" spans="15:15" x14ac:dyDescent="0.25">
      <c r="O235" s="15"/>
    </row>
    <row r="236" spans="15:15" x14ac:dyDescent="0.25">
      <c r="O236" s="15"/>
    </row>
    <row r="237" spans="15:15" x14ac:dyDescent="0.25">
      <c r="O237" s="15"/>
    </row>
    <row r="238" spans="15:15" x14ac:dyDescent="0.25">
      <c r="O238" s="15"/>
    </row>
    <row r="239" spans="15:15" x14ac:dyDescent="0.25">
      <c r="O239" s="15"/>
    </row>
    <row r="240" spans="15:15" x14ac:dyDescent="0.25">
      <c r="O240" s="15"/>
    </row>
    <row r="241" spans="15:15" x14ac:dyDescent="0.25">
      <c r="O241" s="15"/>
    </row>
    <row r="242" spans="15:15" x14ac:dyDescent="0.25">
      <c r="O242" s="15"/>
    </row>
    <row r="243" spans="15:15" x14ac:dyDescent="0.25">
      <c r="O243" s="15"/>
    </row>
    <row r="244" spans="15:15" x14ac:dyDescent="0.25">
      <c r="O244" s="15"/>
    </row>
    <row r="245" spans="15:15" x14ac:dyDescent="0.25">
      <c r="O245" s="15"/>
    </row>
    <row r="246" spans="15:15" x14ac:dyDescent="0.25">
      <c r="O246" s="15"/>
    </row>
    <row r="247" spans="15:15" x14ac:dyDescent="0.25">
      <c r="O247" s="15"/>
    </row>
    <row r="248" spans="15:15" x14ac:dyDescent="0.25">
      <c r="O248" s="15"/>
    </row>
    <row r="249" spans="15:15" x14ac:dyDescent="0.25">
      <c r="O249" s="15"/>
    </row>
    <row r="250" spans="15:15" x14ac:dyDescent="0.25">
      <c r="O250" s="15"/>
    </row>
    <row r="251" spans="15:15" x14ac:dyDescent="0.25">
      <c r="O251" s="15"/>
    </row>
    <row r="252" spans="15:15" x14ac:dyDescent="0.25">
      <c r="O252" s="15"/>
    </row>
    <row r="253" spans="15:15" x14ac:dyDescent="0.25">
      <c r="O253" s="15"/>
    </row>
    <row r="254" spans="15:15" x14ac:dyDescent="0.25">
      <c r="O254" s="15"/>
    </row>
    <row r="255" spans="15:15" x14ac:dyDescent="0.25">
      <c r="O255" s="15"/>
    </row>
    <row r="256" spans="15:15" x14ac:dyDescent="0.25">
      <c r="O256" s="15"/>
    </row>
    <row r="257" spans="15:15" x14ac:dyDescent="0.25">
      <c r="O257" s="15"/>
    </row>
    <row r="258" spans="15:15" x14ac:dyDescent="0.25">
      <c r="O258" s="15"/>
    </row>
    <row r="259" spans="15:15" x14ac:dyDescent="0.25">
      <c r="O259" s="15"/>
    </row>
    <row r="260" spans="15:15" x14ac:dyDescent="0.25">
      <c r="O260" s="15"/>
    </row>
    <row r="261" spans="15:15" x14ac:dyDescent="0.25">
      <c r="O261" s="15"/>
    </row>
    <row r="262" spans="15:15" x14ac:dyDescent="0.25">
      <c r="O262" s="15"/>
    </row>
    <row r="263" spans="15:15" x14ac:dyDescent="0.25">
      <c r="O263" s="15"/>
    </row>
    <row r="264" spans="15:15" x14ac:dyDescent="0.25">
      <c r="O264" s="15"/>
    </row>
    <row r="265" spans="15:15" x14ac:dyDescent="0.25">
      <c r="O265" s="15"/>
    </row>
    <row r="266" spans="15:15" x14ac:dyDescent="0.25">
      <c r="O266" s="15"/>
    </row>
    <row r="267" spans="15:15" x14ac:dyDescent="0.25">
      <c r="O267" s="15"/>
    </row>
    <row r="268" spans="15:15" x14ac:dyDescent="0.25">
      <c r="O268" s="15"/>
    </row>
    <row r="269" spans="15:15" x14ac:dyDescent="0.25">
      <c r="O269" s="15"/>
    </row>
    <row r="270" spans="15:15" x14ac:dyDescent="0.25">
      <c r="O270" s="15"/>
    </row>
    <row r="271" spans="15:15" x14ac:dyDescent="0.25">
      <c r="O271" s="15"/>
    </row>
    <row r="272" spans="15:15" x14ac:dyDescent="0.25">
      <c r="O272" s="15"/>
    </row>
    <row r="273" spans="15:15" x14ac:dyDescent="0.25">
      <c r="O273" s="15"/>
    </row>
    <row r="274" spans="15:15" x14ac:dyDescent="0.25">
      <c r="O274" s="15"/>
    </row>
    <row r="275" spans="15:15" x14ac:dyDescent="0.25">
      <c r="O275" s="15"/>
    </row>
    <row r="276" spans="15:15" x14ac:dyDescent="0.25">
      <c r="O276" s="15"/>
    </row>
    <row r="277" spans="15:15" x14ac:dyDescent="0.25">
      <c r="O277" s="15"/>
    </row>
    <row r="278" spans="15:15" x14ac:dyDescent="0.25">
      <c r="O278" s="15"/>
    </row>
    <row r="279" spans="15:15" x14ac:dyDescent="0.25">
      <c r="O279" s="15"/>
    </row>
    <row r="280" spans="15:15" x14ac:dyDescent="0.25">
      <c r="O280" s="15"/>
    </row>
    <row r="281" spans="15:15" x14ac:dyDescent="0.25">
      <c r="O281" s="15"/>
    </row>
    <row r="282" spans="15:15" x14ac:dyDescent="0.25">
      <c r="O282" s="15"/>
    </row>
    <row r="283" spans="15:15" x14ac:dyDescent="0.25">
      <c r="O283" s="15"/>
    </row>
    <row r="284" spans="15:15" x14ac:dyDescent="0.25">
      <c r="O284" s="15"/>
    </row>
    <row r="285" spans="15:15" x14ac:dyDescent="0.25">
      <c r="O285" s="15"/>
    </row>
    <row r="286" spans="15:15" x14ac:dyDescent="0.25">
      <c r="O286" s="15"/>
    </row>
    <row r="287" spans="15:15" x14ac:dyDescent="0.25">
      <c r="O287" s="15"/>
    </row>
    <row r="288" spans="15:15" x14ac:dyDescent="0.25">
      <c r="O288" s="15"/>
    </row>
    <row r="289" spans="15:15" x14ac:dyDescent="0.25">
      <c r="O289" s="15"/>
    </row>
    <row r="290" spans="15:15" x14ac:dyDescent="0.25">
      <c r="O290" s="15"/>
    </row>
    <row r="291" spans="15:15" x14ac:dyDescent="0.25">
      <c r="O291" s="15"/>
    </row>
    <row r="292" spans="15:15" x14ac:dyDescent="0.25">
      <c r="O292" s="15"/>
    </row>
    <row r="293" spans="15:15" x14ac:dyDescent="0.25">
      <c r="O293" s="15"/>
    </row>
    <row r="294" spans="15:15" x14ac:dyDescent="0.25">
      <c r="O294" s="15"/>
    </row>
    <row r="295" spans="15:15" x14ac:dyDescent="0.25">
      <c r="O295" s="15"/>
    </row>
    <row r="296" spans="15:15" x14ac:dyDescent="0.25">
      <c r="O296" s="15"/>
    </row>
    <row r="297" spans="15:15" x14ac:dyDescent="0.25">
      <c r="O297" s="15"/>
    </row>
    <row r="298" spans="15:15" x14ac:dyDescent="0.25">
      <c r="O298" s="15"/>
    </row>
    <row r="299" spans="15:15" x14ac:dyDescent="0.25">
      <c r="O299" s="15"/>
    </row>
    <row r="300" spans="15:15" x14ac:dyDescent="0.25">
      <c r="O300" s="15"/>
    </row>
    <row r="301" spans="15:15" x14ac:dyDescent="0.25">
      <c r="O301" s="15"/>
    </row>
    <row r="302" spans="15:15" x14ac:dyDescent="0.25">
      <c r="O302" s="15"/>
    </row>
    <row r="303" spans="15:15" x14ac:dyDescent="0.25">
      <c r="O303" s="15"/>
    </row>
    <row r="304" spans="15:15" x14ac:dyDescent="0.25">
      <c r="O304" s="15"/>
    </row>
    <row r="305" spans="15:15" x14ac:dyDescent="0.25">
      <c r="O305" s="15"/>
    </row>
    <row r="306" spans="15:15" x14ac:dyDescent="0.25">
      <c r="O306" s="15"/>
    </row>
    <row r="307" spans="15:15" x14ac:dyDescent="0.25">
      <c r="O307" s="15"/>
    </row>
    <row r="308" spans="15:15" x14ac:dyDescent="0.25">
      <c r="O308" s="15"/>
    </row>
    <row r="309" spans="15:15" x14ac:dyDescent="0.25">
      <c r="O309" s="15"/>
    </row>
    <row r="310" spans="15:15" x14ac:dyDescent="0.25">
      <c r="O310" s="15"/>
    </row>
    <row r="311" spans="15:15" x14ac:dyDescent="0.25">
      <c r="O311" s="15"/>
    </row>
    <row r="312" spans="15:15" x14ac:dyDescent="0.25">
      <c r="O312" s="15"/>
    </row>
    <row r="313" spans="15:15" x14ac:dyDescent="0.25">
      <c r="O313" s="15"/>
    </row>
    <row r="314" spans="15:15" x14ac:dyDescent="0.25">
      <c r="O314" s="15"/>
    </row>
    <row r="315" spans="15:15" x14ac:dyDescent="0.25">
      <c r="O315" s="15"/>
    </row>
    <row r="316" spans="15:15" x14ac:dyDescent="0.25">
      <c r="O316" s="15"/>
    </row>
    <row r="317" spans="15:15" x14ac:dyDescent="0.25">
      <c r="O317" s="15"/>
    </row>
    <row r="318" spans="15:15" x14ac:dyDescent="0.25">
      <c r="O318" s="15"/>
    </row>
    <row r="319" spans="15:15" x14ac:dyDescent="0.25">
      <c r="O319" s="15"/>
    </row>
    <row r="320" spans="15:15" x14ac:dyDescent="0.25">
      <c r="O320" s="15"/>
    </row>
    <row r="321" spans="15:15" x14ac:dyDescent="0.25">
      <c r="O321" s="15"/>
    </row>
    <row r="322" spans="15:15" x14ac:dyDescent="0.25">
      <c r="O322" s="15"/>
    </row>
    <row r="323" spans="15:15" x14ac:dyDescent="0.25">
      <c r="O323" s="15"/>
    </row>
    <row r="324" spans="15:15" x14ac:dyDescent="0.25">
      <c r="O324" s="15"/>
    </row>
    <row r="325" spans="15:15" x14ac:dyDescent="0.25">
      <c r="O325" s="15"/>
    </row>
    <row r="326" spans="15:15" x14ac:dyDescent="0.25">
      <c r="O326" s="15"/>
    </row>
    <row r="327" spans="15:15" x14ac:dyDescent="0.25">
      <c r="O327" s="15"/>
    </row>
    <row r="328" spans="15:15" x14ac:dyDescent="0.25">
      <c r="O328" s="15"/>
    </row>
    <row r="329" spans="15:15" x14ac:dyDescent="0.25">
      <c r="O329" s="15"/>
    </row>
    <row r="330" spans="15:15" x14ac:dyDescent="0.25">
      <c r="O330" s="15"/>
    </row>
    <row r="331" spans="15:15" x14ac:dyDescent="0.25">
      <c r="O331" s="15"/>
    </row>
    <row r="332" spans="15:15" x14ac:dyDescent="0.25">
      <c r="O332" s="15"/>
    </row>
    <row r="333" spans="15:15" x14ac:dyDescent="0.25">
      <c r="O333" s="15"/>
    </row>
    <row r="334" spans="15:15" x14ac:dyDescent="0.25">
      <c r="O334" s="15"/>
    </row>
    <row r="335" spans="15:15" x14ac:dyDescent="0.25">
      <c r="O335" s="15"/>
    </row>
    <row r="336" spans="15:15" x14ac:dyDescent="0.25">
      <c r="O336" s="15"/>
    </row>
    <row r="337" spans="15:15" x14ac:dyDescent="0.25">
      <c r="O337" s="15"/>
    </row>
    <row r="338" spans="15:15" x14ac:dyDescent="0.25">
      <c r="O338" s="15"/>
    </row>
    <row r="339" spans="15:15" x14ac:dyDescent="0.25">
      <c r="O339" s="15"/>
    </row>
    <row r="340" spans="15:15" x14ac:dyDescent="0.25">
      <c r="O340" s="15"/>
    </row>
    <row r="341" spans="15:15" x14ac:dyDescent="0.25">
      <c r="O341" s="15"/>
    </row>
    <row r="342" spans="15:15" x14ac:dyDescent="0.25">
      <c r="O342" s="15"/>
    </row>
    <row r="343" spans="15:15" x14ac:dyDescent="0.25">
      <c r="O343" s="15"/>
    </row>
    <row r="344" spans="15:15" x14ac:dyDescent="0.25">
      <c r="O344" s="15"/>
    </row>
    <row r="345" spans="15:15" x14ac:dyDescent="0.25">
      <c r="O345" s="15"/>
    </row>
    <row r="346" spans="15:15" x14ac:dyDescent="0.25">
      <c r="O346" s="15"/>
    </row>
    <row r="347" spans="15:15" x14ac:dyDescent="0.25">
      <c r="O347" s="15"/>
    </row>
    <row r="348" spans="15:15" x14ac:dyDescent="0.25">
      <c r="O348" s="15"/>
    </row>
    <row r="349" spans="15:15" x14ac:dyDescent="0.25">
      <c r="O349" s="15"/>
    </row>
    <row r="350" spans="15:15" x14ac:dyDescent="0.25">
      <c r="O350" s="15"/>
    </row>
    <row r="351" spans="15:15" x14ac:dyDescent="0.25">
      <c r="O351" s="15"/>
    </row>
    <row r="352" spans="15:15" x14ac:dyDescent="0.25">
      <c r="O352" s="15"/>
    </row>
    <row r="353" spans="15:15" x14ac:dyDescent="0.25">
      <c r="O353" s="15"/>
    </row>
    <row r="354" spans="15:15" x14ac:dyDescent="0.25">
      <c r="O354" s="15"/>
    </row>
    <row r="355" spans="15:15" x14ac:dyDescent="0.25">
      <c r="O355" s="15"/>
    </row>
    <row r="356" spans="15:15" x14ac:dyDescent="0.25">
      <c r="O356" s="15"/>
    </row>
    <row r="357" spans="15:15" x14ac:dyDescent="0.25">
      <c r="O357" s="15"/>
    </row>
    <row r="358" spans="15:15" x14ac:dyDescent="0.25">
      <c r="O358" s="15"/>
    </row>
    <row r="359" spans="15:15" x14ac:dyDescent="0.25">
      <c r="O359" s="15"/>
    </row>
    <row r="360" spans="15:15" x14ac:dyDescent="0.25">
      <c r="O360" s="15"/>
    </row>
    <row r="361" spans="15:15" x14ac:dyDescent="0.25">
      <c r="O361" s="15"/>
    </row>
    <row r="362" spans="15:15" x14ac:dyDescent="0.25">
      <c r="O362" s="15"/>
    </row>
    <row r="363" spans="15:15" x14ac:dyDescent="0.25">
      <c r="O363" s="15"/>
    </row>
    <row r="364" spans="15:15" x14ac:dyDescent="0.25">
      <c r="O364" s="15"/>
    </row>
    <row r="365" spans="15:15" x14ac:dyDescent="0.25">
      <c r="O365" s="15"/>
    </row>
    <row r="366" spans="15:15" x14ac:dyDescent="0.25">
      <c r="O366" s="15"/>
    </row>
    <row r="367" spans="15:15" x14ac:dyDescent="0.25">
      <c r="O367" s="15"/>
    </row>
    <row r="368" spans="15:15" x14ac:dyDescent="0.25">
      <c r="O368" s="15"/>
    </row>
    <row r="369" spans="15:15" x14ac:dyDescent="0.25">
      <c r="O369" s="15"/>
    </row>
    <row r="370" spans="15:15" x14ac:dyDescent="0.25">
      <c r="O370" s="15"/>
    </row>
    <row r="371" spans="15:15" x14ac:dyDescent="0.25">
      <c r="O371" s="15"/>
    </row>
    <row r="372" spans="15:15" x14ac:dyDescent="0.25">
      <c r="O372" s="15"/>
    </row>
    <row r="373" spans="15:15" x14ac:dyDescent="0.25">
      <c r="O373" s="15"/>
    </row>
    <row r="374" spans="15:15" x14ac:dyDescent="0.25">
      <c r="O374" s="15"/>
    </row>
    <row r="375" spans="15:15" x14ac:dyDescent="0.25">
      <c r="O375" s="15"/>
    </row>
    <row r="376" spans="15:15" x14ac:dyDescent="0.25">
      <c r="O376" s="15"/>
    </row>
    <row r="377" spans="15:15" x14ac:dyDescent="0.25">
      <c r="O377" s="15"/>
    </row>
    <row r="378" spans="15:15" x14ac:dyDescent="0.25">
      <c r="O378" s="15"/>
    </row>
    <row r="379" spans="15:15" x14ac:dyDescent="0.25">
      <c r="O379" s="15"/>
    </row>
    <row r="380" spans="15:15" x14ac:dyDescent="0.25">
      <c r="O380" s="15"/>
    </row>
    <row r="381" spans="15:15" x14ac:dyDescent="0.25">
      <c r="O381" s="15"/>
    </row>
    <row r="382" spans="15:15" x14ac:dyDescent="0.25">
      <c r="O382" s="15"/>
    </row>
    <row r="383" spans="15:15" x14ac:dyDescent="0.25">
      <c r="O383" s="15"/>
    </row>
    <row r="384" spans="15:15" x14ac:dyDescent="0.25">
      <c r="O384" s="15"/>
    </row>
    <row r="385" spans="15:15" x14ac:dyDescent="0.25">
      <c r="O385" s="15"/>
    </row>
    <row r="386" spans="15:15" x14ac:dyDescent="0.25">
      <c r="O386" s="15"/>
    </row>
    <row r="387" spans="15:15" x14ac:dyDescent="0.25">
      <c r="O387" s="15"/>
    </row>
    <row r="388" spans="15:15" x14ac:dyDescent="0.25">
      <c r="O388" s="15"/>
    </row>
    <row r="389" spans="15:15" x14ac:dyDescent="0.25">
      <c r="O389" s="15"/>
    </row>
    <row r="390" spans="15:15" x14ac:dyDescent="0.25">
      <c r="O390" s="15"/>
    </row>
    <row r="391" spans="15:15" x14ac:dyDescent="0.25">
      <c r="O391" s="15"/>
    </row>
    <row r="392" spans="15:15" x14ac:dyDescent="0.25">
      <c r="O392" s="15"/>
    </row>
    <row r="393" spans="15:15" x14ac:dyDescent="0.25">
      <c r="O393" s="15"/>
    </row>
    <row r="394" spans="15:15" x14ac:dyDescent="0.25">
      <c r="O394" s="15"/>
    </row>
    <row r="395" spans="15:15" x14ac:dyDescent="0.25">
      <c r="O395" s="15"/>
    </row>
    <row r="396" spans="15:15" x14ac:dyDescent="0.25">
      <c r="O396" s="15"/>
    </row>
    <row r="397" spans="15:15" x14ac:dyDescent="0.25">
      <c r="O397" s="15"/>
    </row>
  </sheetData>
  <mergeCells count="2">
    <mergeCell ref="D13:D14"/>
    <mergeCell ref="C13:C14"/>
  </mergeCells>
  <conditionalFormatting sqref="V3:X1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customProperties>
    <customPr name="REFI_OFFICE_FUNCTION_DATA" r:id="rId2"/>
  </customProperties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xr2:uid="{3FEF691B-AA4C-4CE0-9849-9D927CB81CF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GBP!F3:T3</xm:f>
              <xm:sqref>U3</xm:sqref>
            </x14:sparkline>
            <x14:sparkline>
              <xm:f>GBP!F4:T4</xm:f>
              <xm:sqref>U4</xm:sqref>
            </x14:sparkline>
            <x14:sparkline>
              <xm:f>GBP!F5:T5</xm:f>
              <xm:sqref>U5</xm:sqref>
            </x14:sparkline>
            <x14:sparkline>
              <xm:f>GBP!F6:T6</xm:f>
              <xm:sqref>U6</xm:sqref>
            </x14:sparkline>
            <x14:sparkline>
              <xm:f>GBP!F7:T7</xm:f>
              <xm:sqref>U7</xm:sqref>
            </x14:sparkline>
            <x14:sparkline>
              <xm:f>GBP!F8:T8</xm:f>
              <xm:sqref>U8</xm:sqref>
            </x14:sparkline>
            <x14:sparkline>
              <xm:f>GBP!F9:T9</xm:f>
              <xm:sqref>U9</xm:sqref>
            </x14:sparkline>
            <x14:sparkline>
              <xm:f>GBP!F10:T10</xm:f>
              <xm:sqref>U10</xm:sqref>
            </x14:sparkline>
            <x14:sparkline>
              <xm:f>GBP!F11:T11</xm:f>
              <xm:sqref>U11</xm:sqref>
            </x14:sparkline>
            <x14:sparkline>
              <xm:f>GBP!F12:T12</xm:f>
              <xm:sqref>U12</xm:sqref>
            </x14:sparkline>
          </x14:sparklines>
        </x14:sparklineGroup>
      </x14:sparklineGroup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67C18-0046-49DE-943E-A427812BB64B}">
  <sheetPr codeName="Feuil7"/>
  <dimension ref="B1:X397"/>
  <sheetViews>
    <sheetView zoomScale="84" workbookViewId="0">
      <selection activeCell="G15" sqref="G15"/>
    </sheetView>
  </sheetViews>
  <sheetFormatPr defaultColWidth="10.85546875" defaultRowHeight="15" x14ac:dyDescent="0.25"/>
  <cols>
    <col min="1" max="1" width="5.140625" style="11" customWidth="1"/>
    <col min="2" max="2" width="19.7109375" style="11" bestFit="1" customWidth="1"/>
    <col min="3" max="3" width="37.28515625" style="11" bestFit="1" customWidth="1"/>
    <col min="4" max="4" width="8.42578125" style="11" bestFit="1" customWidth="1"/>
    <col min="5" max="5" width="8.7109375" style="11" bestFit="1" customWidth="1"/>
    <col min="6" max="14" width="11" style="11" bestFit="1" customWidth="1"/>
    <col min="15" max="20" width="10" style="11" bestFit="1" customWidth="1"/>
    <col min="21" max="21" width="9.85546875" style="11" bestFit="1" customWidth="1"/>
    <col min="22" max="22" width="12.28515625" style="11" customWidth="1"/>
    <col min="23" max="23" width="11.5703125" style="11" customWidth="1"/>
    <col min="24" max="24" width="13.7109375" style="11" customWidth="1"/>
    <col min="25" max="16384" width="10.85546875" style="11"/>
  </cols>
  <sheetData>
    <row r="1" spans="2:24" ht="15.75" thickBot="1" x14ac:dyDescent="0.3"/>
    <row r="2" spans="2:24" ht="29.1" customHeight="1" thickBot="1" x14ac:dyDescent="0.3">
      <c r="B2" s="57" t="s">
        <v>108</v>
      </c>
      <c r="C2" s="28" t="str">
        <f>_xll.DSGRID("CAIRPR1, CAIRPR2, CAIRPR3, CAIRPR4, CAIRPR5, CAIRPR6, CAIRPR7, CAIRPR8, CAIRPR9, CAIRP10","X","-15D","TIMEADJ","D","CustomHeader=true;CustHeaderDatatypes=GEOGN;RowHeader=true;ColHeader=true;Transpose=true;Code=true;DispSeriesDescription=true;YearlyTSFormat=false;QuarterlyTSFormat=false;MonthlyTSFormat=false;AutoResize=true")</f>
        <v>Name</v>
      </c>
      <c r="D2" s="29" t="s">
        <v>57</v>
      </c>
      <c r="E2" s="78" t="s">
        <v>58</v>
      </c>
      <c r="F2" s="30">
        <v>45586</v>
      </c>
      <c r="G2" s="30">
        <v>45587</v>
      </c>
      <c r="H2" s="30">
        <v>45588</v>
      </c>
      <c r="I2" s="30">
        <v>45589</v>
      </c>
      <c r="J2" s="30">
        <v>45590</v>
      </c>
      <c r="K2" s="30">
        <v>45593</v>
      </c>
      <c r="L2" s="30">
        <v>45594</v>
      </c>
      <c r="M2" s="30">
        <v>45595</v>
      </c>
      <c r="N2" s="30">
        <v>45596</v>
      </c>
      <c r="O2" s="30">
        <v>45597</v>
      </c>
      <c r="P2" s="30">
        <v>45600</v>
      </c>
      <c r="Q2" s="30">
        <v>45601</v>
      </c>
      <c r="R2" s="30">
        <v>45602</v>
      </c>
      <c r="S2" s="30">
        <v>45603</v>
      </c>
      <c r="T2" s="30">
        <v>45604</v>
      </c>
      <c r="U2" s="31" t="s">
        <v>109</v>
      </c>
      <c r="V2" s="7" t="s">
        <v>95</v>
      </c>
      <c r="W2" s="8" t="s">
        <v>96</v>
      </c>
      <c r="X2" s="9" t="s">
        <v>97</v>
      </c>
    </row>
    <row r="3" spans="2:24" ht="36.950000000000003" customHeight="1" x14ac:dyDescent="0.25">
      <c r="B3" s="51" t="s">
        <v>110</v>
      </c>
      <c r="C3" s="54" t="s">
        <v>71</v>
      </c>
      <c r="D3" s="32" t="s">
        <v>5</v>
      </c>
      <c r="E3" s="32" t="s">
        <v>72</v>
      </c>
      <c r="F3" s="33">
        <v>3.8039999999999998</v>
      </c>
      <c r="G3" s="33">
        <v>3.8269000000000002</v>
      </c>
      <c r="H3" s="33">
        <v>3.4769999999999999</v>
      </c>
      <c r="I3" s="33">
        <v>3.4906000000000001</v>
      </c>
      <c r="J3" s="33">
        <v>3.4645000000000001</v>
      </c>
      <c r="K3" s="33">
        <v>3.4588000000000001</v>
      </c>
      <c r="L3" s="33">
        <v>3.46</v>
      </c>
      <c r="M3" s="33">
        <v>3.4719000000000002</v>
      </c>
      <c r="N3" s="33">
        <v>3.4508000000000001</v>
      </c>
      <c r="O3" s="33">
        <v>3.4363999999999999</v>
      </c>
      <c r="P3" s="33">
        <v>3.4298999999999999</v>
      </c>
      <c r="Q3" s="33">
        <v>3.4411999999999998</v>
      </c>
      <c r="R3" s="33">
        <v>3.4405999999999999</v>
      </c>
      <c r="S3" s="33">
        <v>3.43</v>
      </c>
      <c r="T3" s="33">
        <v>3.4030999999999998</v>
      </c>
      <c r="U3" s="34"/>
      <c r="V3" s="24">
        <f>(T3-S3)/S3</f>
        <v>-7.8425655976677461E-3</v>
      </c>
      <c r="W3" s="22">
        <f>(T3-M3)/M3</f>
        <v>-1.9816238946974398E-2</v>
      </c>
      <c r="X3" s="23">
        <f>(T3-F3)/F3</f>
        <v>-0.10538906414300737</v>
      </c>
    </row>
    <row r="4" spans="2:24" ht="36.950000000000003" customHeight="1" x14ac:dyDescent="0.25">
      <c r="B4" s="52" t="s">
        <v>111</v>
      </c>
      <c r="C4" s="55" t="s">
        <v>157</v>
      </c>
      <c r="D4" s="35" t="s">
        <v>13</v>
      </c>
      <c r="E4" s="35" t="s">
        <v>72</v>
      </c>
      <c r="F4" s="36">
        <v>3.4996999999999998</v>
      </c>
      <c r="G4" s="36">
        <v>3.5118999999999998</v>
      </c>
      <c r="H4" s="36">
        <v>3.2073</v>
      </c>
      <c r="I4" s="36">
        <v>3.2305000000000001</v>
      </c>
      <c r="J4" s="36">
        <v>3.1665999999999999</v>
      </c>
      <c r="K4" s="36">
        <v>3.1509999999999998</v>
      </c>
      <c r="L4" s="36">
        <v>3.1328</v>
      </c>
      <c r="M4" s="36">
        <v>3.1511999999999998</v>
      </c>
      <c r="N4" s="36">
        <v>3.1859999999999999</v>
      </c>
      <c r="O4" s="36">
        <v>3.1932</v>
      </c>
      <c r="P4" s="36">
        <v>3.1867000000000001</v>
      </c>
      <c r="Q4" s="36">
        <v>3.2219000000000002</v>
      </c>
      <c r="R4" s="36">
        <v>3.2256</v>
      </c>
      <c r="S4" s="36">
        <v>3.1907000000000001</v>
      </c>
      <c r="T4" s="36">
        <v>3.2141000000000002</v>
      </c>
      <c r="U4" s="37"/>
      <c r="V4" s="24">
        <f t="shared" ref="V4:V12" si="0">(T4-S4)/S4</f>
        <v>7.3338138966371289E-3</v>
      </c>
      <c r="W4" s="22">
        <f t="shared" ref="W4:W12" si="1">(T4-M4)/M4</f>
        <v>1.996064991114509E-2</v>
      </c>
      <c r="X4" s="23">
        <f t="shared" ref="X4:X12" si="2">(T4-F4)/F4</f>
        <v>-8.1606994885275785E-2</v>
      </c>
    </row>
    <row r="5" spans="2:24" ht="36.950000000000003" customHeight="1" x14ac:dyDescent="0.25">
      <c r="B5" s="52" t="s">
        <v>113</v>
      </c>
      <c r="C5" s="55" t="s">
        <v>158</v>
      </c>
      <c r="D5" s="35" t="s">
        <v>21</v>
      </c>
      <c r="E5" s="35" t="s">
        <v>72</v>
      </c>
      <c r="F5" s="36">
        <v>3.2475999999999998</v>
      </c>
      <c r="G5" s="36">
        <v>3.2547000000000001</v>
      </c>
      <c r="H5" s="36">
        <v>3.0249999999999999</v>
      </c>
      <c r="I5" s="36">
        <v>3.0670999999999999</v>
      </c>
      <c r="J5" s="36">
        <v>3.0283000000000002</v>
      </c>
      <c r="K5" s="36">
        <v>3.0253000000000001</v>
      </c>
      <c r="L5" s="36">
        <v>2.9996</v>
      </c>
      <c r="M5" s="36">
        <v>3.0019999999999998</v>
      </c>
      <c r="N5" s="36">
        <v>3.0417999999999998</v>
      </c>
      <c r="O5" s="36">
        <v>3.0327999999999999</v>
      </c>
      <c r="P5" s="36">
        <v>3.0154000000000001</v>
      </c>
      <c r="Q5" s="36">
        <v>3.0547</v>
      </c>
      <c r="R5" s="36">
        <v>3.0387</v>
      </c>
      <c r="S5" s="36">
        <v>3.0583</v>
      </c>
      <c r="T5" s="36">
        <v>3.0407000000000002</v>
      </c>
      <c r="U5" s="37"/>
      <c r="V5" s="24">
        <f t="shared" si="0"/>
        <v>-5.7548311153254542E-3</v>
      </c>
      <c r="W5" s="22">
        <f t="shared" si="1"/>
        <v>1.2891405729513791E-2</v>
      </c>
      <c r="X5" s="23">
        <f t="shared" si="2"/>
        <v>-6.3708584801083767E-2</v>
      </c>
    </row>
    <row r="6" spans="2:24" ht="36.950000000000003" customHeight="1" x14ac:dyDescent="0.25">
      <c r="B6" s="52" t="s">
        <v>115</v>
      </c>
      <c r="C6" s="55" t="s">
        <v>159</v>
      </c>
      <c r="D6" s="35" t="s">
        <v>29</v>
      </c>
      <c r="E6" s="35" t="s">
        <v>72</v>
      </c>
      <c r="F6" s="36">
        <v>3.0655000000000001</v>
      </c>
      <c r="G6" s="36">
        <v>3.0705</v>
      </c>
      <c r="H6" s="36">
        <v>2.9083000000000001</v>
      </c>
      <c r="I6" s="36">
        <v>2.9348999999999998</v>
      </c>
      <c r="J6" s="36">
        <v>2.8986000000000001</v>
      </c>
      <c r="K6" s="36">
        <v>2.9121999999999999</v>
      </c>
      <c r="L6" s="36">
        <v>2.8717999999999999</v>
      </c>
      <c r="M6" s="36">
        <v>2.9255</v>
      </c>
      <c r="N6" s="36">
        <v>2.8908</v>
      </c>
      <c r="O6" s="36">
        <v>2.9075000000000002</v>
      </c>
      <c r="P6" s="36">
        <v>2.9140999999999999</v>
      </c>
      <c r="Q6" s="36">
        <v>2.9748999999999999</v>
      </c>
      <c r="R6" s="36">
        <v>2.9567999999999999</v>
      </c>
      <c r="S6" s="36">
        <v>2.8984000000000001</v>
      </c>
      <c r="T6" s="36">
        <v>2.9556</v>
      </c>
      <c r="U6" s="37"/>
      <c r="V6" s="24">
        <f t="shared" si="0"/>
        <v>1.9735026221363482E-2</v>
      </c>
      <c r="W6" s="22">
        <f t="shared" si="1"/>
        <v>1.0288839514612892E-2</v>
      </c>
      <c r="X6" s="23">
        <f t="shared" si="2"/>
        <v>-3.5850595335181895E-2</v>
      </c>
    </row>
    <row r="7" spans="2:24" ht="36.950000000000003" customHeight="1" x14ac:dyDescent="0.25">
      <c r="B7" s="52" t="s">
        <v>117</v>
      </c>
      <c r="C7" s="55" t="s">
        <v>81</v>
      </c>
      <c r="D7" s="35" t="s">
        <v>37</v>
      </c>
      <c r="E7" s="35" t="s">
        <v>72</v>
      </c>
      <c r="F7" s="36">
        <v>2.9358</v>
      </c>
      <c r="G7" s="36">
        <v>2.9504999999999999</v>
      </c>
      <c r="H7" s="36">
        <v>2.8500999999999999</v>
      </c>
      <c r="I7" s="36">
        <v>2.879</v>
      </c>
      <c r="J7" s="36">
        <v>2.8506999999999998</v>
      </c>
      <c r="K7" s="36">
        <v>2.85</v>
      </c>
      <c r="L7" s="36">
        <v>2.8168000000000002</v>
      </c>
      <c r="M7" s="36">
        <v>2.8553999999999999</v>
      </c>
      <c r="N7" s="36">
        <v>2.8624000000000001</v>
      </c>
      <c r="O7" s="36">
        <v>2.8793000000000002</v>
      </c>
      <c r="P7" s="36">
        <v>2.8490000000000002</v>
      </c>
      <c r="Q7" s="36">
        <v>2.9045999999999998</v>
      </c>
      <c r="R7" s="36">
        <v>2.9272999999999998</v>
      </c>
      <c r="S7" s="36">
        <v>2.8717000000000001</v>
      </c>
      <c r="T7" s="36">
        <v>2.9013</v>
      </c>
      <c r="U7" s="37"/>
      <c r="V7" s="24">
        <f t="shared" si="0"/>
        <v>1.0307483372218493E-2</v>
      </c>
      <c r="W7" s="22">
        <f t="shared" si="1"/>
        <v>1.6074805631435193E-2</v>
      </c>
      <c r="X7" s="23">
        <f t="shared" si="2"/>
        <v>-1.1751481708563246E-2</v>
      </c>
    </row>
    <row r="8" spans="2:24" ht="36.950000000000003" customHeight="1" x14ac:dyDescent="0.25">
      <c r="B8" s="52" t="s">
        <v>118</v>
      </c>
      <c r="C8" s="55" t="s">
        <v>160</v>
      </c>
      <c r="D8" s="35" t="s">
        <v>45</v>
      </c>
      <c r="E8" s="35" t="s">
        <v>72</v>
      </c>
      <c r="F8" s="36">
        <v>2.8723000000000001</v>
      </c>
      <c r="G8" s="36">
        <v>2.8557000000000001</v>
      </c>
      <c r="H8" s="36">
        <v>2.8060999999999998</v>
      </c>
      <c r="I8" s="36">
        <v>2.8344</v>
      </c>
      <c r="J8" s="36">
        <v>2.8250000000000002</v>
      </c>
      <c r="K8" s="36">
        <v>2.8155999999999999</v>
      </c>
      <c r="L8" s="36">
        <v>2.7665999999999999</v>
      </c>
      <c r="M8" s="36">
        <v>2.8418999999999999</v>
      </c>
      <c r="N8" s="36">
        <v>2.8260999999999998</v>
      </c>
      <c r="O8" s="36">
        <v>2.8599000000000001</v>
      </c>
      <c r="P8" s="36">
        <v>2.8389000000000002</v>
      </c>
      <c r="Q8" s="36">
        <v>2.9083000000000001</v>
      </c>
      <c r="R8" s="36">
        <v>2.8953000000000002</v>
      </c>
      <c r="S8" s="36">
        <v>2.8424</v>
      </c>
      <c r="T8" s="36">
        <v>2.8854000000000002</v>
      </c>
      <c r="U8" s="37"/>
      <c r="V8" s="24">
        <f t="shared" si="0"/>
        <v>1.5128060793695521E-2</v>
      </c>
      <c r="W8" s="22">
        <f t="shared" si="1"/>
        <v>1.5306661036630535E-2</v>
      </c>
      <c r="X8" s="23">
        <f t="shared" si="2"/>
        <v>4.5608049298471991E-3</v>
      </c>
    </row>
    <row r="9" spans="2:24" ht="36.950000000000003" customHeight="1" x14ac:dyDescent="0.25">
      <c r="B9" s="52" t="s">
        <v>119</v>
      </c>
      <c r="C9" s="55" t="s">
        <v>161</v>
      </c>
      <c r="D9" s="35" t="s">
        <v>53</v>
      </c>
      <c r="E9" s="35" t="s">
        <v>72</v>
      </c>
      <c r="F9" s="36">
        <v>2.8153000000000001</v>
      </c>
      <c r="G9" s="36">
        <v>2.8081999999999998</v>
      </c>
      <c r="H9" s="36">
        <v>2.7948</v>
      </c>
      <c r="I9" s="36">
        <v>2.7604000000000002</v>
      </c>
      <c r="J9" s="36">
        <v>2.8125</v>
      </c>
      <c r="K9" s="36">
        <v>2.8066</v>
      </c>
      <c r="L9" s="36">
        <v>2.7654000000000001</v>
      </c>
      <c r="M9" s="36">
        <v>2.823</v>
      </c>
      <c r="N9" s="36">
        <v>2.8046000000000002</v>
      </c>
      <c r="O9" s="36">
        <v>2.8445999999999998</v>
      </c>
      <c r="P9" s="36">
        <v>2.819</v>
      </c>
      <c r="Q9" s="36">
        <v>2.9062999999999999</v>
      </c>
      <c r="R9" s="36">
        <v>2.9165000000000001</v>
      </c>
      <c r="S9" s="36">
        <v>2.8315000000000001</v>
      </c>
      <c r="T9" s="36">
        <v>2.8469000000000002</v>
      </c>
      <c r="U9" s="37"/>
      <c r="V9" s="24">
        <f t="shared" si="0"/>
        <v>5.4388133498146137E-3</v>
      </c>
      <c r="W9" s="22">
        <f t="shared" si="1"/>
        <v>8.4661707403472387E-3</v>
      </c>
      <c r="X9" s="23">
        <f t="shared" si="2"/>
        <v>1.1224381060632995E-2</v>
      </c>
    </row>
    <row r="10" spans="2:24" ht="36.950000000000003" customHeight="1" x14ac:dyDescent="0.25">
      <c r="B10" s="52" t="s">
        <v>120</v>
      </c>
      <c r="C10" s="55" t="s">
        <v>162</v>
      </c>
      <c r="D10" s="35" t="s">
        <v>163</v>
      </c>
      <c r="E10" s="35" t="s">
        <v>72</v>
      </c>
      <c r="F10" s="36">
        <v>2.7652999999999999</v>
      </c>
      <c r="G10" s="36">
        <v>2.7627000000000002</v>
      </c>
      <c r="H10" s="36">
        <v>2.7229000000000001</v>
      </c>
      <c r="I10" s="36">
        <v>2.6539999999999999</v>
      </c>
      <c r="J10" s="36">
        <v>2.7522000000000002</v>
      </c>
      <c r="K10" s="36">
        <v>2.7442000000000002</v>
      </c>
      <c r="L10" s="36">
        <v>2.7018</v>
      </c>
      <c r="M10" s="36">
        <v>2.7783000000000002</v>
      </c>
      <c r="N10" s="36">
        <v>2.7155999999999998</v>
      </c>
      <c r="O10" s="36">
        <v>2.8014999999999999</v>
      </c>
      <c r="P10" s="36">
        <v>2.7852000000000001</v>
      </c>
      <c r="Q10" s="36">
        <v>2.8666</v>
      </c>
      <c r="R10" s="36">
        <v>2.89</v>
      </c>
      <c r="S10" s="36">
        <v>2.7585000000000002</v>
      </c>
      <c r="T10" s="36">
        <v>2.8212000000000002</v>
      </c>
      <c r="U10" s="37"/>
      <c r="V10" s="24">
        <f t="shared" si="0"/>
        <v>2.2729744426318643E-2</v>
      </c>
      <c r="W10" s="22">
        <f t="shared" si="1"/>
        <v>1.5441097073750111E-2</v>
      </c>
      <c r="X10" s="23">
        <f t="shared" si="2"/>
        <v>2.0214804903627197E-2</v>
      </c>
    </row>
    <row r="11" spans="2:24" ht="36.950000000000003" customHeight="1" x14ac:dyDescent="0.25">
      <c r="B11" s="52" t="s">
        <v>121</v>
      </c>
      <c r="C11" s="55" t="s">
        <v>164</v>
      </c>
      <c r="D11" s="35" t="s">
        <v>165</v>
      </c>
      <c r="E11" s="35" t="s">
        <v>72</v>
      </c>
      <c r="F11" s="36">
        <v>2.6770999999999998</v>
      </c>
      <c r="G11" s="36">
        <v>2.6657999999999999</v>
      </c>
      <c r="H11" s="36">
        <v>2.6553</v>
      </c>
      <c r="I11" s="36">
        <v>2.57</v>
      </c>
      <c r="J11" s="36">
        <v>2.6909999999999998</v>
      </c>
      <c r="K11" s="36">
        <v>2.6825999999999999</v>
      </c>
      <c r="L11" s="36">
        <v>2.6375000000000002</v>
      </c>
      <c r="M11" s="36">
        <v>2.7214999999999998</v>
      </c>
      <c r="N11" s="36">
        <v>2.6473</v>
      </c>
      <c r="O11" s="36">
        <v>2.7467000000000001</v>
      </c>
      <c r="P11" s="36">
        <v>2.7294</v>
      </c>
      <c r="Q11" s="36">
        <v>2.8174000000000001</v>
      </c>
      <c r="R11" s="36">
        <v>2.8452999999999999</v>
      </c>
      <c r="S11" s="36">
        <v>2.6960000000000002</v>
      </c>
      <c r="T11" s="36">
        <v>2.7673000000000001</v>
      </c>
      <c r="U11" s="37"/>
      <c r="V11" s="24">
        <f t="shared" si="0"/>
        <v>2.6446587537091955E-2</v>
      </c>
      <c r="W11" s="22">
        <f t="shared" si="1"/>
        <v>1.6828954620613738E-2</v>
      </c>
      <c r="X11" s="23">
        <f t="shared" si="2"/>
        <v>3.3693175451047885E-2</v>
      </c>
    </row>
    <row r="12" spans="2:24" ht="36.950000000000003" customHeight="1" thickBot="1" x14ac:dyDescent="0.3">
      <c r="B12" s="53" t="s">
        <v>122</v>
      </c>
      <c r="C12" s="56" t="s">
        <v>166</v>
      </c>
      <c r="D12" s="38" t="s">
        <v>167</v>
      </c>
      <c r="E12" s="38" t="s">
        <v>72</v>
      </c>
      <c r="F12" s="39">
        <v>3.8372000000000002</v>
      </c>
      <c r="G12" s="39">
        <v>3.9081999999999999</v>
      </c>
      <c r="H12" s="39">
        <v>3.87</v>
      </c>
      <c r="I12" s="39">
        <v>3.8075000000000001</v>
      </c>
      <c r="J12" s="39">
        <v>3.8395999999999999</v>
      </c>
      <c r="K12" s="39">
        <v>3.7839999999999998</v>
      </c>
      <c r="L12" s="39">
        <v>3.7827000000000002</v>
      </c>
      <c r="M12" s="39">
        <v>3.9693999999999998</v>
      </c>
      <c r="N12" s="39">
        <v>3.984</v>
      </c>
      <c r="O12" s="39">
        <v>4.1418999999999997</v>
      </c>
      <c r="P12" s="39">
        <v>4.0461</v>
      </c>
      <c r="Q12" s="39">
        <v>4.0167999999999999</v>
      </c>
      <c r="R12" s="39">
        <v>4.0065</v>
      </c>
      <c r="S12" s="39">
        <v>4.2534000000000001</v>
      </c>
      <c r="T12" s="39">
        <v>4.2622999999999998</v>
      </c>
      <c r="U12" s="40"/>
      <c r="V12" s="25">
        <f t="shared" si="0"/>
        <v>2.0924436921050654E-3</v>
      </c>
      <c r="W12" s="26">
        <f t="shared" si="1"/>
        <v>7.3789489595404836E-2</v>
      </c>
      <c r="X12" s="27">
        <f t="shared" si="2"/>
        <v>0.11078390493067851</v>
      </c>
    </row>
    <row r="13" spans="2:24" ht="36.950000000000003" customHeight="1" x14ac:dyDescent="0.25">
      <c r="C13" s="91" t="s">
        <v>123</v>
      </c>
      <c r="D13" s="91" t="str">
        <f>_xll.DSGRID("CAPRATE.","","-3Q","QTE","Q","")</f>
        <v>$$ER: 0628,CAPRATE.  NO ECONOMIC DATA</v>
      </c>
    </row>
    <row r="14" spans="2:24" ht="15.75" thickBot="1" x14ac:dyDescent="0.3">
      <c r="C14" s="92"/>
      <c r="D14" s="92"/>
    </row>
    <row r="21" spans="12:17" x14ac:dyDescent="0.25">
      <c r="M21" s="14"/>
      <c r="N21" s="14"/>
    </row>
    <row r="22" spans="12:17" x14ac:dyDescent="0.25">
      <c r="L22" s="14"/>
      <c r="O22" s="14"/>
    </row>
    <row r="28" spans="12:17" x14ac:dyDescent="0.25">
      <c r="P28" s="14"/>
      <c r="Q28" s="14"/>
    </row>
    <row r="29" spans="12:17" x14ac:dyDescent="0.25">
      <c r="O29" s="15"/>
    </row>
    <row r="30" spans="12:17" x14ac:dyDescent="0.25">
      <c r="O30" s="15"/>
    </row>
    <row r="31" spans="12:17" x14ac:dyDescent="0.25">
      <c r="O31" s="15"/>
    </row>
    <row r="32" spans="12:17" x14ac:dyDescent="0.25">
      <c r="O32" s="15"/>
    </row>
    <row r="33" spans="15:15" x14ac:dyDescent="0.25">
      <c r="O33" s="15"/>
    </row>
    <row r="34" spans="15:15" x14ac:dyDescent="0.25">
      <c r="O34" s="15"/>
    </row>
    <row r="35" spans="15:15" x14ac:dyDescent="0.25">
      <c r="O35" s="15"/>
    </row>
    <row r="36" spans="15:15" x14ac:dyDescent="0.25">
      <c r="O36" s="15"/>
    </row>
    <row r="37" spans="15:15" x14ac:dyDescent="0.25">
      <c r="O37" s="15"/>
    </row>
    <row r="38" spans="15:15" x14ac:dyDescent="0.25">
      <c r="O38" s="15"/>
    </row>
    <row r="39" spans="15:15" x14ac:dyDescent="0.25">
      <c r="O39" s="15"/>
    </row>
    <row r="40" spans="15:15" x14ac:dyDescent="0.25">
      <c r="O40" s="15"/>
    </row>
    <row r="41" spans="15:15" x14ac:dyDescent="0.25">
      <c r="O41" s="15"/>
    </row>
    <row r="42" spans="15:15" x14ac:dyDescent="0.25">
      <c r="O42" s="15"/>
    </row>
    <row r="43" spans="15:15" x14ac:dyDescent="0.25">
      <c r="O43" s="15"/>
    </row>
    <row r="44" spans="15:15" x14ac:dyDescent="0.25">
      <c r="O44" s="15"/>
    </row>
    <row r="45" spans="15:15" x14ac:dyDescent="0.25">
      <c r="O45" s="15"/>
    </row>
    <row r="46" spans="15:15" x14ac:dyDescent="0.25">
      <c r="O46" s="15"/>
    </row>
    <row r="47" spans="15:15" x14ac:dyDescent="0.25">
      <c r="O47" s="15"/>
    </row>
    <row r="48" spans="15:15" x14ac:dyDescent="0.25">
      <c r="O48" s="15"/>
    </row>
    <row r="49" spans="15:15" x14ac:dyDescent="0.25">
      <c r="O49" s="15"/>
    </row>
    <row r="50" spans="15:15" x14ac:dyDescent="0.25">
      <c r="O50" s="15"/>
    </row>
    <row r="51" spans="15:15" x14ac:dyDescent="0.25">
      <c r="O51" s="15"/>
    </row>
    <row r="52" spans="15:15" x14ac:dyDescent="0.25">
      <c r="O52" s="15"/>
    </row>
    <row r="53" spans="15:15" x14ac:dyDescent="0.25">
      <c r="O53" s="15"/>
    </row>
    <row r="54" spans="15:15" x14ac:dyDescent="0.25">
      <c r="O54" s="15"/>
    </row>
    <row r="55" spans="15:15" x14ac:dyDescent="0.25">
      <c r="O55" s="15"/>
    </row>
    <row r="56" spans="15:15" x14ac:dyDescent="0.25">
      <c r="O56" s="15"/>
    </row>
    <row r="57" spans="15:15" x14ac:dyDescent="0.25">
      <c r="O57" s="15"/>
    </row>
    <row r="58" spans="15:15" x14ac:dyDescent="0.25">
      <c r="O58" s="15"/>
    </row>
    <row r="59" spans="15:15" x14ac:dyDescent="0.25">
      <c r="O59" s="15"/>
    </row>
    <row r="60" spans="15:15" x14ac:dyDescent="0.25">
      <c r="O60" s="15"/>
    </row>
    <row r="61" spans="15:15" x14ac:dyDescent="0.25">
      <c r="O61" s="15"/>
    </row>
    <row r="62" spans="15:15" x14ac:dyDescent="0.25">
      <c r="O62" s="15"/>
    </row>
    <row r="63" spans="15:15" x14ac:dyDescent="0.25">
      <c r="O63" s="15"/>
    </row>
    <row r="64" spans="15:15" x14ac:dyDescent="0.25">
      <c r="O64" s="15"/>
    </row>
    <row r="65" spans="15:15" x14ac:dyDescent="0.25">
      <c r="O65" s="15"/>
    </row>
    <row r="66" spans="15:15" x14ac:dyDescent="0.25">
      <c r="O66" s="15"/>
    </row>
    <row r="67" spans="15:15" x14ac:dyDescent="0.25">
      <c r="O67" s="15"/>
    </row>
    <row r="68" spans="15:15" x14ac:dyDescent="0.25">
      <c r="O68" s="15"/>
    </row>
    <row r="69" spans="15:15" x14ac:dyDescent="0.25">
      <c r="O69" s="15"/>
    </row>
    <row r="70" spans="15:15" x14ac:dyDescent="0.25">
      <c r="O70" s="15"/>
    </row>
    <row r="71" spans="15:15" x14ac:dyDescent="0.25">
      <c r="O71" s="15"/>
    </row>
    <row r="72" spans="15:15" x14ac:dyDescent="0.25">
      <c r="O72" s="15"/>
    </row>
    <row r="73" spans="15:15" x14ac:dyDescent="0.25">
      <c r="O73" s="15"/>
    </row>
    <row r="74" spans="15:15" x14ac:dyDescent="0.25">
      <c r="O74" s="15"/>
    </row>
    <row r="75" spans="15:15" x14ac:dyDescent="0.25">
      <c r="O75" s="15"/>
    </row>
    <row r="76" spans="15:15" x14ac:dyDescent="0.25">
      <c r="O76" s="15"/>
    </row>
    <row r="77" spans="15:15" x14ac:dyDescent="0.25">
      <c r="O77" s="15"/>
    </row>
    <row r="78" spans="15:15" x14ac:dyDescent="0.25">
      <c r="O78" s="15"/>
    </row>
    <row r="79" spans="15:15" x14ac:dyDescent="0.25">
      <c r="O79" s="15"/>
    </row>
    <row r="80" spans="15:15" x14ac:dyDescent="0.25">
      <c r="O80" s="15"/>
    </row>
    <row r="81" spans="15:15" x14ac:dyDescent="0.25">
      <c r="O81" s="15"/>
    </row>
    <row r="82" spans="15:15" x14ac:dyDescent="0.25">
      <c r="O82" s="15"/>
    </row>
    <row r="83" spans="15:15" x14ac:dyDescent="0.25">
      <c r="O83" s="15"/>
    </row>
    <row r="84" spans="15:15" x14ac:dyDescent="0.25">
      <c r="O84" s="15"/>
    </row>
    <row r="85" spans="15:15" x14ac:dyDescent="0.25">
      <c r="O85" s="15"/>
    </row>
    <row r="86" spans="15:15" x14ac:dyDescent="0.25">
      <c r="O86" s="15"/>
    </row>
    <row r="87" spans="15:15" x14ac:dyDescent="0.25">
      <c r="O87" s="15"/>
    </row>
    <row r="88" spans="15:15" x14ac:dyDescent="0.25">
      <c r="O88" s="15"/>
    </row>
    <row r="89" spans="15:15" x14ac:dyDescent="0.25">
      <c r="O89" s="15"/>
    </row>
    <row r="90" spans="15:15" x14ac:dyDescent="0.25">
      <c r="O90" s="15"/>
    </row>
    <row r="91" spans="15:15" x14ac:dyDescent="0.25">
      <c r="O91" s="15"/>
    </row>
    <row r="92" spans="15:15" x14ac:dyDescent="0.25">
      <c r="O92" s="15"/>
    </row>
    <row r="93" spans="15:15" x14ac:dyDescent="0.25">
      <c r="O93" s="15"/>
    </row>
    <row r="94" spans="15:15" x14ac:dyDescent="0.25">
      <c r="O94" s="15"/>
    </row>
    <row r="95" spans="15:15" x14ac:dyDescent="0.25">
      <c r="O95" s="15"/>
    </row>
    <row r="96" spans="15:15" x14ac:dyDescent="0.25">
      <c r="O96" s="15"/>
    </row>
    <row r="97" spans="15:15" x14ac:dyDescent="0.25">
      <c r="O97" s="15"/>
    </row>
    <row r="98" spans="15:15" x14ac:dyDescent="0.25">
      <c r="O98" s="15"/>
    </row>
    <row r="99" spans="15:15" x14ac:dyDescent="0.25">
      <c r="O99" s="15"/>
    </row>
    <row r="100" spans="15:15" x14ac:dyDescent="0.25">
      <c r="O100" s="15"/>
    </row>
    <row r="101" spans="15:15" x14ac:dyDescent="0.25">
      <c r="O101" s="15"/>
    </row>
    <row r="102" spans="15:15" x14ac:dyDescent="0.25">
      <c r="O102" s="15"/>
    </row>
    <row r="103" spans="15:15" x14ac:dyDescent="0.25">
      <c r="O103" s="15"/>
    </row>
    <row r="104" spans="15:15" x14ac:dyDescent="0.25">
      <c r="O104" s="15"/>
    </row>
    <row r="105" spans="15:15" x14ac:dyDescent="0.25">
      <c r="O105" s="15"/>
    </row>
    <row r="106" spans="15:15" x14ac:dyDescent="0.25">
      <c r="O106" s="15"/>
    </row>
    <row r="107" spans="15:15" x14ac:dyDescent="0.25">
      <c r="O107" s="15"/>
    </row>
    <row r="108" spans="15:15" x14ac:dyDescent="0.25">
      <c r="O108" s="15"/>
    </row>
    <row r="109" spans="15:15" x14ac:dyDescent="0.25">
      <c r="O109" s="15"/>
    </row>
    <row r="110" spans="15:15" x14ac:dyDescent="0.25">
      <c r="O110" s="15"/>
    </row>
    <row r="111" spans="15:15" x14ac:dyDescent="0.25">
      <c r="O111" s="15"/>
    </row>
    <row r="112" spans="15:15" x14ac:dyDescent="0.25">
      <c r="O112" s="15"/>
    </row>
    <row r="113" spans="15:15" x14ac:dyDescent="0.25">
      <c r="O113" s="15"/>
    </row>
    <row r="114" spans="15:15" x14ac:dyDescent="0.25">
      <c r="O114" s="15"/>
    </row>
    <row r="115" spans="15:15" x14ac:dyDescent="0.25">
      <c r="O115" s="15"/>
    </row>
    <row r="116" spans="15:15" x14ac:dyDescent="0.25">
      <c r="O116" s="15"/>
    </row>
    <row r="117" spans="15:15" x14ac:dyDescent="0.25">
      <c r="O117" s="15"/>
    </row>
    <row r="118" spans="15:15" x14ac:dyDescent="0.25">
      <c r="O118" s="15"/>
    </row>
    <row r="119" spans="15:15" x14ac:dyDescent="0.25">
      <c r="O119" s="15"/>
    </row>
    <row r="120" spans="15:15" x14ac:dyDescent="0.25">
      <c r="O120" s="15"/>
    </row>
    <row r="121" spans="15:15" x14ac:dyDescent="0.25">
      <c r="O121" s="15"/>
    </row>
    <row r="122" spans="15:15" x14ac:dyDescent="0.25">
      <c r="O122" s="15"/>
    </row>
    <row r="123" spans="15:15" x14ac:dyDescent="0.25">
      <c r="O123" s="15"/>
    </row>
    <row r="124" spans="15:15" x14ac:dyDescent="0.25">
      <c r="O124" s="15"/>
    </row>
    <row r="125" spans="15:15" x14ac:dyDescent="0.25">
      <c r="O125" s="15"/>
    </row>
    <row r="126" spans="15:15" x14ac:dyDescent="0.25">
      <c r="O126" s="15"/>
    </row>
    <row r="127" spans="15:15" x14ac:dyDescent="0.25">
      <c r="O127" s="15"/>
    </row>
    <row r="128" spans="15:15" x14ac:dyDescent="0.25">
      <c r="O128" s="15"/>
    </row>
    <row r="129" spans="15:15" x14ac:dyDescent="0.25">
      <c r="O129" s="15"/>
    </row>
    <row r="130" spans="15:15" x14ac:dyDescent="0.25">
      <c r="O130" s="15"/>
    </row>
    <row r="131" spans="15:15" x14ac:dyDescent="0.25">
      <c r="O131" s="15"/>
    </row>
    <row r="132" spans="15:15" x14ac:dyDescent="0.25">
      <c r="O132" s="15"/>
    </row>
    <row r="133" spans="15:15" x14ac:dyDescent="0.25">
      <c r="O133" s="15"/>
    </row>
    <row r="134" spans="15:15" x14ac:dyDescent="0.25">
      <c r="O134" s="15"/>
    </row>
    <row r="135" spans="15:15" x14ac:dyDescent="0.25">
      <c r="O135" s="15"/>
    </row>
    <row r="136" spans="15:15" x14ac:dyDescent="0.25">
      <c r="O136" s="15"/>
    </row>
    <row r="137" spans="15:15" x14ac:dyDescent="0.25">
      <c r="O137" s="15"/>
    </row>
    <row r="138" spans="15:15" x14ac:dyDescent="0.25">
      <c r="O138" s="15"/>
    </row>
    <row r="139" spans="15:15" x14ac:dyDescent="0.25">
      <c r="O139" s="15"/>
    </row>
    <row r="140" spans="15:15" x14ac:dyDescent="0.25">
      <c r="O140" s="15"/>
    </row>
    <row r="141" spans="15:15" x14ac:dyDescent="0.25">
      <c r="O141" s="15"/>
    </row>
    <row r="142" spans="15:15" x14ac:dyDescent="0.25">
      <c r="O142" s="15"/>
    </row>
    <row r="143" spans="15:15" x14ac:dyDescent="0.25">
      <c r="O143" s="15"/>
    </row>
    <row r="144" spans="15:15" x14ac:dyDescent="0.25">
      <c r="O144" s="15"/>
    </row>
    <row r="145" spans="15:15" x14ac:dyDescent="0.25">
      <c r="O145" s="15"/>
    </row>
    <row r="146" spans="15:15" x14ac:dyDescent="0.25">
      <c r="O146" s="15"/>
    </row>
    <row r="147" spans="15:15" x14ac:dyDescent="0.25">
      <c r="O147" s="15"/>
    </row>
    <row r="148" spans="15:15" x14ac:dyDescent="0.25">
      <c r="O148" s="15"/>
    </row>
    <row r="149" spans="15:15" x14ac:dyDescent="0.25">
      <c r="O149" s="15"/>
    </row>
    <row r="150" spans="15:15" x14ac:dyDescent="0.25">
      <c r="O150" s="15"/>
    </row>
    <row r="151" spans="15:15" x14ac:dyDescent="0.25">
      <c r="O151" s="15"/>
    </row>
    <row r="152" spans="15:15" x14ac:dyDescent="0.25">
      <c r="O152" s="15"/>
    </row>
    <row r="153" spans="15:15" x14ac:dyDescent="0.25">
      <c r="O153" s="15"/>
    </row>
    <row r="154" spans="15:15" x14ac:dyDescent="0.25">
      <c r="O154" s="15"/>
    </row>
    <row r="155" spans="15:15" x14ac:dyDescent="0.25">
      <c r="O155" s="15"/>
    </row>
    <row r="156" spans="15:15" x14ac:dyDescent="0.25">
      <c r="O156" s="15"/>
    </row>
    <row r="157" spans="15:15" x14ac:dyDescent="0.25">
      <c r="O157" s="15"/>
    </row>
    <row r="158" spans="15:15" x14ac:dyDescent="0.25">
      <c r="O158" s="15"/>
    </row>
    <row r="159" spans="15:15" x14ac:dyDescent="0.25">
      <c r="O159" s="15"/>
    </row>
    <row r="160" spans="15:15" x14ac:dyDescent="0.25">
      <c r="O160" s="15"/>
    </row>
    <row r="161" spans="15:15" x14ac:dyDescent="0.25">
      <c r="O161" s="15"/>
    </row>
    <row r="162" spans="15:15" x14ac:dyDescent="0.25">
      <c r="O162" s="15"/>
    </row>
    <row r="163" spans="15:15" x14ac:dyDescent="0.25">
      <c r="O163" s="15"/>
    </row>
    <row r="164" spans="15:15" x14ac:dyDescent="0.25">
      <c r="O164" s="15"/>
    </row>
    <row r="165" spans="15:15" x14ac:dyDescent="0.25">
      <c r="O165" s="15"/>
    </row>
    <row r="166" spans="15:15" x14ac:dyDescent="0.25">
      <c r="O166" s="15"/>
    </row>
    <row r="167" spans="15:15" x14ac:dyDescent="0.25">
      <c r="O167" s="15"/>
    </row>
    <row r="168" spans="15:15" x14ac:dyDescent="0.25">
      <c r="O168" s="15"/>
    </row>
    <row r="169" spans="15:15" x14ac:dyDescent="0.25">
      <c r="O169" s="15"/>
    </row>
    <row r="170" spans="15:15" x14ac:dyDescent="0.25">
      <c r="O170" s="15"/>
    </row>
    <row r="171" spans="15:15" x14ac:dyDescent="0.25">
      <c r="O171" s="15"/>
    </row>
    <row r="172" spans="15:15" x14ac:dyDescent="0.25">
      <c r="O172" s="15"/>
    </row>
    <row r="173" spans="15:15" x14ac:dyDescent="0.25">
      <c r="O173" s="15"/>
    </row>
    <row r="174" spans="15:15" x14ac:dyDescent="0.25">
      <c r="O174" s="15"/>
    </row>
    <row r="175" spans="15:15" x14ac:dyDescent="0.25">
      <c r="O175" s="15"/>
    </row>
    <row r="176" spans="15:15" x14ac:dyDescent="0.25">
      <c r="O176" s="15"/>
    </row>
    <row r="177" spans="15:15" x14ac:dyDescent="0.25">
      <c r="O177" s="15"/>
    </row>
    <row r="178" spans="15:15" x14ac:dyDescent="0.25">
      <c r="O178" s="15"/>
    </row>
    <row r="179" spans="15:15" x14ac:dyDescent="0.25">
      <c r="O179" s="15"/>
    </row>
    <row r="180" spans="15:15" x14ac:dyDescent="0.25">
      <c r="O180" s="15"/>
    </row>
    <row r="181" spans="15:15" x14ac:dyDescent="0.25">
      <c r="O181" s="15"/>
    </row>
    <row r="182" spans="15:15" x14ac:dyDescent="0.25">
      <c r="O182" s="15"/>
    </row>
    <row r="183" spans="15:15" x14ac:dyDescent="0.25">
      <c r="O183" s="15"/>
    </row>
    <row r="184" spans="15:15" x14ac:dyDescent="0.25">
      <c r="O184" s="15"/>
    </row>
    <row r="185" spans="15:15" x14ac:dyDescent="0.25">
      <c r="O185" s="15"/>
    </row>
    <row r="186" spans="15:15" x14ac:dyDescent="0.25">
      <c r="O186" s="15"/>
    </row>
    <row r="187" spans="15:15" x14ac:dyDescent="0.25">
      <c r="O187" s="15"/>
    </row>
    <row r="188" spans="15:15" x14ac:dyDescent="0.25">
      <c r="O188" s="15"/>
    </row>
    <row r="189" spans="15:15" x14ac:dyDescent="0.25">
      <c r="O189" s="15"/>
    </row>
    <row r="190" spans="15:15" x14ac:dyDescent="0.25">
      <c r="O190" s="15"/>
    </row>
    <row r="191" spans="15:15" x14ac:dyDescent="0.25">
      <c r="O191" s="15"/>
    </row>
    <row r="192" spans="15:15" x14ac:dyDescent="0.25">
      <c r="O192" s="15"/>
    </row>
    <row r="193" spans="15:15" x14ac:dyDescent="0.25">
      <c r="O193" s="15"/>
    </row>
    <row r="194" spans="15:15" x14ac:dyDescent="0.25">
      <c r="O194" s="15"/>
    </row>
    <row r="195" spans="15:15" x14ac:dyDescent="0.25">
      <c r="O195" s="15"/>
    </row>
    <row r="196" spans="15:15" x14ac:dyDescent="0.25">
      <c r="O196" s="15"/>
    </row>
    <row r="197" spans="15:15" x14ac:dyDescent="0.25">
      <c r="O197" s="15"/>
    </row>
    <row r="198" spans="15:15" x14ac:dyDescent="0.25">
      <c r="O198" s="15"/>
    </row>
    <row r="199" spans="15:15" x14ac:dyDescent="0.25">
      <c r="O199" s="15"/>
    </row>
    <row r="200" spans="15:15" x14ac:dyDescent="0.25">
      <c r="O200" s="15"/>
    </row>
    <row r="201" spans="15:15" x14ac:dyDescent="0.25">
      <c r="O201" s="15"/>
    </row>
    <row r="202" spans="15:15" x14ac:dyDescent="0.25">
      <c r="O202" s="15"/>
    </row>
    <row r="203" spans="15:15" x14ac:dyDescent="0.25">
      <c r="O203" s="15"/>
    </row>
    <row r="204" spans="15:15" x14ac:dyDescent="0.25">
      <c r="O204" s="15"/>
    </row>
    <row r="205" spans="15:15" x14ac:dyDescent="0.25">
      <c r="O205" s="15"/>
    </row>
    <row r="206" spans="15:15" x14ac:dyDescent="0.25">
      <c r="O206" s="15"/>
    </row>
    <row r="207" spans="15:15" x14ac:dyDescent="0.25">
      <c r="O207" s="15"/>
    </row>
    <row r="208" spans="15:15" x14ac:dyDescent="0.25">
      <c r="O208" s="15"/>
    </row>
    <row r="209" spans="15:15" x14ac:dyDescent="0.25">
      <c r="O209" s="15"/>
    </row>
    <row r="210" spans="15:15" x14ac:dyDescent="0.25">
      <c r="O210" s="15"/>
    </row>
    <row r="211" spans="15:15" x14ac:dyDescent="0.25">
      <c r="O211" s="15"/>
    </row>
    <row r="212" spans="15:15" x14ac:dyDescent="0.25">
      <c r="O212" s="15"/>
    </row>
    <row r="213" spans="15:15" x14ac:dyDescent="0.25">
      <c r="O213" s="15"/>
    </row>
    <row r="214" spans="15:15" x14ac:dyDescent="0.25">
      <c r="O214" s="15"/>
    </row>
    <row r="215" spans="15:15" x14ac:dyDescent="0.25">
      <c r="O215" s="15"/>
    </row>
    <row r="216" spans="15:15" x14ac:dyDescent="0.25">
      <c r="O216" s="15"/>
    </row>
    <row r="217" spans="15:15" x14ac:dyDescent="0.25">
      <c r="O217" s="15"/>
    </row>
    <row r="218" spans="15:15" x14ac:dyDescent="0.25">
      <c r="O218" s="15"/>
    </row>
    <row r="219" spans="15:15" x14ac:dyDescent="0.25">
      <c r="O219" s="15"/>
    </row>
    <row r="220" spans="15:15" x14ac:dyDescent="0.25">
      <c r="O220" s="15"/>
    </row>
    <row r="221" spans="15:15" x14ac:dyDescent="0.25">
      <c r="O221" s="15"/>
    </row>
    <row r="222" spans="15:15" x14ac:dyDescent="0.25">
      <c r="O222" s="15"/>
    </row>
    <row r="223" spans="15:15" x14ac:dyDescent="0.25">
      <c r="O223" s="15"/>
    </row>
    <row r="224" spans="15:15" x14ac:dyDescent="0.25">
      <c r="O224" s="15"/>
    </row>
    <row r="225" spans="15:15" x14ac:dyDescent="0.25">
      <c r="O225" s="15"/>
    </row>
    <row r="226" spans="15:15" x14ac:dyDescent="0.25">
      <c r="O226" s="15"/>
    </row>
    <row r="227" spans="15:15" x14ac:dyDescent="0.25">
      <c r="O227" s="15"/>
    </row>
    <row r="228" spans="15:15" x14ac:dyDescent="0.25">
      <c r="O228" s="15"/>
    </row>
    <row r="229" spans="15:15" x14ac:dyDescent="0.25">
      <c r="O229" s="15"/>
    </row>
    <row r="230" spans="15:15" x14ac:dyDescent="0.25">
      <c r="O230" s="15"/>
    </row>
    <row r="231" spans="15:15" x14ac:dyDescent="0.25">
      <c r="O231" s="15"/>
    </row>
    <row r="232" spans="15:15" x14ac:dyDescent="0.25">
      <c r="O232" s="15"/>
    </row>
    <row r="233" spans="15:15" x14ac:dyDescent="0.25">
      <c r="O233" s="15"/>
    </row>
    <row r="234" spans="15:15" x14ac:dyDescent="0.25">
      <c r="O234" s="15"/>
    </row>
    <row r="235" spans="15:15" x14ac:dyDescent="0.25">
      <c r="O235" s="15"/>
    </row>
    <row r="236" spans="15:15" x14ac:dyDescent="0.25">
      <c r="O236" s="15"/>
    </row>
    <row r="237" spans="15:15" x14ac:dyDescent="0.25">
      <c r="O237" s="15"/>
    </row>
    <row r="238" spans="15:15" x14ac:dyDescent="0.25">
      <c r="O238" s="15"/>
    </row>
    <row r="239" spans="15:15" x14ac:dyDescent="0.25">
      <c r="O239" s="15"/>
    </row>
    <row r="240" spans="15:15" x14ac:dyDescent="0.25">
      <c r="O240" s="15"/>
    </row>
    <row r="241" spans="15:15" x14ac:dyDescent="0.25">
      <c r="O241" s="15"/>
    </row>
    <row r="242" spans="15:15" x14ac:dyDescent="0.25">
      <c r="O242" s="15"/>
    </row>
    <row r="243" spans="15:15" x14ac:dyDescent="0.25">
      <c r="O243" s="15"/>
    </row>
    <row r="244" spans="15:15" x14ac:dyDescent="0.25">
      <c r="O244" s="15"/>
    </row>
    <row r="245" spans="15:15" x14ac:dyDescent="0.25">
      <c r="O245" s="15"/>
    </row>
    <row r="246" spans="15:15" x14ac:dyDescent="0.25">
      <c r="O246" s="15"/>
    </row>
    <row r="247" spans="15:15" x14ac:dyDescent="0.25">
      <c r="O247" s="15"/>
    </row>
    <row r="248" spans="15:15" x14ac:dyDescent="0.25">
      <c r="O248" s="15"/>
    </row>
    <row r="249" spans="15:15" x14ac:dyDescent="0.25">
      <c r="O249" s="15"/>
    </row>
    <row r="250" spans="15:15" x14ac:dyDescent="0.25">
      <c r="O250" s="15"/>
    </row>
    <row r="251" spans="15:15" x14ac:dyDescent="0.25">
      <c r="O251" s="15"/>
    </row>
    <row r="252" spans="15:15" x14ac:dyDescent="0.25">
      <c r="O252" s="15"/>
    </row>
    <row r="253" spans="15:15" x14ac:dyDescent="0.25">
      <c r="O253" s="15"/>
    </row>
    <row r="254" spans="15:15" x14ac:dyDescent="0.25">
      <c r="O254" s="15"/>
    </row>
    <row r="255" spans="15:15" x14ac:dyDescent="0.25">
      <c r="O255" s="15"/>
    </row>
    <row r="256" spans="15:15" x14ac:dyDescent="0.25">
      <c r="O256" s="15"/>
    </row>
    <row r="257" spans="15:15" x14ac:dyDescent="0.25">
      <c r="O257" s="15"/>
    </row>
    <row r="258" spans="15:15" x14ac:dyDescent="0.25">
      <c r="O258" s="15"/>
    </row>
    <row r="259" spans="15:15" x14ac:dyDescent="0.25">
      <c r="O259" s="15"/>
    </row>
    <row r="260" spans="15:15" x14ac:dyDescent="0.25">
      <c r="O260" s="15"/>
    </row>
    <row r="261" spans="15:15" x14ac:dyDescent="0.25">
      <c r="O261" s="15"/>
    </row>
    <row r="262" spans="15:15" x14ac:dyDescent="0.25">
      <c r="O262" s="15"/>
    </row>
    <row r="263" spans="15:15" x14ac:dyDescent="0.25">
      <c r="O263" s="15"/>
    </row>
    <row r="264" spans="15:15" x14ac:dyDescent="0.25">
      <c r="O264" s="15"/>
    </row>
    <row r="265" spans="15:15" x14ac:dyDescent="0.25">
      <c r="O265" s="15"/>
    </row>
    <row r="266" spans="15:15" x14ac:dyDescent="0.25">
      <c r="O266" s="15"/>
    </row>
    <row r="267" spans="15:15" x14ac:dyDescent="0.25">
      <c r="O267" s="15"/>
    </row>
    <row r="268" spans="15:15" x14ac:dyDescent="0.25">
      <c r="O268" s="15"/>
    </row>
    <row r="269" spans="15:15" x14ac:dyDescent="0.25">
      <c r="O269" s="15"/>
    </row>
    <row r="270" spans="15:15" x14ac:dyDescent="0.25">
      <c r="O270" s="15"/>
    </row>
    <row r="271" spans="15:15" x14ac:dyDescent="0.25">
      <c r="O271" s="15"/>
    </row>
    <row r="272" spans="15:15" x14ac:dyDescent="0.25">
      <c r="O272" s="15"/>
    </row>
    <row r="273" spans="15:15" x14ac:dyDescent="0.25">
      <c r="O273" s="15"/>
    </row>
    <row r="274" spans="15:15" x14ac:dyDescent="0.25">
      <c r="O274" s="15"/>
    </row>
    <row r="275" spans="15:15" x14ac:dyDescent="0.25">
      <c r="O275" s="15"/>
    </row>
    <row r="276" spans="15:15" x14ac:dyDescent="0.25">
      <c r="O276" s="15"/>
    </row>
    <row r="277" spans="15:15" x14ac:dyDescent="0.25">
      <c r="O277" s="15"/>
    </row>
    <row r="278" spans="15:15" x14ac:dyDescent="0.25">
      <c r="O278" s="15"/>
    </row>
    <row r="279" spans="15:15" x14ac:dyDescent="0.25">
      <c r="O279" s="15"/>
    </row>
    <row r="280" spans="15:15" x14ac:dyDescent="0.25">
      <c r="O280" s="15"/>
    </row>
    <row r="281" spans="15:15" x14ac:dyDescent="0.25">
      <c r="O281" s="15"/>
    </row>
    <row r="282" spans="15:15" x14ac:dyDescent="0.25">
      <c r="O282" s="15"/>
    </row>
    <row r="283" spans="15:15" x14ac:dyDescent="0.25">
      <c r="O283" s="15"/>
    </row>
    <row r="284" spans="15:15" x14ac:dyDescent="0.25">
      <c r="O284" s="15"/>
    </row>
    <row r="285" spans="15:15" x14ac:dyDescent="0.25">
      <c r="O285" s="15"/>
    </row>
    <row r="286" spans="15:15" x14ac:dyDescent="0.25">
      <c r="O286" s="15"/>
    </row>
    <row r="287" spans="15:15" x14ac:dyDescent="0.25">
      <c r="O287" s="15"/>
    </row>
    <row r="288" spans="15:15" x14ac:dyDescent="0.25">
      <c r="O288" s="15"/>
    </row>
    <row r="289" spans="15:15" x14ac:dyDescent="0.25">
      <c r="O289" s="15"/>
    </row>
    <row r="290" spans="15:15" x14ac:dyDescent="0.25">
      <c r="O290" s="15"/>
    </row>
    <row r="291" spans="15:15" x14ac:dyDescent="0.25">
      <c r="O291" s="15"/>
    </row>
    <row r="292" spans="15:15" x14ac:dyDescent="0.25">
      <c r="O292" s="15"/>
    </row>
    <row r="293" spans="15:15" x14ac:dyDescent="0.25">
      <c r="O293" s="15"/>
    </row>
    <row r="294" spans="15:15" x14ac:dyDescent="0.25">
      <c r="O294" s="15"/>
    </row>
    <row r="295" spans="15:15" x14ac:dyDescent="0.25">
      <c r="O295" s="15"/>
    </row>
    <row r="296" spans="15:15" x14ac:dyDescent="0.25">
      <c r="O296" s="15"/>
    </row>
    <row r="297" spans="15:15" x14ac:dyDescent="0.25">
      <c r="O297" s="15"/>
    </row>
    <row r="298" spans="15:15" x14ac:dyDescent="0.25">
      <c r="O298" s="15"/>
    </row>
    <row r="299" spans="15:15" x14ac:dyDescent="0.25">
      <c r="O299" s="15"/>
    </row>
    <row r="300" spans="15:15" x14ac:dyDescent="0.25">
      <c r="O300" s="15"/>
    </row>
    <row r="301" spans="15:15" x14ac:dyDescent="0.25">
      <c r="O301" s="15"/>
    </row>
    <row r="302" spans="15:15" x14ac:dyDescent="0.25">
      <c r="O302" s="15"/>
    </row>
    <row r="303" spans="15:15" x14ac:dyDescent="0.25">
      <c r="O303" s="15"/>
    </row>
    <row r="304" spans="15:15" x14ac:dyDescent="0.25">
      <c r="O304" s="15"/>
    </row>
    <row r="305" spans="15:15" x14ac:dyDescent="0.25">
      <c r="O305" s="15"/>
    </row>
    <row r="306" spans="15:15" x14ac:dyDescent="0.25">
      <c r="O306" s="15"/>
    </row>
    <row r="307" spans="15:15" x14ac:dyDescent="0.25">
      <c r="O307" s="15"/>
    </row>
    <row r="308" spans="15:15" x14ac:dyDescent="0.25">
      <c r="O308" s="15"/>
    </row>
    <row r="309" spans="15:15" x14ac:dyDescent="0.25">
      <c r="O309" s="15"/>
    </row>
    <row r="310" spans="15:15" x14ac:dyDescent="0.25">
      <c r="O310" s="15"/>
    </row>
    <row r="311" spans="15:15" x14ac:dyDescent="0.25">
      <c r="O311" s="15"/>
    </row>
    <row r="312" spans="15:15" x14ac:dyDescent="0.25">
      <c r="O312" s="15"/>
    </row>
    <row r="313" spans="15:15" x14ac:dyDescent="0.25">
      <c r="O313" s="15"/>
    </row>
    <row r="314" spans="15:15" x14ac:dyDescent="0.25">
      <c r="O314" s="15"/>
    </row>
    <row r="315" spans="15:15" x14ac:dyDescent="0.25">
      <c r="O315" s="15"/>
    </row>
    <row r="316" spans="15:15" x14ac:dyDescent="0.25">
      <c r="O316" s="15"/>
    </row>
    <row r="317" spans="15:15" x14ac:dyDescent="0.25">
      <c r="O317" s="15"/>
    </row>
    <row r="318" spans="15:15" x14ac:dyDescent="0.25">
      <c r="O318" s="15"/>
    </row>
    <row r="319" spans="15:15" x14ac:dyDescent="0.25">
      <c r="O319" s="15"/>
    </row>
    <row r="320" spans="15:15" x14ac:dyDescent="0.25">
      <c r="O320" s="15"/>
    </row>
    <row r="321" spans="15:15" x14ac:dyDescent="0.25">
      <c r="O321" s="15"/>
    </row>
    <row r="322" spans="15:15" x14ac:dyDescent="0.25">
      <c r="O322" s="15"/>
    </row>
    <row r="323" spans="15:15" x14ac:dyDescent="0.25">
      <c r="O323" s="15"/>
    </row>
    <row r="324" spans="15:15" x14ac:dyDescent="0.25">
      <c r="O324" s="15"/>
    </row>
    <row r="325" spans="15:15" x14ac:dyDescent="0.25">
      <c r="O325" s="15"/>
    </row>
    <row r="326" spans="15:15" x14ac:dyDescent="0.25">
      <c r="O326" s="15"/>
    </row>
    <row r="327" spans="15:15" x14ac:dyDescent="0.25">
      <c r="O327" s="15"/>
    </row>
    <row r="328" spans="15:15" x14ac:dyDescent="0.25">
      <c r="O328" s="15"/>
    </row>
    <row r="329" spans="15:15" x14ac:dyDescent="0.25">
      <c r="O329" s="15"/>
    </row>
    <row r="330" spans="15:15" x14ac:dyDescent="0.25">
      <c r="O330" s="15"/>
    </row>
    <row r="331" spans="15:15" x14ac:dyDescent="0.25">
      <c r="O331" s="15"/>
    </row>
    <row r="332" spans="15:15" x14ac:dyDescent="0.25">
      <c r="O332" s="15"/>
    </row>
    <row r="333" spans="15:15" x14ac:dyDescent="0.25">
      <c r="O333" s="15"/>
    </row>
    <row r="334" spans="15:15" x14ac:dyDescent="0.25">
      <c r="O334" s="15"/>
    </row>
    <row r="335" spans="15:15" x14ac:dyDescent="0.25">
      <c r="O335" s="15"/>
    </row>
    <row r="336" spans="15:15" x14ac:dyDescent="0.25">
      <c r="O336" s="15"/>
    </row>
    <row r="337" spans="15:15" x14ac:dyDescent="0.25">
      <c r="O337" s="15"/>
    </row>
    <row r="338" spans="15:15" x14ac:dyDescent="0.25">
      <c r="O338" s="15"/>
    </row>
    <row r="339" spans="15:15" x14ac:dyDescent="0.25">
      <c r="O339" s="15"/>
    </row>
    <row r="340" spans="15:15" x14ac:dyDescent="0.25">
      <c r="O340" s="15"/>
    </row>
    <row r="341" spans="15:15" x14ac:dyDescent="0.25">
      <c r="O341" s="15"/>
    </row>
    <row r="342" spans="15:15" x14ac:dyDescent="0.25">
      <c r="O342" s="15"/>
    </row>
    <row r="343" spans="15:15" x14ac:dyDescent="0.25">
      <c r="O343" s="15"/>
    </row>
    <row r="344" spans="15:15" x14ac:dyDescent="0.25">
      <c r="O344" s="15"/>
    </row>
    <row r="345" spans="15:15" x14ac:dyDescent="0.25">
      <c r="O345" s="15"/>
    </row>
    <row r="346" spans="15:15" x14ac:dyDescent="0.25">
      <c r="O346" s="15"/>
    </row>
    <row r="347" spans="15:15" x14ac:dyDescent="0.25">
      <c r="O347" s="15"/>
    </row>
    <row r="348" spans="15:15" x14ac:dyDescent="0.25">
      <c r="O348" s="15"/>
    </row>
    <row r="349" spans="15:15" x14ac:dyDescent="0.25">
      <c r="O349" s="15"/>
    </row>
    <row r="350" spans="15:15" x14ac:dyDescent="0.25">
      <c r="O350" s="15"/>
    </row>
    <row r="351" spans="15:15" x14ac:dyDescent="0.25">
      <c r="O351" s="15"/>
    </row>
    <row r="352" spans="15:15" x14ac:dyDescent="0.25">
      <c r="O352" s="15"/>
    </row>
    <row r="353" spans="15:15" x14ac:dyDescent="0.25">
      <c r="O353" s="15"/>
    </row>
    <row r="354" spans="15:15" x14ac:dyDescent="0.25">
      <c r="O354" s="15"/>
    </row>
    <row r="355" spans="15:15" x14ac:dyDescent="0.25">
      <c r="O355" s="15"/>
    </row>
    <row r="356" spans="15:15" x14ac:dyDescent="0.25">
      <c r="O356" s="15"/>
    </row>
    <row r="357" spans="15:15" x14ac:dyDescent="0.25">
      <c r="O357" s="15"/>
    </row>
    <row r="358" spans="15:15" x14ac:dyDescent="0.25">
      <c r="O358" s="15"/>
    </row>
    <row r="359" spans="15:15" x14ac:dyDescent="0.25">
      <c r="O359" s="15"/>
    </row>
    <row r="360" spans="15:15" x14ac:dyDescent="0.25">
      <c r="O360" s="15"/>
    </row>
    <row r="361" spans="15:15" x14ac:dyDescent="0.25">
      <c r="O361" s="15"/>
    </row>
    <row r="362" spans="15:15" x14ac:dyDescent="0.25">
      <c r="O362" s="15"/>
    </row>
    <row r="363" spans="15:15" x14ac:dyDescent="0.25">
      <c r="O363" s="15"/>
    </row>
    <row r="364" spans="15:15" x14ac:dyDescent="0.25">
      <c r="O364" s="15"/>
    </row>
    <row r="365" spans="15:15" x14ac:dyDescent="0.25">
      <c r="O365" s="15"/>
    </row>
    <row r="366" spans="15:15" x14ac:dyDescent="0.25">
      <c r="O366" s="15"/>
    </row>
    <row r="367" spans="15:15" x14ac:dyDescent="0.25">
      <c r="O367" s="15"/>
    </row>
    <row r="368" spans="15:15" x14ac:dyDescent="0.25">
      <c r="O368" s="15"/>
    </row>
    <row r="369" spans="15:15" x14ac:dyDescent="0.25">
      <c r="O369" s="15"/>
    </row>
    <row r="370" spans="15:15" x14ac:dyDescent="0.25">
      <c r="O370" s="15"/>
    </row>
    <row r="371" spans="15:15" x14ac:dyDescent="0.25">
      <c r="O371" s="15"/>
    </row>
    <row r="372" spans="15:15" x14ac:dyDescent="0.25">
      <c r="O372" s="15"/>
    </row>
    <row r="373" spans="15:15" x14ac:dyDescent="0.25">
      <c r="O373" s="15"/>
    </row>
    <row r="374" spans="15:15" x14ac:dyDescent="0.25">
      <c r="O374" s="15"/>
    </row>
    <row r="375" spans="15:15" x14ac:dyDescent="0.25">
      <c r="O375" s="15"/>
    </row>
    <row r="376" spans="15:15" x14ac:dyDescent="0.25">
      <c r="O376" s="15"/>
    </row>
    <row r="377" spans="15:15" x14ac:dyDescent="0.25">
      <c r="O377" s="15"/>
    </row>
    <row r="378" spans="15:15" x14ac:dyDescent="0.25">
      <c r="O378" s="15"/>
    </row>
    <row r="379" spans="15:15" x14ac:dyDescent="0.25">
      <c r="O379" s="15"/>
    </row>
    <row r="380" spans="15:15" x14ac:dyDescent="0.25">
      <c r="O380" s="15"/>
    </row>
    <row r="381" spans="15:15" x14ac:dyDescent="0.25">
      <c r="O381" s="15"/>
    </row>
    <row r="382" spans="15:15" x14ac:dyDescent="0.25">
      <c r="O382" s="15"/>
    </row>
    <row r="383" spans="15:15" x14ac:dyDescent="0.25">
      <c r="O383" s="15"/>
    </row>
    <row r="384" spans="15:15" x14ac:dyDescent="0.25">
      <c r="O384" s="15"/>
    </row>
    <row r="385" spans="15:15" x14ac:dyDescent="0.25">
      <c r="O385" s="15"/>
    </row>
    <row r="386" spans="15:15" x14ac:dyDescent="0.25">
      <c r="O386" s="15"/>
    </row>
    <row r="387" spans="15:15" x14ac:dyDescent="0.25">
      <c r="O387" s="15"/>
    </row>
    <row r="388" spans="15:15" x14ac:dyDescent="0.25">
      <c r="O388" s="15"/>
    </row>
    <row r="389" spans="15:15" x14ac:dyDescent="0.25">
      <c r="O389" s="15"/>
    </row>
    <row r="390" spans="15:15" x14ac:dyDescent="0.25">
      <c r="O390" s="15"/>
    </row>
    <row r="391" spans="15:15" x14ac:dyDescent="0.25">
      <c r="O391" s="15"/>
    </row>
    <row r="392" spans="15:15" x14ac:dyDescent="0.25">
      <c r="O392" s="15"/>
    </row>
    <row r="393" spans="15:15" x14ac:dyDescent="0.25">
      <c r="O393" s="15"/>
    </row>
    <row r="394" spans="15:15" x14ac:dyDescent="0.25">
      <c r="O394" s="15"/>
    </row>
    <row r="395" spans="15:15" x14ac:dyDescent="0.25">
      <c r="O395" s="15"/>
    </row>
    <row r="396" spans="15:15" x14ac:dyDescent="0.25">
      <c r="O396" s="15"/>
    </row>
    <row r="397" spans="15:15" x14ac:dyDescent="0.25">
      <c r="O397" s="15"/>
    </row>
  </sheetData>
  <mergeCells count="2">
    <mergeCell ref="D13:D14"/>
    <mergeCell ref="C13:C14"/>
  </mergeCells>
  <conditionalFormatting sqref="V3:X1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customProperties>
    <customPr name="REFI_OFFICE_FUNCTION_DATA" r:id="rId2"/>
  </customProperties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xr2:uid="{0309B0C4-0C54-4C2A-9144-029E1A1DBA9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CAD!F3:T3</xm:f>
              <xm:sqref>U3</xm:sqref>
            </x14:sparkline>
            <x14:sparkline>
              <xm:f>CAD!F4:T4</xm:f>
              <xm:sqref>U4</xm:sqref>
            </x14:sparkline>
            <x14:sparkline>
              <xm:f>CAD!F5:T5</xm:f>
              <xm:sqref>U5</xm:sqref>
            </x14:sparkline>
            <x14:sparkline>
              <xm:f>CAD!F6:T6</xm:f>
              <xm:sqref>U6</xm:sqref>
            </x14:sparkline>
            <x14:sparkline>
              <xm:f>CAD!F7:T7</xm:f>
              <xm:sqref>U7</xm:sqref>
            </x14:sparkline>
            <x14:sparkline>
              <xm:f>CAD!F8:T8</xm:f>
              <xm:sqref>U8</xm:sqref>
            </x14:sparkline>
            <x14:sparkline>
              <xm:f>CAD!F9:T9</xm:f>
              <xm:sqref>U9</xm:sqref>
            </x14:sparkline>
            <x14:sparkline>
              <xm:f>CAD!F10:T10</xm:f>
              <xm:sqref>U10</xm:sqref>
            </x14:sparkline>
            <x14:sparkline>
              <xm:f>CAD!F11:T11</xm:f>
              <xm:sqref>U11</xm:sqref>
            </x14:sparkline>
            <x14:sparkline>
              <xm:f>CAD!F12:T12</xm:f>
              <xm:sqref>U12</xm:sqref>
            </x14:sparkline>
          </x14:sparklines>
        </x14:sparklineGroup>
      </x14:sparklineGroup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16743-BFEB-439D-B633-84FBAF4883A4}">
  <sheetPr codeName="Feuil8"/>
  <dimension ref="B1:X397"/>
  <sheetViews>
    <sheetView topLeftCell="B1" workbookViewId="0">
      <selection activeCell="K12" sqref="K12"/>
    </sheetView>
  </sheetViews>
  <sheetFormatPr defaultColWidth="10.85546875" defaultRowHeight="15" x14ac:dyDescent="0.25"/>
  <cols>
    <col min="1" max="1" width="5.140625" style="11" customWidth="1"/>
    <col min="2" max="2" width="19.5703125" style="11" bestFit="1" customWidth="1"/>
    <col min="3" max="3" width="36.140625" style="11" bestFit="1" customWidth="1"/>
    <col min="4" max="4" width="8.5703125" style="11" bestFit="1" customWidth="1"/>
    <col min="5" max="14" width="10.7109375" style="11" bestFit="1" customWidth="1"/>
    <col min="15" max="20" width="9.7109375" style="11" bestFit="1" customWidth="1"/>
    <col min="21" max="21" width="9.42578125" style="11" bestFit="1" customWidth="1"/>
    <col min="22" max="22" width="12.28515625" style="11" customWidth="1"/>
    <col min="23" max="23" width="11.5703125" style="11" customWidth="1"/>
    <col min="24" max="24" width="13.7109375" style="11" customWidth="1"/>
    <col min="25" max="16384" width="10.85546875" style="11"/>
  </cols>
  <sheetData>
    <row r="1" spans="2:24" ht="15.75" thickBot="1" x14ac:dyDescent="0.3"/>
    <row r="2" spans="2:24" ht="29.1" customHeight="1" thickBot="1" x14ac:dyDescent="0.3">
      <c r="B2" s="57" t="s">
        <v>108</v>
      </c>
      <c r="C2" s="58" t="str">
        <f>_xll.DSGRID("AUIRPR1, AUIRPR2, AUIRPR3, AUIRPR4, AUIRPR5, AUIRPR6, AUIRPR7, AUIRPR8, AUIRPR9, AUIRP10","X","-15D","TIMEADJ","D","CustomHeader=true;CustHeaderDatatypes=GEOGN;RowHeader=true;ColHeader=true;Transpose=true;Code=true;DispSeriesDescription=true;YearlyTSFormat=false;QuarterlyTSFormat=false;MonthlyTSFormat=false;AutoResize=true")</f>
        <v>Name</v>
      </c>
      <c r="D2" s="29" t="s">
        <v>57</v>
      </c>
      <c r="E2" s="78" t="s">
        <v>58</v>
      </c>
      <c r="F2" s="30">
        <v>45586</v>
      </c>
      <c r="G2" s="30">
        <v>45587</v>
      </c>
      <c r="H2" s="30">
        <v>45588</v>
      </c>
      <c r="I2" s="30">
        <v>45589</v>
      </c>
      <c r="J2" s="30">
        <v>45590</v>
      </c>
      <c r="K2" s="30">
        <v>45593</v>
      </c>
      <c r="L2" s="30">
        <v>45594</v>
      </c>
      <c r="M2" s="30">
        <v>45595</v>
      </c>
      <c r="N2" s="30">
        <v>45596</v>
      </c>
      <c r="O2" s="30">
        <v>45597</v>
      </c>
      <c r="P2" s="30">
        <v>45600</v>
      </c>
      <c r="Q2" s="30">
        <v>45601</v>
      </c>
      <c r="R2" s="30">
        <v>45602</v>
      </c>
      <c r="S2" s="30">
        <v>45603</v>
      </c>
      <c r="T2" s="30">
        <v>45604</v>
      </c>
      <c r="U2" s="31" t="s">
        <v>109</v>
      </c>
      <c r="V2" s="7" t="s">
        <v>95</v>
      </c>
      <c r="W2" s="8" t="s">
        <v>96</v>
      </c>
      <c r="X2" s="9" t="s">
        <v>97</v>
      </c>
    </row>
    <row r="3" spans="2:24" ht="36.950000000000003" customHeight="1" x14ac:dyDescent="0.25">
      <c r="B3" s="51" t="s">
        <v>110</v>
      </c>
      <c r="C3" s="59" t="s">
        <v>67</v>
      </c>
      <c r="D3" s="32" t="s">
        <v>6</v>
      </c>
      <c r="E3" s="32" t="s">
        <v>68</v>
      </c>
      <c r="F3" s="33">
        <v>4.3185000000000002</v>
      </c>
      <c r="G3" s="33">
        <v>4.3193999999999999</v>
      </c>
      <c r="H3" s="33">
        <v>4.32</v>
      </c>
      <c r="I3" s="33">
        <v>4.3112000000000004</v>
      </c>
      <c r="J3" s="33">
        <v>4.3159000000000001</v>
      </c>
      <c r="K3" s="33">
        <v>4.3154000000000003</v>
      </c>
      <c r="L3" s="33">
        <v>4.3159999999999998</v>
      </c>
      <c r="M3" s="33">
        <v>4.3314000000000004</v>
      </c>
      <c r="N3" s="33">
        <v>4.3296000000000001</v>
      </c>
      <c r="O3" s="33">
        <v>4.3291000000000004</v>
      </c>
      <c r="P3" s="33">
        <v>4.3292999999999999</v>
      </c>
      <c r="Q3" s="33">
        <v>4.3007999999999997</v>
      </c>
      <c r="R3" s="33">
        <v>4.3005000000000004</v>
      </c>
      <c r="S3" s="33">
        <v>4.3033000000000001</v>
      </c>
      <c r="T3" s="33">
        <v>4.3041</v>
      </c>
      <c r="U3" s="34"/>
      <c r="V3" s="24">
        <f>(T3-S3)/S3</f>
        <v>1.859038412380991E-4</v>
      </c>
      <c r="W3" s="22">
        <f>(T3-M3)/M3</f>
        <v>-6.3028120238260892E-3</v>
      </c>
      <c r="X3" s="23">
        <f>(T3-F3)/F3</f>
        <v>-3.3344911427579458E-3</v>
      </c>
    </row>
    <row r="4" spans="2:24" ht="36.950000000000003" customHeight="1" x14ac:dyDescent="0.25">
      <c r="B4" s="52" t="s">
        <v>111</v>
      </c>
      <c r="C4" s="55" t="s">
        <v>168</v>
      </c>
      <c r="D4" s="35" t="s">
        <v>14</v>
      </c>
      <c r="E4" s="35" t="s">
        <v>68</v>
      </c>
      <c r="F4" s="36">
        <v>4.2775999999999996</v>
      </c>
      <c r="G4" s="36">
        <v>4.2827000000000002</v>
      </c>
      <c r="H4" s="36">
        <v>4.2880000000000003</v>
      </c>
      <c r="I4" s="36">
        <v>4.2643000000000004</v>
      </c>
      <c r="J4" s="36">
        <v>4.2564000000000002</v>
      </c>
      <c r="K4" s="36">
        <v>4.2549000000000001</v>
      </c>
      <c r="L4" s="36">
        <v>4.2633000000000001</v>
      </c>
      <c r="M4" s="36">
        <v>4.2968999999999999</v>
      </c>
      <c r="N4" s="36">
        <v>4.2919</v>
      </c>
      <c r="O4" s="36">
        <v>4.2864000000000004</v>
      </c>
      <c r="P4" s="36">
        <v>4.2804000000000002</v>
      </c>
      <c r="Q4" s="36">
        <v>4.2545999999999999</v>
      </c>
      <c r="R4" s="36">
        <v>4.2446999999999999</v>
      </c>
      <c r="S4" s="36">
        <v>4.2521000000000004</v>
      </c>
      <c r="T4" s="36">
        <v>4.2508999999999997</v>
      </c>
      <c r="U4" s="37"/>
      <c r="V4" s="24">
        <f t="shared" ref="V4:V12" si="0">(T4-S4)/S4</f>
        <v>-2.8221349450877352E-4</v>
      </c>
      <c r="W4" s="22">
        <f t="shared" ref="W4:W12" si="1">(T4-M4)/M4</f>
        <v>-1.0705392259536007E-2</v>
      </c>
      <c r="X4" s="23">
        <f t="shared" ref="X4:X12" si="2">(T4-F4)/F4</f>
        <v>-6.2418178417804259E-3</v>
      </c>
    </row>
    <row r="5" spans="2:24" ht="36.950000000000003" customHeight="1" x14ac:dyDescent="0.25">
      <c r="B5" s="52" t="s">
        <v>113</v>
      </c>
      <c r="C5" s="55" t="s">
        <v>169</v>
      </c>
      <c r="D5" s="35" t="s">
        <v>22</v>
      </c>
      <c r="E5" s="35" t="s">
        <v>68</v>
      </c>
      <c r="F5" s="36">
        <v>4.1802999999999999</v>
      </c>
      <c r="G5" s="36">
        <v>4.1988000000000003</v>
      </c>
      <c r="H5" s="36">
        <v>4.2131999999999996</v>
      </c>
      <c r="I5" s="36">
        <v>4.2214</v>
      </c>
      <c r="J5" s="36">
        <v>4.2164999999999999</v>
      </c>
      <c r="K5" s="36">
        <v>4.2138</v>
      </c>
      <c r="L5" s="36">
        <v>4.2271000000000001</v>
      </c>
      <c r="M5" s="36">
        <v>4.2611999999999997</v>
      </c>
      <c r="N5" s="36">
        <v>4.2587000000000002</v>
      </c>
      <c r="O5" s="36">
        <v>4.2309000000000001</v>
      </c>
      <c r="P5" s="36">
        <v>4.2257999999999996</v>
      </c>
      <c r="Q5" s="36">
        <v>4.1753</v>
      </c>
      <c r="R5" s="36">
        <v>4.1776</v>
      </c>
      <c r="S5" s="36">
        <v>4.1761999999999997</v>
      </c>
      <c r="T5" s="36">
        <v>4.1840999999999999</v>
      </c>
      <c r="U5" s="37"/>
      <c r="V5" s="24">
        <f t="shared" si="0"/>
        <v>1.8916718547962838E-3</v>
      </c>
      <c r="W5" s="22">
        <f t="shared" si="1"/>
        <v>-1.8093494790199879E-2</v>
      </c>
      <c r="X5" s="23">
        <f t="shared" si="2"/>
        <v>9.0902566801426353E-4</v>
      </c>
    </row>
    <row r="6" spans="2:24" ht="36.950000000000003" customHeight="1" x14ac:dyDescent="0.25">
      <c r="B6" s="52" t="s">
        <v>115</v>
      </c>
      <c r="C6" s="55" t="s">
        <v>170</v>
      </c>
      <c r="D6" s="35" t="s">
        <v>30</v>
      </c>
      <c r="E6" s="35" t="s">
        <v>68</v>
      </c>
      <c r="F6" s="36">
        <v>4.0839999999999996</v>
      </c>
      <c r="G6" s="36">
        <v>4.1139000000000001</v>
      </c>
      <c r="H6" s="36">
        <v>4.1308999999999996</v>
      </c>
      <c r="I6" s="36">
        <v>4.0778999999999996</v>
      </c>
      <c r="J6" s="36">
        <v>4.0993000000000004</v>
      </c>
      <c r="K6" s="36">
        <v>4.0972999999999997</v>
      </c>
      <c r="L6" s="36">
        <v>4.1151999999999997</v>
      </c>
      <c r="M6" s="36">
        <v>4.1679000000000004</v>
      </c>
      <c r="N6" s="36">
        <v>4.1798999999999999</v>
      </c>
      <c r="O6" s="36">
        <v>4.1614000000000004</v>
      </c>
      <c r="P6" s="36">
        <v>4.1378000000000004</v>
      </c>
      <c r="Q6" s="36">
        <v>4.1001000000000003</v>
      </c>
      <c r="R6" s="36">
        <v>4.1040000000000001</v>
      </c>
      <c r="S6" s="36">
        <v>4.0937999999999999</v>
      </c>
      <c r="T6" s="36">
        <v>4.1022999999999996</v>
      </c>
      <c r="U6" s="37"/>
      <c r="V6" s="24">
        <f t="shared" si="0"/>
        <v>2.0763105183447482E-3</v>
      </c>
      <c r="W6" s="22">
        <f t="shared" si="1"/>
        <v>-1.5739341155018297E-2</v>
      </c>
      <c r="X6" s="23">
        <f t="shared" si="2"/>
        <v>4.4809010773751183E-3</v>
      </c>
    </row>
    <row r="7" spans="2:24" ht="36.950000000000003" customHeight="1" x14ac:dyDescent="0.25">
      <c r="B7" s="52" t="s">
        <v>117</v>
      </c>
      <c r="C7" s="55" t="s">
        <v>79</v>
      </c>
      <c r="D7" s="35" t="s">
        <v>38</v>
      </c>
      <c r="E7" s="35" t="s">
        <v>68</v>
      </c>
      <c r="F7" s="36">
        <v>3.9885000000000002</v>
      </c>
      <c r="G7" s="36">
        <v>4.03</v>
      </c>
      <c r="H7" s="36">
        <v>4.0511999999999997</v>
      </c>
      <c r="I7" s="36">
        <v>3.9929000000000001</v>
      </c>
      <c r="J7" s="36">
        <v>4.0176999999999996</v>
      </c>
      <c r="K7" s="36">
        <v>4.0157999999999996</v>
      </c>
      <c r="L7" s="36">
        <v>4.0327999999999999</v>
      </c>
      <c r="M7" s="36">
        <v>4.093</v>
      </c>
      <c r="N7" s="36">
        <v>4.1047000000000002</v>
      </c>
      <c r="O7" s="36">
        <v>4.0811999999999999</v>
      </c>
      <c r="P7" s="36">
        <v>4.0507</v>
      </c>
      <c r="Q7" s="36">
        <v>4.0433000000000003</v>
      </c>
      <c r="R7" s="36">
        <v>4.0465</v>
      </c>
      <c r="S7" s="36">
        <v>4.0345000000000004</v>
      </c>
      <c r="T7" s="36">
        <v>4.0448000000000004</v>
      </c>
      <c r="U7" s="37"/>
      <c r="V7" s="24">
        <f t="shared" si="0"/>
        <v>2.5529805428181869E-3</v>
      </c>
      <c r="W7" s="22">
        <f t="shared" si="1"/>
        <v>-1.1776203273882135E-2</v>
      </c>
      <c r="X7" s="23">
        <f t="shared" si="2"/>
        <v>1.411558229911E-2</v>
      </c>
    </row>
    <row r="8" spans="2:24" ht="36.950000000000003" customHeight="1" x14ac:dyDescent="0.25">
      <c r="B8" s="52" t="s">
        <v>118</v>
      </c>
      <c r="C8" s="55" t="s">
        <v>171</v>
      </c>
      <c r="D8" s="35" t="s">
        <v>46</v>
      </c>
      <c r="E8" s="35" t="s">
        <v>68</v>
      </c>
      <c r="F8" s="36">
        <v>3.8978999999999999</v>
      </c>
      <c r="G8" s="36">
        <v>3.9447999999999999</v>
      </c>
      <c r="H8" s="36">
        <v>3.9759000000000002</v>
      </c>
      <c r="I8" s="36">
        <v>3.9137</v>
      </c>
      <c r="J8" s="36">
        <v>3.9443999999999999</v>
      </c>
      <c r="K8" s="36">
        <v>3.9504999999999999</v>
      </c>
      <c r="L8" s="36">
        <v>3.9636999999999998</v>
      </c>
      <c r="M8" s="36">
        <v>4.0376000000000003</v>
      </c>
      <c r="N8" s="36">
        <v>4.0517000000000003</v>
      </c>
      <c r="O8" s="36">
        <v>4.0217000000000001</v>
      </c>
      <c r="P8" s="36">
        <v>3.9872999999999998</v>
      </c>
      <c r="Q8" s="36">
        <v>3.9866000000000001</v>
      </c>
      <c r="R8" s="36">
        <v>3.9687000000000001</v>
      </c>
      <c r="S8" s="36">
        <v>3.9580000000000002</v>
      </c>
      <c r="T8" s="36">
        <v>3.9662000000000002</v>
      </c>
      <c r="U8" s="37"/>
      <c r="V8" s="24">
        <f t="shared" si="0"/>
        <v>2.0717534108135385E-3</v>
      </c>
      <c r="W8" s="22">
        <f t="shared" si="1"/>
        <v>-1.76837725381415E-2</v>
      </c>
      <c r="X8" s="23">
        <f t="shared" si="2"/>
        <v>1.7522255573514008E-2</v>
      </c>
    </row>
    <row r="9" spans="2:24" ht="36.950000000000003" customHeight="1" x14ac:dyDescent="0.25">
      <c r="B9" s="52" t="s">
        <v>119</v>
      </c>
      <c r="C9" s="55" t="s">
        <v>172</v>
      </c>
      <c r="D9" s="35" t="s">
        <v>54</v>
      </c>
      <c r="E9" s="35" t="s">
        <v>68</v>
      </c>
      <c r="F9" s="36">
        <v>3.8048999999999999</v>
      </c>
      <c r="G9" s="36">
        <v>3.8546</v>
      </c>
      <c r="H9" s="36">
        <v>3.8957000000000002</v>
      </c>
      <c r="I9" s="36">
        <v>3.8315000000000001</v>
      </c>
      <c r="J9" s="36">
        <v>3.8656999999999999</v>
      </c>
      <c r="K9" s="36">
        <v>3.8896000000000002</v>
      </c>
      <c r="L9" s="36">
        <v>3.8906000000000001</v>
      </c>
      <c r="M9" s="36">
        <v>3.9868000000000001</v>
      </c>
      <c r="N9" s="36">
        <v>4.0025000000000004</v>
      </c>
      <c r="O9" s="36">
        <v>3.9561000000000002</v>
      </c>
      <c r="P9" s="36">
        <v>3.9348000000000001</v>
      </c>
      <c r="Q9" s="36">
        <v>3.9298000000000002</v>
      </c>
      <c r="R9" s="36">
        <v>3.9072</v>
      </c>
      <c r="S9" s="36">
        <v>3.8944999999999999</v>
      </c>
      <c r="T9" s="36">
        <v>3.9032</v>
      </c>
      <c r="U9" s="37"/>
      <c r="V9" s="24">
        <f t="shared" si="0"/>
        <v>2.2339196302478244E-3</v>
      </c>
      <c r="W9" s="22">
        <f t="shared" si="1"/>
        <v>-2.0969198354570111E-2</v>
      </c>
      <c r="X9" s="23">
        <f t="shared" si="2"/>
        <v>2.5835107361560108E-2</v>
      </c>
    </row>
    <row r="10" spans="2:24" ht="36.950000000000003" customHeight="1" x14ac:dyDescent="0.25">
      <c r="B10" s="52" t="s">
        <v>120</v>
      </c>
      <c r="C10" s="55" t="s">
        <v>173</v>
      </c>
      <c r="D10" s="35" t="s">
        <v>174</v>
      </c>
      <c r="E10" s="35" t="s">
        <v>68</v>
      </c>
      <c r="F10" s="36">
        <v>3.7576999999999998</v>
      </c>
      <c r="G10" s="36">
        <v>3.8113000000000001</v>
      </c>
      <c r="H10" s="36">
        <v>3.8454999999999999</v>
      </c>
      <c r="I10" s="36">
        <v>3.7730999999999999</v>
      </c>
      <c r="J10" s="36">
        <v>3.8062999999999998</v>
      </c>
      <c r="K10" s="36">
        <v>3.8246000000000002</v>
      </c>
      <c r="L10" s="36">
        <v>3.8239999999999998</v>
      </c>
      <c r="M10" s="36">
        <v>3.9298999999999999</v>
      </c>
      <c r="N10" s="36">
        <v>3.9485999999999999</v>
      </c>
      <c r="O10" s="36">
        <v>3.8948999999999998</v>
      </c>
      <c r="P10" s="36">
        <v>3.8730000000000002</v>
      </c>
      <c r="Q10" s="36">
        <v>3.9167000000000001</v>
      </c>
      <c r="R10" s="36">
        <v>3.9073000000000002</v>
      </c>
      <c r="S10" s="36">
        <v>3.8818999999999999</v>
      </c>
      <c r="T10" s="36">
        <v>3.8694000000000002</v>
      </c>
      <c r="U10" s="37"/>
      <c r="V10" s="24">
        <f t="shared" si="0"/>
        <v>-3.2200726448387991E-3</v>
      </c>
      <c r="W10" s="22">
        <f t="shared" si="1"/>
        <v>-1.5394793760655431E-2</v>
      </c>
      <c r="X10" s="23">
        <f t="shared" si="2"/>
        <v>2.972563003965201E-2</v>
      </c>
    </row>
    <row r="11" spans="2:24" ht="36.950000000000003" customHeight="1" x14ac:dyDescent="0.25">
      <c r="B11" s="52" t="s">
        <v>121</v>
      </c>
      <c r="C11" s="55" t="s">
        <v>175</v>
      </c>
      <c r="D11" s="35" t="s">
        <v>176</v>
      </c>
      <c r="E11" s="35" t="s">
        <v>68</v>
      </c>
      <c r="F11" s="36">
        <v>3.7746</v>
      </c>
      <c r="G11" s="36">
        <v>3.8368000000000002</v>
      </c>
      <c r="H11" s="36">
        <v>3.8712</v>
      </c>
      <c r="I11" s="36">
        <v>3.8058999999999998</v>
      </c>
      <c r="J11" s="36">
        <v>3.8247</v>
      </c>
      <c r="K11" s="36">
        <v>3.7826</v>
      </c>
      <c r="L11" s="36">
        <v>3.7925</v>
      </c>
      <c r="M11" s="36">
        <v>3.8841999999999999</v>
      </c>
      <c r="N11" s="36">
        <v>3.9119999999999999</v>
      </c>
      <c r="O11" s="36">
        <v>3.8677999999999999</v>
      </c>
      <c r="P11" s="36">
        <v>3.8538999999999999</v>
      </c>
      <c r="Q11" s="36">
        <v>3.8839999999999999</v>
      </c>
      <c r="R11" s="36">
        <v>3.8826999999999998</v>
      </c>
      <c r="S11" s="36">
        <v>3.8532000000000002</v>
      </c>
      <c r="T11" s="36">
        <v>3.8327</v>
      </c>
      <c r="U11" s="37"/>
      <c r="V11" s="24">
        <f t="shared" si="0"/>
        <v>-5.3202532959618458E-3</v>
      </c>
      <c r="W11" s="22">
        <f t="shared" si="1"/>
        <v>-1.3258843519901108E-2</v>
      </c>
      <c r="X11" s="23">
        <f t="shared" si="2"/>
        <v>1.5392359455306533E-2</v>
      </c>
    </row>
    <row r="12" spans="2:24" ht="36.950000000000003" customHeight="1" thickBot="1" x14ac:dyDescent="0.3">
      <c r="B12" s="53" t="s">
        <v>122</v>
      </c>
      <c r="C12" s="56" t="s">
        <v>177</v>
      </c>
      <c r="D12" s="38" t="s">
        <v>178</v>
      </c>
      <c r="E12" s="38" t="s">
        <v>68</v>
      </c>
      <c r="F12" s="39">
        <v>3.5865999999999998</v>
      </c>
      <c r="G12" s="39">
        <v>3.7006000000000001</v>
      </c>
      <c r="H12" s="39">
        <v>3.6985999999999999</v>
      </c>
      <c r="I12" s="39">
        <v>3.73</v>
      </c>
      <c r="J12" s="39">
        <v>3.7976999999999999</v>
      </c>
      <c r="K12" s="39">
        <v>3.8346</v>
      </c>
      <c r="L12" s="39">
        <v>3.7652999999999999</v>
      </c>
      <c r="M12" s="39">
        <v>3.7847</v>
      </c>
      <c r="N12" s="39">
        <v>3.7351000000000001</v>
      </c>
      <c r="O12" s="39">
        <v>3.7450999999999999</v>
      </c>
      <c r="P12" s="39">
        <v>3.8424999999999998</v>
      </c>
      <c r="Q12" s="39">
        <v>3.8736999999999999</v>
      </c>
      <c r="R12" s="39">
        <v>3.8273000000000001</v>
      </c>
      <c r="S12" s="39">
        <v>3.8155999999999999</v>
      </c>
      <c r="T12" s="39">
        <v>3.8347000000000002</v>
      </c>
      <c r="U12" s="40"/>
      <c r="V12" s="25">
        <f t="shared" si="0"/>
        <v>5.0057658035434372E-3</v>
      </c>
      <c r="W12" s="26">
        <f t="shared" si="1"/>
        <v>1.3211086743995631E-2</v>
      </c>
      <c r="X12" s="27">
        <f t="shared" si="2"/>
        <v>6.9174148218368495E-2</v>
      </c>
    </row>
    <row r="13" spans="2:24" ht="36.950000000000003" customHeight="1" x14ac:dyDescent="0.25">
      <c r="C13" s="91" t="s">
        <v>123</v>
      </c>
      <c r="D13" s="91">
        <f>_xll.DSGRID("AUPRATE.","","-1Q","QTE","Q","RowHeader=false;ColHeader=false;DispSeriesDescription=false;YearlyTSFormat=false;QuarterlyTSFormat=false;MonthlyTSFormat=false")</f>
        <v>4.3499999999999996</v>
      </c>
    </row>
    <row r="14" spans="2:24" ht="15.75" thickBot="1" x14ac:dyDescent="0.3">
      <c r="C14" s="92"/>
      <c r="D14" s="92"/>
    </row>
    <row r="21" spans="12:17" x14ac:dyDescent="0.25">
      <c r="M21" s="14"/>
      <c r="N21" s="14"/>
    </row>
    <row r="22" spans="12:17" x14ac:dyDescent="0.25">
      <c r="L22" s="14"/>
      <c r="O22" s="14"/>
    </row>
    <row r="28" spans="12:17" x14ac:dyDescent="0.25">
      <c r="P28" s="14"/>
      <c r="Q28" s="14"/>
    </row>
    <row r="29" spans="12:17" x14ac:dyDescent="0.25">
      <c r="O29" s="15"/>
    </row>
    <row r="30" spans="12:17" x14ac:dyDescent="0.25">
      <c r="O30" s="15"/>
    </row>
    <row r="31" spans="12:17" x14ac:dyDescent="0.25">
      <c r="O31" s="15"/>
    </row>
    <row r="32" spans="12:17" x14ac:dyDescent="0.25">
      <c r="O32" s="15"/>
    </row>
    <row r="33" spans="15:15" x14ac:dyDescent="0.25">
      <c r="O33" s="15"/>
    </row>
    <row r="34" spans="15:15" x14ac:dyDescent="0.25">
      <c r="O34" s="15"/>
    </row>
    <row r="35" spans="15:15" x14ac:dyDescent="0.25">
      <c r="O35" s="15"/>
    </row>
    <row r="36" spans="15:15" x14ac:dyDescent="0.25">
      <c r="O36" s="15"/>
    </row>
    <row r="37" spans="15:15" x14ac:dyDescent="0.25">
      <c r="O37" s="15"/>
    </row>
    <row r="38" spans="15:15" x14ac:dyDescent="0.25">
      <c r="O38" s="15"/>
    </row>
    <row r="39" spans="15:15" x14ac:dyDescent="0.25">
      <c r="O39" s="15"/>
    </row>
    <row r="40" spans="15:15" x14ac:dyDescent="0.25">
      <c r="O40" s="15"/>
    </row>
    <row r="41" spans="15:15" x14ac:dyDescent="0.25">
      <c r="O41" s="15"/>
    </row>
    <row r="42" spans="15:15" x14ac:dyDescent="0.25">
      <c r="O42" s="15"/>
    </row>
    <row r="43" spans="15:15" x14ac:dyDescent="0.25">
      <c r="O43" s="15"/>
    </row>
    <row r="44" spans="15:15" x14ac:dyDescent="0.25">
      <c r="O44" s="15"/>
    </row>
    <row r="45" spans="15:15" x14ac:dyDescent="0.25">
      <c r="O45" s="15"/>
    </row>
    <row r="46" spans="15:15" x14ac:dyDescent="0.25">
      <c r="O46" s="15"/>
    </row>
    <row r="47" spans="15:15" x14ac:dyDescent="0.25">
      <c r="O47" s="15"/>
    </row>
    <row r="48" spans="15:15" x14ac:dyDescent="0.25">
      <c r="O48" s="15"/>
    </row>
    <row r="49" spans="15:15" x14ac:dyDescent="0.25">
      <c r="O49" s="15"/>
    </row>
    <row r="50" spans="15:15" x14ac:dyDescent="0.25">
      <c r="O50" s="15"/>
    </row>
    <row r="51" spans="15:15" x14ac:dyDescent="0.25">
      <c r="O51" s="15"/>
    </row>
    <row r="52" spans="15:15" x14ac:dyDescent="0.25">
      <c r="O52" s="15"/>
    </row>
    <row r="53" spans="15:15" x14ac:dyDescent="0.25">
      <c r="O53" s="15"/>
    </row>
    <row r="54" spans="15:15" x14ac:dyDescent="0.25">
      <c r="O54" s="15"/>
    </row>
    <row r="55" spans="15:15" x14ac:dyDescent="0.25">
      <c r="O55" s="15"/>
    </row>
    <row r="56" spans="15:15" x14ac:dyDescent="0.25">
      <c r="O56" s="15"/>
    </row>
    <row r="57" spans="15:15" x14ac:dyDescent="0.25">
      <c r="O57" s="15"/>
    </row>
    <row r="58" spans="15:15" x14ac:dyDescent="0.25">
      <c r="O58" s="15"/>
    </row>
    <row r="59" spans="15:15" x14ac:dyDescent="0.25">
      <c r="O59" s="15"/>
    </row>
    <row r="60" spans="15:15" x14ac:dyDescent="0.25">
      <c r="O60" s="15"/>
    </row>
    <row r="61" spans="15:15" x14ac:dyDescent="0.25">
      <c r="O61" s="15"/>
    </row>
    <row r="62" spans="15:15" x14ac:dyDescent="0.25">
      <c r="O62" s="15"/>
    </row>
    <row r="63" spans="15:15" x14ac:dyDescent="0.25">
      <c r="O63" s="15"/>
    </row>
    <row r="64" spans="15:15" x14ac:dyDescent="0.25">
      <c r="O64" s="15"/>
    </row>
    <row r="65" spans="15:15" x14ac:dyDescent="0.25">
      <c r="O65" s="15"/>
    </row>
    <row r="66" spans="15:15" x14ac:dyDescent="0.25">
      <c r="O66" s="15"/>
    </row>
    <row r="67" spans="15:15" x14ac:dyDescent="0.25">
      <c r="O67" s="15"/>
    </row>
    <row r="68" spans="15:15" x14ac:dyDescent="0.25">
      <c r="O68" s="15"/>
    </row>
    <row r="69" spans="15:15" x14ac:dyDescent="0.25">
      <c r="O69" s="15"/>
    </row>
    <row r="70" spans="15:15" x14ac:dyDescent="0.25">
      <c r="O70" s="15"/>
    </row>
    <row r="71" spans="15:15" x14ac:dyDescent="0.25">
      <c r="O71" s="15"/>
    </row>
    <row r="72" spans="15:15" x14ac:dyDescent="0.25">
      <c r="O72" s="15"/>
    </row>
    <row r="73" spans="15:15" x14ac:dyDescent="0.25">
      <c r="O73" s="15"/>
    </row>
    <row r="74" spans="15:15" x14ac:dyDescent="0.25">
      <c r="O74" s="15"/>
    </row>
    <row r="75" spans="15:15" x14ac:dyDescent="0.25">
      <c r="O75" s="15"/>
    </row>
    <row r="76" spans="15:15" x14ac:dyDescent="0.25">
      <c r="O76" s="15"/>
    </row>
    <row r="77" spans="15:15" x14ac:dyDescent="0.25">
      <c r="O77" s="15"/>
    </row>
    <row r="78" spans="15:15" x14ac:dyDescent="0.25">
      <c r="O78" s="15"/>
    </row>
    <row r="79" spans="15:15" x14ac:dyDescent="0.25">
      <c r="O79" s="15"/>
    </row>
    <row r="80" spans="15:15" x14ac:dyDescent="0.25">
      <c r="O80" s="15"/>
    </row>
    <row r="81" spans="15:15" x14ac:dyDescent="0.25">
      <c r="O81" s="15"/>
    </row>
    <row r="82" spans="15:15" x14ac:dyDescent="0.25">
      <c r="O82" s="15"/>
    </row>
    <row r="83" spans="15:15" x14ac:dyDescent="0.25">
      <c r="O83" s="15"/>
    </row>
    <row r="84" spans="15:15" x14ac:dyDescent="0.25">
      <c r="O84" s="15"/>
    </row>
    <row r="85" spans="15:15" x14ac:dyDescent="0.25">
      <c r="O85" s="15"/>
    </row>
    <row r="86" spans="15:15" x14ac:dyDescent="0.25">
      <c r="O86" s="15"/>
    </row>
    <row r="87" spans="15:15" x14ac:dyDescent="0.25">
      <c r="O87" s="15"/>
    </row>
    <row r="88" spans="15:15" x14ac:dyDescent="0.25">
      <c r="O88" s="15"/>
    </row>
    <row r="89" spans="15:15" x14ac:dyDescent="0.25">
      <c r="O89" s="15"/>
    </row>
    <row r="90" spans="15:15" x14ac:dyDescent="0.25">
      <c r="O90" s="15"/>
    </row>
    <row r="91" spans="15:15" x14ac:dyDescent="0.25">
      <c r="O91" s="15"/>
    </row>
    <row r="92" spans="15:15" x14ac:dyDescent="0.25">
      <c r="O92" s="15"/>
    </row>
    <row r="93" spans="15:15" x14ac:dyDescent="0.25">
      <c r="O93" s="15"/>
    </row>
    <row r="94" spans="15:15" x14ac:dyDescent="0.25">
      <c r="O94" s="15"/>
    </row>
    <row r="95" spans="15:15" x14ac:dyDescent="0.25">
      <c r="O95" s="15"/>
    </row>
    <row r="96" spans="15:15" x14ac:dyDescent="0.25">
      <c r="O96" s="15"/>
    </row>
    <row r="97" spans="15:15" x14ac:dyDescent="0.25">
      <c r="O97" s="15"/>
    </row>
    <row r="98" spans="15:15" x14ac:dyDescent="0.25">
      <c r="O98" s="15"/>
    </row>
    <row r="99" spans="15:15" x14ac:dyDescent="0.25">
      <c r="O99" s="15"/>
    </row>
    <row r="100" spans="15:15" x14ac:dyDescent="0.25">
      <c r="O100" s="15"/>
    </row>
    <row r="101" spans="15:15" x14ac:dyDescent="0.25">
      <c r="O101" s="15"/>
    </row>
    <row r="102" spans="15:15" x14ac:dyDescent="0.25">
      <c r="O102" s="15"/>
    </row>
    <row r="103" spans="15:15" x14ac:dyDescent="0.25">
      <c r="O103" s="15"/>
    </row>
    <row r="104" spans="15:15" x14ac:dyDescent="0.25">
      <c r="O104" s="15"/>
    </row>
    <row r="105" spans="15:15" x14ac:dyDescent="0.25">
      <c r="O105" s="15"/>
    </row>
    <row r="106" spans="15:15" x14ac:dyDescent="0.25">
      <c r="O106" s="15"/>
    </row>
    <row r="107" spans="15:15" x14ac:dyDescent="0.25">
      <c r="O107" s="15"/>
    </row>
    <row r="108" spans="15:15" x14ac:dyDescent="0.25">
      <c r="O108" s="15"/>
    </row>
    <row r="109" spans="15:15" x14ac:dyDescent="0.25">
      <c r="O109" s="15"/>
    </row>
    <row r="110" spans="15:15" x14ac:dyDescent="0.25">
      <c r="O110" s="15"/>
    </row>
    <row r="111" spans="15:15" x14ac:dyDescent="0.25">
      <c r="O111" s="15"/>
    </row>
    <row r="112" spans="15:15" x14ac:dyDescent="0.25">
      <c r="O112" s="15"/>
    </row>
    <row r="113" spans="15:15" x14ac:dyDescent="0.25">
      <c r="O113" s="15"/>
    </row>
    <row r="114" spans="15:15" x14ac:dyDescent="0.25">
      <c r="O114" s="15"/>
    </row>
    <row r="115" spans="15:15" x14ac:dyDescent="0.25">
      <c r="O115" s="15"/>
    </row>
    <row r="116" spans="15:15" x14ac:dyDescent="0.25">
      <c r="O116" s="15"/>
    </row>
    <row r="117" spans="15:15" x14ac:dyDescent="0.25">
      <c r="O117" s="15"/>
    </row>
    <row r="118" spans="15:15" x14ac:dyDescent="0.25">
      <c r="O118" s="15"/>
    </row>
    <row r="119" spans="15:15" x14ac:dyDescent="0.25">
      <c r="O119" s="15"/>
    </row>
    <row r="120" spans="15:15" x14ac:dyDescent="0.25">
      <c r="O120" s="15"/>
    </row>
    <row r="121" spans="15:15" x14ac:dyDescent="0.25">
      <c r="O121" s="15"/>
    </row>
    <row r="122" spans="15:15" x14ac:dyDescent="0.25">
      <c r="O122" s="15"/>
    </row>
    <row r="123" spans="15:15" x14ac:dyDescent="0.25">
      <c r="O123" s="15"/>
    </row>
    <row r="124" spans="15:15" x14ac:dyDescent="0.25">
      <c r="O124" s="15"/>
    </row>
    <row r="125" spans="15:15" x14ac:dyDescent="0.25">
      <c r="O125" s="15"/>
    </row>
    <row r="126" spans="15:15" x14ac:dyDescent="0.25">
      <c r="O126" s="15"/>
    </row>
    <row r="127" spans="15:15" x14ac:dyDescent="0.25">
      <c r="O127" s="15"/>
    </row>
    <row r="128" spans="15:15" x14ac:dyDescent="0.25">
      <c r="O128" s="15"/>
    </row>
    <row r="129" spans="15:15" x14ac:dyDescent="0.25">
      <c r="O129" s="15"/>
    </row>
    <row r="130" spans="15:15" x14ac:dyDescent="0.25">
      <c r="O130" s="15"/>
    </row>
    <row r="131" spans="15:15" x14ac:dyDescent="0.25">
      <c r="O131" s="15"/>
    </row>
    <row r="132" spans="15:15" x14ac:dyDescent="0.25">
      <c r="O132" s="15"/>
    </row>
    <row r="133" spans="15:15" x14ac:dyDescent="0.25">
      <c r="O133" s="15"/>
    </row>
    <row r="134" spans="15:15" x14ac:dyDescent="0.25">
      <c r="O134" s="15"/>
    </row>
    <row r="135" spans="15:15" x14ac:dyDescent="0.25">
      <c r="O135" s="15"/>
    </row>
    <row r="136" spans="15:15" x14ac:dyDescent="0.25">
      <c r="O136" s="15"/>
    </row>
    <row r="137" spans="15:15" x14ac:dyDescent="0.25">
      <c r="O137" s="15"/>
    </row>
    <row r="138" spans="15:15" x14ac:dyDescent="0.25">
      <c r="O138" s="15"/>
    </row>
    <row r="139" spans="15:15" x14ac:dyDescent="0.25">
      <c r="O139" s="15"/>
    </row>
    <row r="140" spans="15:15" x14ac:dyDescent="0.25">
      <c r="O140" s="15"/>
    </row>
    <row r="141" spans="15:15" x14ac:dyDescent="0.25">
      <c r="O141" s="15"/>
    </row>
    <row r="142" spans="15:15" x14ac:dyDescent="0.25">
      <c r="O142" s="15"/>
    </row>
    <row r="143" spans="15:15" x14ac:dyDescent="0.25">
      <c r="O143" s="15"/>
    </row>
    <row r="144" spans="15:15" x14ac:dyDescent="0.25">
      <c r="O144" s="15"/>
    </row>
    <row r="145" spans="15:15" x14ac:dyDescent="0.25">
      <c r="O145" s="15"/>
    </row>
    <row r="146" spans="15:15" x14ac:dyDescent="0.25">
      <c r="O146" s="15"/>
    </row>
    <row r="147" spans="15:15" x14ac:dyDescent="0.25">
      <c r="O147" s="15"/>
    </row>
    <row r="148" spans="15:15" x14ac:dyDescent="0.25">
      <c r="O148" s="15"/>
    </row>
    <row r="149" spans="15:15" x14ac:dyDescent="0.25">
      <c r="O149" s="15"/>
    </row>
    <row r="150" spans="15:15" x14ac:dyDescent="0.25">
      <c r="O150" s="15"/>
    </row>
    <row r="151" spans="15:15" x14ac:dyDescent="0.25">
      <c r="O151" s="15"/>
    </row>
    <row r="152" spans="15:15" x14ac:dyDescent="0.25">
      <c r="O152" s="15"/>
    </row>
    <row r="153" spans="15:15" x14ac:dyDescent="0.25">
      <c r="O153" s="15"/>
    </row>
    <row r="154" spans="15:15" x14ac:dyDescent="0.25">
      <c r="O154" s="15"/>
    </row>
    <row r="155" spans="15:15" x14ac:dyDescent="0.25">
      <c r="O155" s="15"/>
    </row>
    <row r="156" spans="15:15" x14ac:dyDescent="0.25">
      <c r="O156" s="15"/>
    </row>
    <row r="157" spans="15:15" x14ac:dyDescent="0.25">
      <c r="O157" s="15"/>
    </row>
    <row r="158" spans="15:15" x14ac:dyDescent="0.25">
      <c r="O158" s="15"/>
    </row>
    <row r="159" spans="15:15" x14ac:dyDescent="0.25">
      <c r="O159" s="15"/>
    </row>
    <row r="160" spans="15:15" x14ac:dyDescent="0.25">
      <c r="O160" s="15"/>
    </row>
    <row r="161" spans="15:15" x14ac:dyDescent="0.25">
      <c r="O161" s="15"/>
    </row>
    <row r="162" spans="15:15" x14ac:dyDescent="0.25">
      <c r="O162" s="15"/>
    </row>
    <row r="163" spans="15:15" x14ac:dyDescent="0.25">
      <c r="O163" s="15"/>
    </row>
    <row r="164" spans="15:15" x14ac:dyDescent="0.25">
      <c r="O164" s="15"/>
    </row>
    <row r="165" spans="15:15" x14ac:dyDescent="0.25">
      <c r="O165" s="15"/>
    </row>
    <row r="166" spans="15:15" x14ac:dyDescent="0.25">
      <c r="O166" s="15"/>
    </row>
    <row r="167" spans="15:15" x14ac:dyDescent="0.25">
      <c r="O167" s="15"/>
    </row>
    <row r="168" spans="15:15" x14ac:dyDescent="0.25">
      <c r="O168" s="15"/>
    </row>
    <row r="169" spans="15:15" x14ac:dyDescent="0.25">
      <c r="O169" s="15"/>
    </row>
    <row r="170" spans="15:15" x14ac:dyDescent="0.25">
      <c r="O170" s="15"/>
    </row>
    <row r="171" spans="15:15" x14ac:dyDescent="0.25">
      <c r="O171" s="15"/>
    </row>
    <row r="172" spans="15:15" x14ac:dyDescent="0.25">
      <c r="O172" s="15"/>
    </row>
    <row r="173" spans="15:15" x14ac:dyDescent="0.25">
      <c r="O173" s="15"/>
    </row>
    <row r="174" spans="15:15" x14ac:dyDescent="0.25">
      <c r="O174" s="15"/>
    </row>
    <row r="175" spans="15:15" x14ac:dyDescent="0.25">
      <c r="O175" s="15"/>
    </row>
    <row r="176" spans="15:15" x14ac:dyDescent="0.25">
      <c r="O176" s="15"/>
    </row>
    <row r="177" spans="15:15" x14ac:dyDescent="0.25">
      <c r="O177" s="15"/>
    </row>
    <row r="178" spans="15:15" x14ac:dyDescent="0.25">
      <c r="O178" s="15"/>
    </row>
    <row r="179" spans="15:15" x14ac:dyDescent="0.25">
      <c r="O179" s="15"/>
    </row>
    <row r="180" spans="15:15" x14ac:dyDescent="0.25">
      <c r="O180" s="15"/>
    </row>
    <row r="181" spans="15:15" x14ac:dyDescent="0.25">
      <c r="O181" s="15"/>
    </row>
    <row r="182" spans="15:15" x14ac:dyDescent="0.25">
      <c r="O182" s="15"/>
    </row>
    <row r="183" spans="15:15" x14ac:dyDescent="0.25">
      <c r="O183" s="15"/>
    </row>
    <row r="184" spans="15:15" x14ac:dyDescent="0.25">
      <c r="O184" s="15"/>
    </row>
    <row r="185" spans="15:15" x14ac:dyDescent="0.25">
      <c r="O185" s="15"/>
    </row>
    <row r="186" spans="15:15" x14ac:dyDescent="0.25">
      <c r="O186" s="15"/>
    </row>
    <row r="187" spans="15:15" x14ac:dyDescent="0.25">
      <c r="O187" s="15"/>
    </row>
    <row r="188" spans="15:15" x14ac:dyDescent="0.25">
      <c r="O188" s="15"/>
    </row>
    <row r="189" spans="15:15" x14ac:dyDescent="0.25">
      <c r="O189" s="15"/>
    </row>
    <row r="190" spans="15:15" x14ac:dyDescent="0.25">
      <c r="O190" s="15"/>
    </row>
    <row r="191" spans="15:15" x14ac:dyDescent="0.25">
      <c r="O191" s="15"/>
    </row>
    <row r="192" spans="15:15" x14ac:dyDescent="0.25">
      <c r="O192" s="15"/>
    </row>
    <row r="193" spans="15:15" x14ac:dyDescent="0.25">
      <c r="O193" s="15"/>
    </row>
    <row r="194" spans="15:15" x14ac:dyDescent="0.25">
      <c r="O194" s="15"/>
    </row>
    <row r="195" spans="15:15" x14ac:dyDescent="0.25">
      <c r="O195" s="15"/>
    </row>
    <row r="196" spans="15:15" x14ac:dyDescent="0.25">
      <c r="O196" s="15"/>
    </row>
    <row r="197" spans="15:15" x14ac:dyDescent="0.25">
      <c r="O197" s="15"/>
    </row>
    <row r="198" spans="15:15" x14ac:dyDescent="0.25">
      <c r="O198" s="15"/>
    </row>
    <row r="199" spans="15:15" x14ac:dyDescent="0.25">
      <c r="O199" s="15"/>
    </row>
    <row r="200" spans="15:15" x14ac:dyDescent="0.25">
      <c r="O200" s="15"/>
    </row>
    <row r="201" spans="15:15" x14ac:dyDescent="0.25">
      <c r="O201" s="15"/>
    </row>
    <row r="202" spans="15:15" x14ac:dyDescent="0.25">
      <c r="O202" s="15"/>
    </row>
    <row r="203" spans="15:15" x14ac:dyDescent="0.25">
      <c r="O203" s="15"/>
    </row>
    <row r="204" spans="15:15" x14ac:dyDescent="0.25">
      <c r="O204" s="15"/>
    </row>
    <row r="205" spans="15:15" x14ac:dyDescent="0.25">
      <c r="O205" s="15"/>
    </row>
    <row r="206" spans="15:15" x14ac:dyDescent="0.25">
      <c r="O206" s="15"/>
    </row>
    <row r="207" spans="15:15" x14ac:dyDescent="0.25">
      <c r="O207" s="15"/>
    </row>
    <row r="208" spans="15:15" x14ac:dyDescent="0.25">
      <c r="O208" s="15"/>
    </row>
    <row r="209" spans="15:15" x14ac:dyDescent="0.25">
      <c r="O209" s="15"/>
    </row>
    <row r="210" spans="15:15" x14ac:dyDescent="0.25">
      <c r="O210" s="15"/>
    </row>
    <row r="211" spans="15:15" x14ac:dyDescent="0.25">
      <c r="O211" s="15"/>
    </row>
    <row r="212" spans="15:15" x14ac:dyDescent="0.25">
      <c r="O212" s="15"/>
    </row>
    <row r="213" spans="15:15" x14ac:dyDescent="0.25">
      <c r="O213" s="15"/>
    </row>
    <row r="214" spans="15:15" x14ac:dyDescent="0.25">
      <c r="O214" s="15"/>
    </row>
    <row r="215" spans="15:15" x14ac:dyDescent="0.25">
      <c r="O215" s="15"/>
    </row>
    <row r="216" spans="15:15" x14ac:dyDescent="0.25">
      <c r="O216" s="15"/>
    </row>
    <row r="217" spans="15:15" x14ac:dyDescent="0.25">
      <c r="O217" s="15"/>
    </row>
    <row r="218" spans="15:15" x14ac:dyDescent="0.25">
      <c r="O218" s="15"/>
    </row>
    <row r="219" spans="15:15" x14ac:dyDescent="0.25">
      <c r="O219" s="15"/>
    </row>
    <row r="220" spans="15:15" x14ac:dyDescent="0.25">
      <c r="O220" s="15"/>
    </row>
    <row r="221" spans="15:15" x14ac:dyDescent="0.25">
      <c r="O221" s="15"/>
    </row>
    <row r="222" spans="15:15" x14ac:dyDescent="0.25">
      <c r="O222" s="15"/>
    </row>
    <row r="223" spans="15:15" x14ac:dyDescent="0.25">
      <c r="O223" s="15"/>
    </row>
    <row r="224" spans="15:15" x14ac:dyDescent="0.25">
      <c r="O224" s="15"/>
    </row>
    <row r="225" spans="15:15" x14ac:dyDescent="0.25">
      <c r="O225" s="15"/>
    </row>
    <row r="226" spans="15:15" x14ac:dyDescent="0.25">
      <c r="O226" s="15"/>
    </row>
    <row r="227" spans="15:15" x14ac:dyDescent="0.25">
      <c r="O227" s="15"/>
    </row>
    <row r="228" spans="15:15" x14ac:dyDescent="0.25">
      <c r="O228" s="15"/>
    </row>
    <row r="229" spans="15:15" x14ac:dyDescent="0.25">
      <c r="O229" s="15"/>
    </row>
    <row r="230" spans="15:15" x14ac:dyDescent="0.25">
      <c r="O230" s="15"/>
    </row>
    <row r="231" spans="15:15" x14ac:dyDescent="0.25">
      <c r="O231" s="15"/>
    </row>
    <row r="232" spans="15:15" x14ac:dyDescent="0.25">
      <c r="O232" s="15"/>
    </row>
    <row r="233" spans="15:15" x14ac:dyDescent="0.25">
      <c r="O233" s="15"/>
    </row>
    <row r="234" spans="15:15" x14ac:dyDescent="0.25">
      <c r="O234" s="15"/>
    </row>
    <row r="235" spans="15:15" x14ac:dyDescent="0.25">
      <c r="O235" s="15"/>
    </row>
    <row r="236" spans="15:15" x14ac:dyDescent="0.25">
      <c r="O236" s="15"/>
    </row>
    <row r="237" spans="15:15" x14ac:dyDescent="0.25">
      <c r="O237" s="15"/>
    </row>
    <row r="238" spans="15:15" x14ac:dyDescent="0.25">
      <c r="O238" s="15"/>
    </row>
    <row r="239" spans="15:15" x14ac:dyDescent="0.25">
      <c r="O239" s="15"/>
    </row>
    <row r="240" spans="15:15" x14ac:dyDescent="0.25">
      <c r="O240" s="15"/>
    </row>
    <row r="241" spans="15:15" x14ac:dyDescent="0.25">
      <c r="O241" s="15"/>
    </row>
    <row r="242" spans="15:15" x14ac:dyDescent="0.25">
      <c r="O242" s="15"/>
    </row>
    <row r="243" spans="15:15" x14ac:dyDescent="0.25">
      <c r="O243" s="15"/>
    </row>
    <row r="244" spans="15:15" x14ac:dyDescent="0.25">
      <c r="O244" s="15"/>
    </row>
    <row r="245" spans="15:15" x14ac:dyDescent="0.25">
      <c r="O245" s="15"/>
    </row>
    <row r="246" spans="15:15" x14ac:dyDescent="0.25">
      <c r="O246" s="15"/>
    </row>
    <row r="247" spans="15:15" x14ac:dyDescent="0.25">
      <c r="O247" s="15"/>
    </row>
    <row r="248" spans="15:15" x14ac:dyDescent="0.25">
      <c r="O248" s="15"/>
    </row>
    <row r="249" spans="15:15" x14ac:dyDescent="0.25">
      <c r="O249" s="15"/>
    </row>
    <row r="250" spans="15:15" x14ac:dyDescent="0.25">
      <c r="O250" s="15"/>
    </row>
    <row r="251" spans="15:15" x14ac:dyDescent="0.25">
      <c r="O251" s="15"/>
    </row>
    <row r="252" spans="15:15" x14ac:dyDescent="0.25">
      <c r="O252" s="15"/>
    </row>
    <row r="253" spans="15:15" x14ac:dyDescent="0.25">
      <c r="O253" s="15"/>
    </row>
    <row r="254" spans="15:15" x14ac:dyDescent="0.25">
      <c r="O254" s="15"/>
    </row>
    <row r="255" spans="15:15" x14ac:dyDescent="0.25">
      <c r="O255" s="15"/>
    </row>
    <row r="256" spans="15:15" x14ac:dyDescent="0.25">
      <c r="O256" s="15"/>
    </row>
    <row r="257" spans="15:15" x14ac:dyDescent="0.25">
      <c r="O257" s="15"/>
    </row>
    <row r="258" spans="15:15" x14ac:dyDescent="0.25">
      <c r="O258" s="15"/>
    </row>
    <row r="259" spans="15:15" x14ac:dyDescent="0.25">
      <c r="O259" s="15"/>
    </row>
    <row r="260" spans="15:15" x14ac:dyDescent="0.25">
      <c r="O260" s="15"/>
    </row>
    <row r="261" spans="15:15" x14ac:dyDescent="0.25">
      <c r="O261" s="15"/>
    </row>
    <row r="262" spans="15:15" x14ac:dyDescent="0.25">
      <c r="O262" s="15"/>
    </row>
    <row r="263" spans="15:15" x14ac:dyDescent="0.25">
      <c r="O263" s="15"/>
    </row>
    <row r="264" spans="15:15" x14ac:dyDescent="0.25">
      <c r="O264" s="15"/>
    </row>
    <row r="265" spans="15:15" x14ac:dyDescent="0.25">
      <c r="O265" s="15"/>
    </row>
    <row r="266" spans="15:15" x14ac:dyDescent="0.25">
      <c r="O266" s="15"/>
    </row>
    <row r="267" spans="15:15" x14ac:dyDescent="0.25">
      <c r="O267" s="15"/>
    </row>
    <row r="268" spans="15:15" x14ac:dyDescent="0.25">
      <c r="O268" s="15"/>
    </row>
    <row r="269" spans="15:15" x14ac:dyDescent="0.25">
      <c r="O269" s="15"/>
    </row>
    <row r="270" spans="15:15" x14ac:dyDescent="0.25">
      <c r="O270" s="15"/>
    </row>
    <row r="271" spans="15:15" x14ac:dyDescent="0.25">
      <c r="O271" s="15"/>
    </row>
    <row r="272" spans="15:15" x14ac:dyDescent="0.25">
      <c r="O272" s="15"/>
    </row>
    <row r="273" spans="15:15" x14ac:dyDescent="0.25">
      <c r="O273" s="15"/>
    </row>
    <row r="274" spans="15:15" x14ac:dyDescent="0.25">
      <c r="O274" s="15"/>
    </row>
    <row r="275" spans="15:15" x14ac:dyDescent="0.25">
      <c r="O275" s="15"/>
    </row>
    <row r="276" spans="15:15" x14ac:dyDescent="0.25">
      <c r="O276" s="15"/>
    </row>
    <row r="277" spans="15:15" x14ac:dyDescent="0.25">
      <c r="O277" s="15"/>
    </row>
    <row r="278" spans="15:15" x14ac:dyDescent="0.25">
      <c r="O278" s="15"/>
    </row>
    <row r="279" spans="15:15" x14ac:dyDescent="0.25">
      <c r="O279" s="15"/>
    </row>
    <row r="280" spans="15:15" x14ac:dyDescent="0.25">
      <c r="O280" s="15"/>
    </row>
    <row r="281" spans="15:15" x14ac:dyDescent="0.25">
      <c r="O281" s="15"/>
    </row>
    <row r="282" spans="15:15" x14ac:dyDescent="0.25">
      <c r="O282" s="15"/>
    </row>
    <row r="283" spans="15:15" x14ac:dyDescent="0.25">
      <c r="O283" s="15"/>
    </row>
    <row r="284" spans="15:15" x14ac:dyDescent="0.25">
      <c r="O284" s="15"/>
    </row>
    <row r="285" spans="15:15" x14ac:dyDescent="0.25">
      <c r="O285" s="15"/>
    </row>
    <row r="286" spans="15:15" x14ac:dyDescent="0.25">
      <c r="O286" s="15"/>
    </row>
    <row r="287" spans="15:15" x14ac:dyDescent="0.25">
      <c r="O287" s="15"/>
    </row>
    <row r="288" spans="15:15" x14ac:dyDescent="0.25">
      <c r="O288" s="15"/>
    </row>
    <row r="289" spans="15:15" x14ac:dyDescent="0.25">
      <c r="O289" s="15"/>
    </row>
    <row r="290" spans="15:15" x14ac:dyDescent="0.25">
      <c r="O290" s="15"/>
    </row>
    <row r="291" spans="15:15" x14ac:dyDescent="0.25">
      <c r="O291" s="15"/>
    </row>
    <row r="292" spans="15:15" x14ac:dyDescent="0.25">
      <c r="O292" s="15"/>
    </row>
    <row r="293" spans="15:15" x14ac:dyDescent="0.25">
      <c r="O293" s="15"/>
    </row>
    <row r="294" spans="15:15" x14ac:dyDescent="0.25">
      <c r="O294" s="15"/>
    </row>
    <row r="295" spans="15:15" x14ac:dyDescent="0.25">
      <c r="O295" s="15"/>
    </row>
    <row r="296" spans="15:15" x14ac:dyDescent="0.25">
      <c r="O296" s="15"/>
    </row>
    <row r="297" spans="15:15" x14ac:dyDescent="0.25">
      <c r="O297" s="15"/>
    </row>
    <row r="298" spans="15:15" x14ac:dyDescent="0.25">
      <c r="O298" s="15"/>
    </row>
    <row r="299" spans="15:15" x14ac:dyDescent="0.25">
      <c r="O299" s="15"/>
    </row>
    <row r="300" spans="15:15" x14ac:dyDescent="0.25">
      <c r="O300" s="15"/>
    </row>
    <row r="301" spans="15:15" x14ac:dyDescent="0.25">
      <c r="O301" s="15"/>
    </row>
    <row r="302" spans="15:15" x14ac:dyDescent="0.25">
      <c r="O302" s="15"/>
    </row>
    <row r="303" spans="15:15" x14ac:dyDescent="0.25">
      <c r="O303" s="15"/>
    </row>
    <row r="304" spans="15:15" x14ac:dyDescent="0.25">
      <c r="O304" s="15"/>
    </row>
    <row r="305" spans="15:15" x14ac:dyDescent="0.25">
      <c r="O305" s="15"/>
    </row>
    <row r="306" spans="15:15" x14ac:dyDescent="0.25">
      <c r="O306" s="15"/>
    </row>
    <row r="307" spans="15:15" x14ac:dyDescent="0.25">
      <c r="O307" s="15"/>
    </row>
    <row r="308" spans="15:15" x14ac:dyDescent="0.25">
      <c r="O308" s="15"/>
    </row>
    <row r="309" spans="15:15" x14ac:dyDescent="0.25">
      <c r="O309" s="15"/>
    </row>
    <row r="310" spans="15:15" x14ac:dyDescent="0.25">
      <c r="O310" s="15"/>
    </row>
    <row r="311" spans="15:15" x14ac:dyDescent="0.25">
      <c r="O311" s="15"/>
    </row>
    <row r="312" spans="15:15" x14ac:dyDescent="0.25">
      <c r="O312" s="15"/>
    </row>
    <row r="313" spans="15:15" x14ac:dyDescent="0.25">
      <c r="O313" s="15"/>
    </row>
    <row r="314" spans="15:15" x14ac:dyDescent="0.25">
      <c r="O314" s="15"/>
    </row>
    <row r="315" spans="15:15" x14ac:dyDescent="0.25">
      <c r="O315" s="15"/>
    </row>
    <row r="316" spans="15:15" x14ac:dyDescent="0.25">
      <c r="O316" s="15"/>
    </row>
    <row r="317" spans="15:15" x14ac:dyDescent="0.25">
      <c r="O317" s="15"/>
    </row>
    <row r="318" spans="15:15" x14ac:dyDescent="0.25">
      <c r="O318" s="15"/>
    </row>
    <row r="319" spans="15:15" x14ac:dyDescent="0.25">
      <c r="O319" s="15"/>
    </row>
    <row r="320" spans="15:15" x14ac:dyDescent="0.25">
      <c r="O320" s="15"/>
    </row>
    <row r="321" spans="15:15" x14ac:dyDescent="0.25">
      <c r="O321" s="15"/>
    </row>
    <row r="322" spans="15:15" x14ac:dyDescent="0.25">
      <c r="O322" s="15"/>
    </row>
    <row r="323" spans="15:15" x14ac:dyDescent="0.25">
      <c r="O323" s="15"/>
    </row>
    <row r="324" spans="15:15" x14ac:dyDescent="0.25">
      <c r="O324" s="15"/>
    </row>
    <row r="325" spans="15:15" x14ac:dyDescent="0.25">
      <c r="O325" s="15"/>
    </row>
    <row r="326" spans="15:15" x14ac:dyDescent="0.25">
      <c r="O326" s="15"/>
    </row>
    <row r="327" spans="15:15" x14ac:dyDescent="0.25">
      <c r="O327" s="15"/>
    </row>
    <row r="328" spans="15:15" x14ac:dyDescent="0.25">
      <c r="O328" s="15"/>
    </row>
    <row r="329" spans="15:15" x14ac:dyDescent="0.25">
      <c r="O329" s="15"/>
    </row>
    <row r="330" spans="15:15" x14ac:dyDescent="0.25">
      <c r="O330" s="15"/>
    </row>
    <row r="331" spans="15:15" x14ac:dyDescent="0.25">
      <c r="O331" s="15"/>
    </row>
    <row r="332" spans="15:15" x14ac:dyDescent="0.25">
      <c r="O332" s="15"/>
    </row>
    <row r="333" spans="15:15" x14ac:dyDescent="0.25">
      <c r="O333" s="15"/>
    </row>
    <row r="334" spans="15:15" x14ac:dyDescent="0.25">
      <c r="O334" s="15"/>
    </row>
    <row r="335" spans="15:15" x14ac:dyDescent="0.25">
      <c r="O335" s="15"/>
    </row>
    <row r="336" spans="15:15" x14ac:dyDescent="0.25">
      <c r="O336" s="15"/>
    </row>
    <row r="337" spans="15:15" x14ac:dyDescent="0.25">
      <c r="O337" s="15"/>
    </row>
    <row r="338" spans="15:15" x14ac:dyDescent="0.25">
      <c r="O338" s="15"/>
    </row>
    <row r="339" spans="15:15" x14ac:dyDescent="0.25">
      <c r="O339" s="15"/>
    </row>
    <row r="340" spans="15:15" x14ac:dyDescent="0.25">
      <c r="O340" s="15"/>
    </row>
    <row r="341" spans="15:15" x14ac:dyDescent="0.25">
      <c r="O341" s="15"/>
    </row>
    <row r="342" spans="15:15" x14ac:dyDescent="0.25">
      <c r="O342" s="15"/>
    </row>
    <row r="343" spans="15:15" x14ac:dyDescent="0.25">
      <c r="O343" s="15"/>
    </row>
    <row r="344" spans="15:15" x14ac:dyDescent="0.25">
      <c r="O344" s="15"/>
    </row>
    <row r="345" spans="15:15" x14ac:dyDescent="0.25">
      <c r="O345" s="15"/>
    </row>
    <row r="346" spans="15:15" x14ac:dyDescent="0.25">
      <c r="O346" s="15"/>
    </row>
    <row r="347" spans="15:15" x14ac:dyDescent="0.25">
      <c r="O347" s="15"/>
    </row>
    <row r="348" spans="15:15" x14ac:dyDescent="0.25">
      <c r="O348" s="15"/>
    </row>
    <row r="349" spans="15:15" x14ac:dyDescent="0.25">
      <c r="O349" s="15"/>
    </row>
    <row r="350" spans="15:15" x14ac:dyDescent="0.25">
      <c r="O350" s="15"/>
    </row>
    <row r="351" spans="15:15" x14ac:dyDescent="0.25">
      <c r="O351" s="15"/>
    </row>
    <row r="352" spans="15:15" x14ac:dyDescent="0.25">
      <c r="O352" s="15"/>
    </row>
    <row r="353" spans="15:15" x14ac:dyDescent="0.25">
      <c r="O353" s="15"/>
    </row>
    <row r="354" spans="15:15" x14ac:dyDescent="0.25">
      <c r="O354" s="15"/>
    </row>
    <row r="355" spans="15:15" x14ac:dyDescent="0.25">
      <c r="O355" s="15"/>
    </row>
    <row r="356" spans="15:15" x14ac:dyDescent="0.25">
      <c r="O356" s="15"/>
    </row>
    <row r="357" spans="15:15" x14ac:dyDescent="0.25">
      <c r="O357" s="15"/>
    </row>
    <row r="358" spans="15:15" x14ac:dyDescent="0.25">
      <c r="O358" s="15"/>
    </row>
    <row r="359" spans="15:15" x14ac:dyDescent="0.25">
      <c r="O359" s="15"/>
    </row>
    <row r="360" spans="15:15" x14ac:dyDescent="0.25">
      <c r="O360" s="15"/>
    </row>
    <row r="361" spans="15:15" x14ac:dyDescent="0.25">
      <c r="O361" s="15"/>
    </row>
    <row r="362" spans="15:15" x14ac:dyDescent="0.25">
      <c r="O362" s="15"/>
    </row>
    <row r="363" spans="15:15" x14ac:dyDescent="0.25">
      <c r="O363" s="15"/>
    </row>
    <row r="364" spans="15:15" x14ac:dyDescent="0.25">
      <c r="O364" s="15"/>
    </row>
    <row r="365" spans="15:15" x14ac:dyDescent="0.25">
      <c r="O365" s="15"/>
    </row>
    <row r="366" spans="15:15" x14ac:dyDescent="0.25">
      <c r="O366" s="15"/>
    </row>
    <row r="367" spans="15:15" x14ac:dyDescent="0.25">
      <c r="O367" s="15"/>
    </row>
    <row r="368" spans="15:15" x14ac:dyDescent="0.25">
      <c r="O368" s="15"/>
    </row>
    <row r="369" spans="15:15" x14ac:dyDescent="0.25">
      <c r="O369" s="15"/>
    </row>
    <row r="370" spans="15:15" x14ac:dyDescent="0.25">
      <c r="O370" s="15"/>
    </row>
    <row r="371" spans="15:15" x14ac:dyDescent="0.25">
      <c r="O371" s="15"/>
    </row>
    <row r="372" spans="15:15" x14ac:dyDescent="0.25">
      <c r="O372" s="15"/>
    </row>
    <row r="373" spans="15:15" x14ac:dyDescent="0.25">
      <c r="O373" s="15"/>
    </row>
    <row r="374" spans="15:15" x14ac:dyDescent="0.25">
      <c r="O374" s="15"/>
    </row>
    <row r="375" spans="15:15" x14ac:dyDescent="0.25">
      <c r="O375" s="15"/>
    </row>
    <row r="376" spans="15:15" x14ac:dyDescent="0.25">
      <c r="O376" s="15"/>
    </row>
    <row r="377" spans="15:15" x14ac:dyDescent="0.25">
      <c r="O377" s="15"/>
    </row>
    <row r="378" spans="15:15" x14ac:dyDescent="0.25">
      <c r="O378" s="15"/>
    </row>
    <row r="379" spans="15:15" x14ac:dyDescent="0.25">
      <c r="O379" s="15"/>
    </row>
    <row r="380" spans="15:15" x14ac:dyDescent="0.25">
      <c r="O380" s="15"/>
    </row>
    <row r="381" spans="15:15" x14ac:dyDescent="0.25">
      <c r="O381" s="15"/>
    </row>
    <row r="382" spans="15:15" x14ac:dyDescent="0.25">
      <c r="O382" s="15"/>
    </row>
    <row r="383" spans="15:15" x14ac:dyDescent="0.25">
      <c r="O383" s="15"/>
    </row>
    <row r="384" spans="15:15" x14ac:dyDescent="0.25">
      <c r="O384" s="15"/>
    </row>
    <row r="385" spans="15:15" x14ac:dyDescent="0.25">
      <c r="O385" s="15"/>
    </row>
    <row r="386" spans="15:15" x14ac:dyDescent="0.25">
      <c r="O386" s="15"/>
    </row>
    <row r="387" spans="15:15" x14ac:dyDescent="0.25">
      <c r="O387" s="15"/>
    </row>
    <row r="388" spans="15:15" x14ac:dyDescent="0.25">
      <c r="O388" s="15"/>
    </row>
    <row r="389" spans="15:15" x14ac:dyDescent="0.25">
      <c r="O389" s="15"/>
    </row>
    <row r="390" spans="15:15" x14ac:dyDescent="0.25">
      <c r="O390" s="15"/>
    </row>
    <row r="391" spans="15:15" x14ac:dyDescent="0.25">
      <c r="O391" s="15"/>
    </row>
    <row r="392" spans="15:15" x14ac:dyDescent="0.25">
      <c r="O392" s="15"/>
    </row>
    <row r="393" spans="15:15" x14ac:dyDescent="0.25">
      <c r="O393" s="15"/>
    </row>
    <row r="394" spans="15:15" x14ac:dyDescent="0.25">
      <c r="O394" s="15"/>
    </row>
    <row r="395" spans="15:15" x14ac:dyDescent="0.25">
      <c r="O395" s="15"/>
    </row>
    <row r="396" spans="15:15" x14ac:dyDescent="0.25">
      <c r="O396" s="15"/>
    </row>
    <row r="397" spans="15:15" x14ac:dyDescent="0.25">
      <c r="O397" s="15"/>
    </row>
  </sheetData>
  <mergeCells count="2">
    <mergeCell ref="D13:D14"/>
    <mergeCell ref="C13:C14"/>
  </mergeCells>
  <conditionalFormatting sqref="V3:X1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customProperties>
    <customPr name="REFI_OFFICE_FUNCTION_DATA" r:id="rId2"/>
  </customProperties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xr2:uid="{80B4C672-92E4-42D5-9428-FFC7830AA2A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AUD!F3:T3</xm:f>
              <xm:sqref>U3</xm:sqref>
            </x14:sparkline>
            <x14:sparkline>
              <xm:f>AUD!F4:T4</xm:f>
              <xm:sqref>U4</xm:sqref>
            </x14:sparkline>
            <x14:sparkline>
              <xm:f>AUD!F5:T5</xm:f>
              <xm:sqref>U5</xm:sqref>
            </x14:sparkline>
            <x14:sparkline>
              <xm:f>AUD!F6:T6</xm:f>
              <xm:sqref>U6</xm:sqref>
            </x14:sparkline>
            <x14:sparkline>
              <xm:f>AUD!F7:T7</xm:f>
              <xm:sqref>U7</xm:sqref>
            </x14:sparkline>
            <x14:sparkline>
              <xm:f>AUD!F8:T8</xm:f>
              <xm:sqref>U8</xm:sqref>
            </x14:sparkline>
            <x14:sparkline>
              <xm:f>AUD!F9:T9</xm:f>
              <xm:sqref>U9</xm:sqref>
            </x14:sparkline>
            <x14:sparkline>
              <xm:f>AUD!F10:T10</xm:f>
              <xm:sqref>U10</xm:sqref>
            </x14:sparkline>
            <x14:sparkline>
              <xm:f>AUD!F11:T11</xm:f>
              <xm:sqref>U11</xm:sqref>
            </x14:sparkline>
            <x14:sparkline>
              <xm:f>AUD!F12:T12</xm:f>
              <xm:sqref>U12</xm:sqref>
            </x14:sparkline>
          </x14:sparklines>
        </x14:sparklineGroup>
      </x14:sparklineGroup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3736B-9580-4929-AADF-8F44BA29889E}">
  <sheetPr codeName="Feuil9"/>
  <dimension ref="B1:X397"/>
  <sheetViews>
    <sheetView topLeftCell="B1" zoomScale="85" zoomScaleNormal="85" workbookViewId="0">
      <selection activeCell="M14" sqref="M13:M14"/>
    </sheetView>
  </sheetViews>
  <sheetFormatPr defaultColWidth="10.85546875" defaultRowHeight="15" x14ac:dyDescent="0.25"/>
  <cols>
    <col min="1" max="1" width="5.140625" style="11" customWidth="1"/>
    <col min="2" max="2" width="20.28515625" style="11" bestFit="1" customWidth="1"/>
    <col min="3" max="3" width="37" style="11" bestFit="1" customWidth="1"/>
    <col min="4" max="4" width="8.5703125" style="11" bestFit="1" customWidth="1"/>
    <col min="5" max="5" width="14" style="11" bestFit="1" customWidth="1"/>
    <col min="6" max="14" width="12.28515625" style="11" bestFit="1" customWidth="1"/>
    <col min="15" max="20" width="11" style="11" bestFit="1" customWidth="1"/>
    <col min="21" max="21" width="9.85546875" style="11" bestFit="1" customWidth="1"/>
    <col min="22" max="22" width="12.28515625" style="11" customWidth="1"/>
    <col min="23" max="23" width="11.5703125" style="11" customWidth="1"/>
    <col min="24" max="24" width="13.7109375" style="11" customWidth="1"/>
    <col min="25" max="16384" width="10.85546875" style="11"/>
  </cols>
  <sheetData>
    <row r="1" spans="2:24" ht="15.75" thickBot="1" x14ac:dyDescent="0.3"/>
    <row r="2" spans="2:24" ht="29.1" customHeight="1" thickBot="1" x14ac:dyDescent="0.3">
      <c r="B2" s="47" t="s">
        <v>108</v>
      </c>
      <c r="C2" s="47" t="str">
        <f>_xll.DSGRID("NZIRPR1, NZIRPR2, NZIRPR3, NZIRPR4, NZIRPR5, NZIRPR6, NZIRPR7, NZIRPR8, NZIRPR9, NZIRP10","X","-15D","TIMEADJ","D","CustomHeader=true;CustHeaderDatatypes=GEOGN;RowHeader=true;ColHeader=true;Transpose=true;Code=true;DispSeriesDescription=true;YearlyTSFormat=false;QuarterlyTSFormat=false;MonthlyTSFormat=false;AutoResize=true")</f>
        <v>Name</v>
      </c>
      <c r="D2" s="48" t="s">
        <v>57</v>
      </c>
      <c r="E2" s="79" t="s">
        <v>58</v>
      </c>
      <c r="F2" s="49">
        <v>45586</v>
      </c>
      <c r="G2" s="49">
        <v>45587</v>
      </c>
      <c r="H2" s="49">
        <v>45588</v>
      </c>
      <c r="I2" s="49">
        <v>45589</v>
      </c>
      <c r="J2" s="49">
        <v>45590</v>
      </c>
      <c r="K2" s="49">
        <v>45593</v>
      </c>
      <c r="L2" s="49">
        <v>45594</v>
      </c>
      <c r="M2" s="49">
        <v>45595</v>
      </c>
      <c r="N2" s="49">
        <v>45596</v>
      </c>
      <c r="O2" s="49">
        <v>45597</v>
      </c>
      <c r="P2" s="49">
        <v>45600</v>
      </c>
      <c r="Q2" s="49">
        <v>45601</v>
      </c>
      <c r="R2" s="49">
        <v>45602</v>
      </c>
      <c r="S2" s="49">
        <v>45603</v>
      </c>
      <c r="T2" s="49">
        <v>45604</v>
      </c>
      <c r="U2" s="50" t="s">
        <v>109</v>
      </c>
      <c r="V2" s="7" t="s">
        <v>95</v>
      </c>
      <c r="W2" s="8" t="s">
        <v>96</v>
      </c>
      <c r="X2" s="9" t="s">
        <v>97</v>
      </c>
    </row>
    <row r="3" spans="2:24" ht="36.950000000000003" customHeight="1" x14ac:dyDescent="0.25">
      <c r="B3" s="51" t="s">
        <v>110</v>
      </c>
      <c r="C3" s="54" t="s">
        <v>69</v>
      </c>
      <c r="D3" s="32" t="s">
        <v>7</v>
      </c>
      <c r="E3" s="32" t="s">
        <v>70</v>
      </c>
      <c r="F3" s="33">
        <v>4.1710000000000003</v>
      </c>
      <c r="G3" s="33">
        <v>4.1580000000000004</v>
      </c>
      <c r="H3" s="33">
        <v>4.1570999999999998</v>
      </c>
      <c r="I3" s="33">
        <v>4.1730999999999998</v>
      </c>
      <c r="J3" s="33">
        <v>4.1650999999999998</v>
      </c>
      <c r="K3" s="33">
        <v>4.3224</v>
      </c>
      <c r="L3" s="33">
        <v>4.1711999999999998</v>
      </c>
      <c r="M3" s="33">
        <v>4.1878000000000002</v>
      </c>
      <c r="N3" s="33">
        <v>4.1852999999999998</v>
      </c>
      <c r="O3" s="33">
        <v>4.1756000000000002</v>
      </c>
      <c r="P3" s="33">
        <v>4.1843000000000004</v>
      </c>
      <c r="Q3" s="33">
        <v>4.1840999999999999</v>
      </c>
      <c r="R3" s="33">
        <v>4.1914999999999996</v>
      </c>
      <c r="S3" s="33">
        <v>4.2062999999999997</v>
      </c>
      <c r="T3" s="33">
        <v>4.2369000000000003</v>
      </c>
      <c r="U3" s="34"/>
      <c r="V3" s="24">
        <f>(T3-S3)/S3</f>
        <v>7.2748020825905493E-3</v>
      </c>
      <c r="W3" s="22">
        <f>(T3-M3)/M3</f>
        <v>1.1724533167773089E-2</v>
      </c>
      <c r="X3" s="23">
        <f>(T3-F3)/F3</f>
        <v>1.579956844881325E-2</v>
      </c>
    </row>
    <row r="4" spans="2:24" ht="36.950000000000003" customHeight="1" x14ac:dyDescent="0.25">
      <c r="B4" s="52" t="s">
        <v>111</v>
      </c>
      <c r="C4" s="55" t="s">
        <v>179</v>
      </c>
      <c r="D4" s="35" t="s">
        <v>15</v>
      </c>
      <c r="E4" s="35" t="s">
        <v>70</v>
      </c>
      <c r="F4" s="36">
        <v>3.7414999999999998</v>
      </c>
      <c r="G4" s="36">
        <v>3.7010000000000001</v>
      </c>
      <c r="H4" s="36">
        <v>3.7328000000000001</v>
      </c>
      <c r="I4" s="36">
        <v>3.7757000000000001</v>
      </c>
      <c r="J4" s="36">
        <v>3.8001999999999998</v>
      </c>
      <c r="K4" s="36">
        <v>3.5678999999999998</v>
      </c>
      <c r="L4" s="36">
        <v>3.8189000000000002</v>
      </c>
      <c r="M4" s="36">
        <v>3.7181999999999999</v>
      </c>
      <c r="N4" s="36">
        <v>3.7999000000000001</v>
      </c>
      <c r="O4" s="36">
        <v>3.8409</v>
      </c>
      <c r="P4" s="36">
        <v>3.8340999999999998</v>
      </c>
      <c r="Q4" s="36">
        <v>3.8511000000000002</v>
      </c>
      <c r="R4" s="36">
        <v>3.8264999999999998</v>
      </c>
      <c r="S4" s="36">
        <v>3.8370000000000002</v>
      </c>
      <c r="T4" s="36">
        <v>3.9144999999999999</v>
      </c>
      <c r="U4" s="37"/>
      <c r="V4" s="24">
        <f t="shared" ref="V4:V12" si="0">(T4-S4)/S4</f>
        <v>2.0198071409955609E-2</v>
      </c>
      <c r="W4" s="22">
        <f t="shared" ref="W4:W12" si="1">(T4-M4)/M4</f>
        <v>5.2794362863751255E-2</v>
      </c>
      <c r="X4" s="23">
        <f t="shared" ref="X4:X12" si="2">(T4-F4)/F4</f>
        <v>4.6238139783509304E-2</v>
      </c>
    </row>
    <row r="5" spans="2:24" ht="36.950000000000003" customHeight="1" x14ac:dyDescent="0.25">
      <c r="B5" s="52" t="s">
        <v>113</v>
      </c>
      <c r="C5" s="55" t="s">
        <v>180</v>
      </c>
      <c r="D5" s="35" t="s">
        <v>23</v>
      </c>
      <c r="E5" s="35" t="s">
        <v>70</v>
      </c>
      <c r="F5" s="36">
        <v>3.5263</v>
      </c>
      <c r="G5" s="36">
        <v>3.5011999999999999</v>
      </c>
      <c r="H5" s="36">
        <v>3.5520999999999998</v>
      </c>
      <c r="I5" s="36">
        <v>3.5400999999999998</v>
      </c>
      <c r="J5" s="36">
        <v>3.5455000000000001</v>
      </c>
      <c r="K5" s="36">
        <v>3.5468000000000002</v>
      </c>
      <c r="L5" s="36">
        <v>3.5541999999999998</v>
      </c>
      <c r="M5" s="36">
        <v>3.5449000000000002</v>
      </c>
      <c r="N5" s="36">
        <v>3.5720999999999998</v>
      </c>
      <c r="O5" s="36">
        <v>3.5642999999999998</v>
      </c>
      <c r="P5" s="36">
        <v>3.5628000000000002</v>
      </c>
      <c r="Q5" s="36">
        <v>3.5802999999999998</v>
      </c>
      <c r="R5" s="36">
        <v>3.5992000000000002</v>
      </c>
      <c r="S5" s="36">
        <v>3.641</v>
      </c>
      <c r="T5" s="36">
        <v>3.6271</v>
      </c>
      <c r="U5" s="37"/>
      <c r="V5" s="24">
        <f t="shared" si="0"/>
        <v>-3.8176325185388695E-3</v>
      </c>
      <c r="W5" s="22">
        <f t="shared" si="1"/>
        <v>2.3188242263533478E-2</v>
      </c>
      <c r="X5" s="23">
        <f t="shared" si="2"/>
        <v>2.8585202620310241E-2</v>
      </c>
    </row>
    <row r="6" spans="2:24" ht="36.950000000000003" customHeight="1" x14ac:dyDescent="0.25">
      <c r="B6" s="52" t="s">
        <v>115</v>
      </c>
      <c r="C6" s="55" t="s">
        <v>181</v>
      </c>
      <c r="D6" s="35" t="s">
        <v>31</v>
      </c>
      <c r="E6" s="35" t="s">
        <v>70</v>
      </c>
      <c r="F6" s="36">
        <v>3.3052999999999999</v>
      </c>
      <c r="G6" s="36">
        <v>3.3111000000000002</v>
      </c>
      <c r="H6" s="36">
        <v>3.3214999999999999</v>
      </c>
      <c r="I6" s="36">
        <v>3.3614000000000002</v>
      </c>
      <c r="J6" s="36">
        <v>3.3626999999999998</v>
      </c>
      <c r="K6" s="36">
        <v>3.3698000000000001</v>
      </c>
      <c r="L6" s="36">
        <v>3.3706</v>
      </c>
      <c r="M6" s="36">
        <v>3.3908</v>
      </c>
      <c r="N6" s="36">
        <v>3.3963999999999999</v>
      </c>
      <c r="O6" s="36">
        <v>3.4348999999999998</v>
      </c>
      <c r="P6" s="36">
        <v>3.4371999999999998</v>
      </c>
      <c r="Q6" s="36">
        <v>3.4525000000000001</v>
      </c>
      <c r="R6" s="36">
        <v>3.508</v>
      </c>
      <c r="S6" s="36">
        <v>3.5234999999999999</v>
      </c>
      <c r="T6" s="36">
        <v>3.5362</v>
      </c>
      <c r="U6" s="37"/>
      <c r="V6" s="24">
        <f t="shared" si="0"/>
        <v>3.6043706541791275E-3</v>
      </c>
      <c r="W6" s="22">
        <f t="shared" si="1"/>
        <v>4.2880736109472684E-2</v>
      </c>
      <c r="X6" s="23">
        <f t="shared" si="2"/>
        <v>6.9857501588358129E-2</v>
      </c>
    </row>
    <row r="7" spans="2:24" ht="36.950000000000003" customHeight="1" x14ac:dyDescent="0.25">
      <c r="B7" s="52" t="s">
        <v>117</v>
      </c>
      <c r="C7" s="55" t="s">
        <v>80</v>
      </c>
      <c r="D7" s="35" t="s">
        <v>39</v>
      </c>
      <c r="E7" s="35" t="s">
        <v>70</v>
      </c>
      <c r="F7" s="36">
        <v>3.2549999999999999</v>
      </c>
      <c r="G7" s="36">
        <v>3.2412000000000001</v>
      </c>
      <c r="H7" s="36">
        <v>3.2875999999999999</v>
      </c>
      <c r="I7" s="36">
        <v>3.2700999999999998</v>
      </c>
      <c r="J7" s="36">
        <v>3.2637</v>
      </c>
      <c r="K7" s="36">
        <v>3.2770999999999999</v>
      </c>
      <c r="L7" s="36">
        <v>3.2650999999999999</v>
      </c>
      <c r="M7" s="36">
        <v>3.2927</v>
      </c>
      <c r="N7" s="36">
        <v>3.2764000000000002</v>
      </c>
      <c r="O7" s="36">
        <v>3.3235999999999999</v>
      </c>
      <c r="P7" s="36">
        <v>3.3203</v>
      </c>
      <c r="Q7" s="36">
        <v>3.3292999999999999</v>
      </c>
      <c r="R7" s="36">
        <v>3.4001000000000001</v>
      </c>
      <c r="S7" s="36">
        <v>3.3984000000000001</v>
      </c>
      <c r="T7" s="36">
        <v>3.3969</v>
      </c>
      <c r="U7" s="37"/>
      <c r="V7" s="24">
        <f t="shared" si="0"/>
        <v>-4.4138418079097715E-4</v>
      </c>
      <c r="W7" s="22">
        <f t="shared" si="1"/>
        <v>3.1645761836790499E-2</v>
      </c>
      <c r="X7" s="23">
        <f t="shared" si="2"/>
        <v>4.3594470046082995E-2</v>
      </c>
    </row>
    <row r="8" spans="2:24" ht="36.950000000000003" customHeight="1" x14ac:dyDescent="0.25">
      <c r="B8" s="52" t="s">
        <v>118</v>
      </c>
      <c r="C8" s="55" t="s">
        <v>182</v>
      </c>
      <c r="D8" s="35" t="s">
        <v>47</v>
      </c>
      <c r="E8" s="35" t="s">
        <v>70</v>
      </c>
      <c r="F8" s="36">
        <v>3.1637</v>
      </c>
      <c r="G8" s="36">
        <v>3.1444999999999999</v>
      </c>
      <c r="H8" s="36">
        <v>3.2385000000000002</v>
      </c>
      <c r="I8" s="36">
        <v>3.2061999999999999</v>
      </c>
      <c r="J8" s="36">
        <v>3.2023000000000001</v>
      </c>
      <c r="K8" s="36">
        <v>3.2248999999999999</v>
      </c>
      <c r="L8" s="36">
        <v>3.2065000000000001</v>
      </c>
      <c r="M8" s="36">
        <v>3.2542</v>
      </c>
      <c r="N8" s="36">
        <v>3.2440000000000002</v>
      </c>
      <c r="O8" s="36">
        <v>3.3138000000000001</v>
      </c>
      <c r="P8" s="36">
        <v>3.3121999999999998</v>
      </c>
      <c r="Q8" s="36">
        <v>3.3191999999999999</v>
      </c>
      <c r="R8" s="36">
        <v>3.4184999999999999</v>
      </c>
      <c r="S8" s="36">
        <v>3.427</v>
      </c>
      <c r="T8" s="36">
        <v>3.4095</v>
      </c>
      <c r="U8" s="37"/>
      <c r="V8" s="24">
        <f t="shared" si="0"/>
        <v>-5.1065071491100296E-3</v>
      </c>
      <c r="W8" s="22">
        <f t="shared" si="1"/>
        <v>4.7722942658717959E-2</v>
      </c>
      <c r="X8" s="23">
        <f t="shared" si="2"/>
        <v>7.7693839491734362E-2</v>
      </c>
    </row>
    <row r="9" spans="2:24" ht="36.950000000000003" customHeight="1" x14ac:dyDescent="0.25">
      <c r="B9" s="52" t="s">
        <v>119</v>
      </c>
      <c r="C9" s="55" t="s">
        <v>183</v>
      </c>
      <c r="D9" s="35" t="s">
        <v>55</v>
      </c>
      <c r="E9" s="35" t="s">
        <v>70</v>
      </c>
      <c r="F9" s="36">
        <v>3.2048999999999999</v>
      </c>
      <c r="G9" s="36">
        <v>3.2098</v>
      </c>
      <c r="H9" s="36">
        <v>3.2227000000000001</v>
      </c>
      <c r="I9" s="36">
        <v>3.1854</v>
      </c>
      <c r="J9" s="36">
        <v>3.1749999999999998</v>
      </c>
      <c r="K9" s="36">
        <v>3.2097000000000002</v>
      </c>
      <c r="L9" s="36">
        <v>3.1737000000000002</v>
      </c>
      <c r="M9" s="36">
        <v>3.1728000000000001</v>
      </c>
      <c r="N9" s="36">
        <v>3.1638999999999999</v>
      </c>
      <c r="O9" s="36">
        <v>3.2584</v>
      </c>
      <c r="P9" s="36">
        <v>3.2538</v>
      </c>
      <c r="Q9" s="36">
        <v>3.2593999999999999</v>
      </c>
      <c r="R9" s="36">
        <v>3.3534000000000002</v>
      </c>
      <c r="S9" s="36">
        <v>3.3675000000000002</v>
      </c>
      <c r="T9" s="36">
        <v>3.2797000000000001</v>
      </c>
      <c r="U9" s="37"/>
      <c r="V9" s="24">
        <f t="shared" si="0"/>
        <v>-2.6072754268745387E-2</v>
      </c>
      <c r="W9" s="22">
        <f t="shared" si="1"/>
        <v>3.369263741805345E-2</v>
      </c>
      <c r="X9" s="23">
        <f t="shared" si="2"/>
        <v>2.333926175543705E-2</v>
      </c>
    </row>
    <row r="10" spans="2:24" ht="36.950000000000003" customHeight="1" x14ac:dyDescent="0.25">
      <c r="B10" s="52" t="s">
        <v>120</v>
      </c>
      <c r="C10" s="55" t="s">
        <v>184</v>
      </c>
      <c r="D10" s="35" t="s">
        <v>185</v>
      </c>
      <c r="E10" s="35" t="s">
        <v>70</v>
      </c>
      <c r="F10" s="36">
        <v>3.1547999999999998</v>
      </c>
      <c r="G10" s="36">
        <v>3.1936</v>
      </c>
      <c r="H10" s="36">
        <v>3.1791</v>
      </c>
      <c r="I10" s="36">
        <v>3.145</v>
      </c>
      <c r="J10" s="36">
        <v>3.1383999999999999</v>
      </c>
      <c r="K10" s="36">
        <v>3.1884999999999999</v>
      </c>
      <c r="L10" s="36">
        <v>3.1412</v>
      </c>
      <c r="M10" s="36">
        <v>3.0956999999999999</v>
      </c>
      <c r="N10" s="36">
        <v>3.101</v>
      </c>
      <c r="O10" s="36">
        <v>3.2454000000000001</v>
      </c>
      <c r="P10" s="36">
        <v>3.246</v>
      </c>
      <c r="Q10" s="36">
        <v>3.2631000000000001</v>
      </c>
      <c r="R10" s="36">
        <v>3.3595000000000002</v>
      </c>
      <c r="S10" s="36">
        <v>3.4093</v>
      </c>
      <c r="T10" s="36">
        <v>3.1267</v>
      </c>
      <c r="U10" s="37"/>
      <c r="V10" s="24">
        <f t="shared" si="0"/>
        <v>-8.2890916023817193E-2</v>
      </c>
      <c r="W10" s="22">
        <f t="shared" si="1"/>
        <v>1.0013890234841923E-2</v>
      </c>
      <c r="X10" s="23">
        <f t="shared" si="2"/>
        <v>-8.907062254342523E-3</v>
      </c>
    </row>
    <row r="11" spans="2:24" ht="36.950000000000003" customHeight="1" x14ac:dyDescent="0.25">
      <c r="B11" s="52" t="s">
        <v>121</v>
      </c>
      <c r="C11" s="55" t="s">
        <v>186</v>
      </c>
      <c r="D11" s="35" t="s">
        <v>187</v>
      </c>
      <c r="E11" s="35" t="s">
        <v>70</v>
      </c>
      <c r="F11" s="36">
        <v>3.0508999999999999</v>
      </c>
      <c r="G11" s="36">
        <v>3.1042999999999998</v>
      </c>
      <c r="H11" s="36">
        <v>3.0785</v>
      </c>
      <c r="I11" s="36">
        <v>3.0345</v>
      </c>
      <c r="J11" s="36">
        <v>3.0263</v>
      </c>
      <c r="K11" s="36">
        <v>3.0886</v>
      </c>
      <c r="L11" s="36">
        <v>3.0301999999999998</v>
      </c>
      <c r="M11" s="36">
        <v>2.9708999999999999</v>
      </c>
      <c r="N11" s="36">
        <v>2.9767000000000001</v>
      </c>
      <c r="O11" s="36">
        <v>3.1537999999999999</v>
      </c>
      <c r="P11" s="36">
        <v>3.1556999999999999</v>
      </c>
      <c r="Q11" s="36">
        <v>3.1753999999999998</v>
      </c>
      <c r="R11" s="36">
        <v>3.2890999999999999</v>
      </c>
      <c r="S11" s="36">
        <v>3.3492999999999999</v>
      </c>
      <c r="T11" s="36">
        <v>2.9842</v>
      </c>
      <c r="U11" s="37"/>
      <c r="V11" s="24">
        <f t="shared" si="0"/>
        <v>-0.10900785238706595</v>
      </c>
      <c r="W11" s="22">
        <f t="shared" si="1"/>
        <v>4.4767578848160794E-3</v>
      </c>
      <c r="X11" s="23">
        <f t="shared" si="2"/>
        <v>-2.1862401258644984E-2</v>
      </c>
    </row>
    <row r="12" spans="2:24" ht="36.950000000000003" customHeight="1" thickBot="1" x14ac:dyDescent="0.3">
      <c r="B12" s="53" t="s">
        <v>122</v>
      </c>
      <c r="C12" s="56" t="s">
        <v>188</v>
      </c>
      <c r="D12" s="38" t="s">
        <v>189</v>
      </c>
      <c r="E12" s="38" t="s">
        <v>70</v>
      </c>
      <c r="F12" s="39">
        <v>3.2286999999999999</v>
      </c>
      <c r="G12" s="39">
        <v>3.2869999999999999</v>
      </c>
      <c r="H12" s="39">
        <v>3.2273000000000001</v>
      </c>
      <c r="I12" s="39">
        <v>3.1158000000000001</v>
      </c>
      <c r="J12" s="39">
        <v>3.0817000000000001</v>
      </c>
      <c r="K12" s="39">
        <v>3.1717</v>
      </c>
      <c r="L12" s="39">
        <v>3.1496</v>
      </c>
      <c r="M12" s="39">
        <v>3.1286</v>
      </c>
      <c r="N12" s="39">
        <v>3.0874000000000001</v>
      </c>
      <c r="O12" s="39">
        <v>3.1027</v>
      </c>
      <c r="P12" s="39">
        <v>3.1528999999999998</v>
      </c>
      <c r="Q12" s="39">
        <v>3.1917</v>
      </c>
      <c r="R12" s="39">
        <v>3.3090999999999999</v>
      </c>
      <c r="S12" s="39">
        <v>3.3527</v>
      </c>
      <c r="T12" s="39">
        <v>3.0219</v>
      </c>
      <c r="U12" s="40"/>
      <c r="V12" s="25">
        <f t="shared" si="0"/>
        <v>-9.8666746204551556E-2</v>
      </c>
      <c r="W12" s="26">
        <f t="shared" si="1"/>
        <v>-3.4104711372498889E-2</v>
      </c>
      <c r="X12" s="27">
        <f t="shared" si="2"/>
        <v>-6.4050546659646254E-2</v>
      </c>
    </row>
    <row r="13" spans="2:24" ht="36.950000000000003" customHeight="1" x14ac:dyDescent="0.25">
      <c r="C13" s="91" t="s">
        <v>123</v>
      </c>
      <c r="D13" s="91">
        <f>_xll.DSGRID("NZPRATE.","","-2Q","QTE","Q","")</f>
        <v>5.5</v>
      </c>
    </row>
    <row r="14" spans="2:24" ht="15.75" thickBot="1" x14ac:dyDescent="0.3">
      <c r="C14" s="92"/>
      <c r="D14" s="92"/>
    </row>
    <row r="21" spans="12:17" x14ac:dyDescent="0.25">
      <c r="M21" s="14"/>
      <c r="N21" s="14"/>
    </row>
    <row r="22" spans="12:17" x14ac:dyDescent="0.25">
      <c r="L22" s="14"/>
      <c r="O22" s="14"/>
    </row>
    <row r="28" spans="12:17" x14ac:dyDescent="0.25">
      <c r="P28" s="14"/>
      <c r="Q28" s="14"/>
    </row>
    <row r="29" spans="12:17" x14ac:dyDescent="0.25">
      <c r="O29" s="15"/>
    </row>
    <row r="30" spans="12:17" x14ac:dyDescent="0.25">
      <c r="O30" s="15"/>
    </row>
    <row r="31" spans="12:17" x14ac:dyDescent="0.25">
      <c r="O31" s="15"/>
    </row>
    <row r="32" spans="12:17" x14ac:dyDescent="0.25">
      <c r="O32" s="15"/>
    </row>
    <row r="33" spans="15:15" x14ac:dyDescent="0.25">
      <c r="O33" s="15"/>
    </row>
    <row r="34" spans="15:15" x14ac:dyDescent="0.25">
      <c r="O34" s="15"/>
    </row>
    <row r="35" spans="15:15" x14ac:dyDescent="0.25">
      <c r="O35" s="15"/>
    </row>
    <row r="36" spans="15:15" x14ac:dyDescent="0.25">
      <c r="O36" s="15"/>
    </row>
    <row r="37" spans="15:15" x14ac:dyDescent="0.25">
      <c r="O37" s="15"/>
    </row>
    <row r="38" spans="15:15" x14ac:dyDescent="0.25">
      <c r="O38" s="15"/>
    </row>
    <row r="39" spans="15:15" x14ac:dyDescent="0.25">
      <c r="O39" s="15"/>
    </row>
    <row r="40" spans="15:15" x14ac:dyDescent="0.25">
      <c r="O40" s="15"/>
    </row>
    <row r="41" spans="15:15" x14ac:dyDescent="0.25">
      <c r="O41" s="15"/>
    </row>
    <row r="42" spans="15:15" x14ac:dyDescent="0.25">
      <c r="O42" s="15"/>
    </row>
    <row r="43" spans="15:15" x14ac:dyDescent="0.25">
      <c r="O43" s="15"/>
    </row>
    <row r="44" spans="15:15" x14ac:dyDescent="0.25">
      <c r="O44" s="15"/>
    </row>
    <row r="45" spans="15:15" x14ac:dyDescent="0.25">
      <c r="O45" s="15"/>
    </row>
    <row r="46" spans="15:15" x14ac:dyDescent="0.25">
      <c r="O46" s="15"/>
    </row>
    <row r="47" spans="15:15" x14ac:dyDescent="0.25">
      <c r="O47" s="15"/>
    </row>
    <row r="48" spans="15:15" x14ac:dyDescent="0.25">
      <c r="O48" s="15"/>
    </row>
    <row r="49" spans="15:15" x14ac:dyDescent="0.25">
      <c r="O49" s="15"/>
    </row>
    <row r="50" spans="15:15" x14ac:dyDescent="0.25">
      <c r="O50" s="15"/>
    </row>
    <row r="51" spans="15:15" x14ac:dyDescent="0.25">
      <c r="O51" s="15"/>
    </row>
    <row r="52" spans="15:15" x14ac:dyDescent="0.25">
      <c r="O52" s="15"/>
    </row>
    <row r="53" spans="15:15" x14ac:dyDescent="0.25">
      <c r="O53" s="15"/>
    </row>
    <row r="54" spans="15:15" x14ac:dyDescent="0.25">
      <c r="O54" s="15"/>
    </row>
    <row r="55" spans="15:15" x14ac:dyDescent="0.25">
      <c r="O55" s="15"/>
    </row>
    <row r="56" spans="15:15" x14ac:dyDescent="0.25">
      <c r="O56" s="15"/>
    </row>
    <row r="57" spans="15:15" x14ac:dyDescent="0.25">
      <c r="O57" s="15"/>
    </row>
    <row r="58" spans="15:15" x14ac:dyDescent="0.25">
      <c r="O58" s="15"/>
    </row>
    <row r="59" spans="15:15" x14ac:dyDescent="0.25">
      <c r="O59" s="15"/>
    </row>
    <row r="60" spans="15:15" x14ac:dyDescent="0.25">
      <c r="O60" s="15"/>
    </row>
    <row r="61" spans="15:15" x14ac:dyDescent="0.25">
      <c r="O61" s="15"/>
    </row>
    <row r="62" spans="15:15" x14ac:dyDescent="0.25">
      <c r="O62" s="15"/>
    </row>
    <row r="63" spans="15:15" x14ac:dyDescent="0.25">
      <c r="O63" s="15"/>
    </row>
    <row r="64" spans="15:15" x14ac:dyDescent="0.25">
      <c r="O64" s="15"/>
    </row>
    <row r="65" spans="15:15" x14ac:dyDescent="0.25">
      <c r="O65" s="15"/>
    </row>
    <row r="66" spans="15:15" x14ac:dyDescent="0.25">
      <c r="O66" s="15"/>
    </row>
    <row r="67" spans="15:15" x14ac:dyDescent="0.25">
      <c r="O67" s="15"/>
    </row>
    <row r="68" spans="15:15" x14ac:dyDescent="0.25">
      <c r="O68" s="15"/>
    </row>
    <row r="69" spans="15:15" x14ac:dyDescent="0.25">
      <c r="O69" s="15"/>
    </row>
    <row r="70" spans="15:15" x14ac:dyDescent="0.25">
      <c r="O70" s="15"/>
    </row>
    <row r="71" spans="15:15" x14ac:dyDescent="0.25">
      <c r="O71" s="15"/>
    </row>
    <row r="72" spans="15:15" x14ac:dyDescent="0.25">
      <c r="O72" s="15"/>
    </row>
    <row r="73" spans="15:15" x14ac:dyDescent="0.25">
      <c r="O73" s="15"/>
    </row>
    <row r="74" spans="15:15" x14ac:dyDescent="0.25">
      <c r="O74" s="15"/>
    </row>
    <row r="75" spans="15:15" x14ac:dyDescent="0.25">
      <c r="O75" s="15"/>
    </row>
    <row r="76" spans="15:15" x14ac:dyDescent="0.25">
      <c r="O76" s="15"/>
    </row>
    <row r="77" spans="15:15" x14ac:dyDescent="0.25">
      <c r="O77" s="15"/>
    </row>
    <row r="78" spans="15:15" x14ac:dyDescent="0.25">
      <c r="O78" s="15"/>
    </row>
    <row r="79" spans="15:15" x14ac:dyDescent="0.25">
      <c r="O79" s="15"/>
    </row>
    <row r="80" spans="15:15" x14ac:dyDescent="0.25">
      <c r="O80" s="15"/>
    </row>
    <row r="81" spans="15:15" x14ac:dyDescent="0.25">
      <c r="O81" s="15"/>
    </row>
    <row r="82" spans="15:15" x14ac:dyDescent="0.25">
      <c r="O82" s="15"/>
    </row>
    <row r="83" spans="15:15" x14ac:dyDescent="0.25">
      <c r="O83" s="15"/>
    </row>
    <row r="84" spans="15:15" x14ac:dyDescent="0.25">
      <c r="O84" s="15"/>
    </row>
    <row r="85" spans="15:15" x14ac:dyDescent="0.25">
      <c r="O85" s="15"/>
    </row>
    <row r="86" spans="15:15" x14ac:dyDescent="0.25">
      <c r="O86" s="15"/>
    </row>
    <row r="87" spans="15:15" x14ac:dyDescent="0.25">
      <c r="O87" s="15"/>
    </row>
    <row r="88" spans="15:15" x14ac:dyDescent="0.25">
      <c r="O88" s="15"/>
    </row>
    <row r="89" spans="15:15" x14ac:dyDescent="0.25">
      <c r="O89" s="15"/>
    </row>
    <row r="90" spans="15:15" x14ac:dyDescent="0.25">
      <c r="O90" s="15"/>
    </row>
    <row r="91" spans="15:15" x14ac:dyDescent="0.25">
      <c r="O91" s="15"/>
    </row>
    <row r="92" spans="15:15" x14ac:dyDescent="0.25">
      <c r="O92" s="15"/>
    </row>
    <row r="93" spans="15:15" x14ac:dyDescent="0.25">
      <c r="O93" s="15"/>
    </row>
    <row r="94" spans="15:15" x14ac:dyDescent="0.25">
      <c r="O94" s="15"/>
    </row>
    <row r="95" spans="15:15" x14ac:dyDescent="0.25">
      <c r="O95" s="15"/>
    </row>
    <row r="96" spans="15:15" x14ac:dyDescent="0.25">
      <c r="O96" s="15"/>
    </row>
    <row r="97" spans="15:15" x14ac:dyDescent="0.25">
      <c r="O97" s="15"/>
    </row>
    <row r="98" spans="15:15" x14ac:dyDescent="0.25">
      <c r="O98" s="15"/>
    </row>
    <row r="99" spans="15:15" x14ac:dyDescent="0.25">
      <c r="O99" s="15"/>
    </row>
    <row r="100" spans="15:15" x14ac:dyDescent="0.25">
      <c r="O100" s="15"/>
    </row>
    <row r="101" spans="15:15" x14ac:dyDescent="0.25">
      <c r="O101" s="15"/>
    </row>
    <row r="102" spans="15:15" x14ac:dyDescent="0.25">
      <c r="O102" s="15"/>
    </row>
    <row r="103" spans="15:15" x14ac:dyDescent="0.25">
      <c r="O103" s="15"/>
    </row>
    <row r="104" spans="15:15" x14ac:dyDescent="0.25">
      <c r="O104" s="15"/>
    </row>
    <row r="105" spans="15:15" x14ac:dyDescent="0.25">
      <c r="O105" s="15"/>
    </row>
    <row r="106" spans="15:15" x14ac:dyDescent="0.25">
      <c r="O106" s="15"/>
    </row>
    <row r="107" spans="15:15" x14ac:dyDescent="0.25">
      <c r="O107" s="15"/>
    </row>
    <row r="108" spans="15:15" x14ac:dyDescent="0.25">
      <c r="O108" s="15"/>
    </row>
    <row r="109" spans="15:15" x14ac:dyDescent="0.25">
      <c r="O109" s="15"/>
    </row>
    <row r="110" spans="15:15" x14ac:dyDescent="0.25">
      <c r="O110" s="15"/>
    </row>
    <row r="111" spans="15:15" x14ac:dyDescent="0.25">
      <c r="O111" s="15"/>
    </row>
    <row r="112" spans="15:15" x14ac:dyDescent="0.25">
      <c r="O112" s="15"/>
    </row>
    <row r="113" spans="15:15" x14ac:dyDescent="0.25">
      <c r="O113" s="15"/>
    </row>
    <row r="114" spans="15:15" x14ac:dyDescent="0.25">
      <c r="O114" s="15"/>
    </row>
    <row r="115" spans="15:15" x14ac:dyDescent="0.25">
      <c r="O115" s="15"/>
    </row>
    <row r="116" spans="15:15" x14ac:dyDescent="0.25">
      <c r="O116" s="15"/>
    </row>
    <row r="117" spans="15:15" x14ac:dyDescent="0.25">
      <c r="O117" s="15"/>
    </row>
    <row r="118" spans="15:15" x14ac:dyDescent="0.25">
      <c r="O118" s="15"/>
    </row>
    <row r="119" spans="15:15" x14ac:dyDescent="0.25">
      <c r="O119" s="15"/>
    </row>
    <row r="120" spans="15:15" x14ac:dyDescent="0.25">
      <c r="O120" s="15"/>
    </row>
    <row r="121" spans="15:15" x14ac:dyDescent="0.25">
      <c r="O121" s="15"/>
    </row>
    <row r="122" spans="15:15" x14ac:dyDescent="0.25">
      <c r="O122" s="15"/>
    </row>
    <row r="123" spans="15:15" x14ac:dyDescent="0.25">
      <c r="O123" s="15"/>
    </row>
    <row r="124" spans="15:15" x14ac:dyDescent="0.25">
      <c r="O124" s="15"/>
    </row>
    <row r="125" spans="15:15" x14ac:dyDescent="0.25">
      <c r="O125" s="15"/>
    </row>
    <row r="126" spans="15:15" x14ac:dyDescent="0.25">
      <c r="O126" s="15"/>
    </row>
    <row r="127" spans="15:15" x14ac:dyDescent="0.25">
      <c r="O127" s="15"/>
    </row>
    <row r="128" spans="15:15" x14ac:dyDescent="0.25">
      <c r="O128" s="15"/>
    </row>
    <row r="129" spans="15:15" x14ac:dyDescent="0.25">
      <c r="O129" s="15"/>
    </row>
    <row r="130" spans="15:15" x14ac:dyDescent="0.25">
      <c r="O130" s="15"/>
    </row>
    <row r="131" spans="15:15" x14ac:dyDescent="0.25">
      <c r="O131" s="15"/>
    </row>
    <row r="132" spans="15:15" x14ac:dyDescent="0.25">
      <c r="O132" s="15"/>
    </row>
    <row r="133" spans="15:15" x14ac:dyDescent="0.25">
      <c r="O133" s="15"/>
    </row>
    <row r="134" spans="15:15" x14ac:dyDescent="0.25">
      <c r="O134" s="15"/>
    </row>
    <row r="135" spans="15:15" x14ac:dyDescent="0.25">
      <c r="O135" s="15"/>
    </row>
    <row r="136" spans="15:15" x14ac:dyDescent="0.25">
      <c r="O136" s="15"/>
    </row>
    <row r="137" spans="15:15" x14ac:dyDescent="0.25">
      <c r="O137" s="15"/>
    </row>
    <row r="138" spans="15:15" x14ac:dyDescent="0.25">
      <c r="O138" s="15"/>
    </row>
    <row r="139" spans="15:15" x14ac:dyDescent="0.25">
      <c r="O139" s="15"/>
    </row>
    <row r="140" spans="15:15" x14ac:dyDescent="0.25">
      <c r="O140" s="15"/>
    </row>
    <row r="141" spans="15:15" x14ac:dyDescent="0.25">
      <c r="O141" s="15"/>
    </row>
    <row r="142" spans="15:15" x14ac:dyDescent="0.25">
      <c r="O142" s="15"/>
    </row>
    <row r="143" spans="15:15" x14ac:dyDescent="0.25">
      <c r="O143" s="15"/>
    </row>
    <row r="144" spans="15:15" x14ac:dyDescent="0.25">
      <c r="O144" s="15"/>
    </row>
    <row r="145" spans="15:15" x14ac:dyDescent="0.25">
      <c r="O145" s="15"/>
    </row>
    <row r="146" spans="15:15" x14ac:dyDescent="0.25">
      <c r="O146" s="15"/>
    </row>
    <row r="147" spans="15:15" x14ac:dyDescent="0.25">
      <c r="O147" s="15"/>
    </row>
    <row r="148" spans="15:15" x14ac:dyDescent="0.25">
      <c r="O148" s="15"/>
    </row>
    <row r="149" spans="15:15" x14ac:dyDescent="0.25">
      <c r="O149" s="15"/>
    </row>
    <row r="150" spans="15:15" x14ac:dyDescent="0.25">
      <c r="O150" s="15"/>
    </row>
    <row r="151" spans="15:15" x14ac:dyDescent="0.25">
      <c r="O151" s="15"/>
    </row>
    <row r="152" spans="15:15" x14ac:dyDescent="0.25">
      <c r="O152" s="15"/>
    </row>
    <row r="153" spans="15:15" x14ac:dyDescent="0.25">
      <c r="O153" s="15"/>
    </row>
    <row r="154" spans="15:15" x14ac:dyDescent="0.25">
      <c r="O154" s="15"/>
    </row>
    <row r="155" spans="15:15" x14ac:dyDescent="0.25">
      <c r="O155" s="15"/>
    </row>
    <row r="156" spans="15:15" x14ac:dyDescent="0.25">
      <c r="O156" s="15"/>
    </row>
    <row r="157" spans="15:15" x14ac:dyDescent="0.25">
      <c r="O157" s="15"/>
    </row>
    <row r="158" spans="15:15" x14ac:dyDescent="0.25">
      <c r="O158" s="15"/>
    </row>
    <row r="159" spans="15:15" x14ac:dyDescent="0.25">
      <c r="O159" s="15"/>
    </row>
    <row r="160" spans="15:15" x14ac:dyDescent="0.25">
      <c r="O160" s="15"/>
    </row>
    <row r="161" spans="15:15" x14ac:dyDescent="0.25">
      <c r="O161" s="15"/>
    </row>
    <row r="162" spans="15:15" x14ac:dyDescent="0.25">
      <c r="O162" s="15"/>
    </row>
    <row r="163" spans="15:15" x14ac:dyDescent="0.25">
      <c r="O163" s="15"/>
    </row>
    <row r="164" spans="15:15" x14ac:dyDescent="0.25">
      <c r="O164" s="15"/>
    </row>
    <row r="165" spans="15:15" x14ac:dyDescent="0.25">
      <c r="O165" s="15"/>
    </row>
    <row r="166" spans="15:15" x14ac:dyDescent="0.25">
      <c r="O166" s="15"/>
    </row>
    <row r="167" spans="15:15" x14ac:dyDescent="0.25">
      <c r="O167" s="15"/>
    </row>
    <row r="168" spans="15:15" x14ac:dyDescent="0.25">
      <c r="O168" s="15"/>
    </row>
    <row r="169" spans="15:15" x14ac:dyDescent="0.25">
      <c r="O169" s="15"/>
    </row>
    <row r="170" spans="15:15" x14ac:dyDescent="0.25">
      <c r="O170" s="15"/>
    </row>
    <row r="171" spans="15:15" x14ac:dyDescent="0.25">
      <c r="O171" s="15"/>
    </row>
    <row r="172" spans="15:15" x14ac:dyDescent="0.25">
      <c r="O172" s="15"/>
    </row>
    <row r="173" spans="15:15" x14ac:dyDescent="0.25">
      <c r="O173" s="15"/>
    </row>
    <row r="174" spans="15:15" x14ac:dyDescent="0.25">
      <c r="O174" s="15"/>
    </row>
    <row r="175" spans="15:15" x14ac:dyDescent="0.25">
      <c r="O175" s="15"/>
    </row>
    <row r="176" spans="15:15" x14ac:dyDescent="0.25">
      <c r="O176" s="15"/>
    </row>
    <row r="177" spans="15:15" x14ac:dyDescent="0.25">
      <c r="O177" s="15"/>
    </row>
    <row r="178" spans="15:15" x14ac:dyDescent="0.25">
      <c r="O178" s="15"/>
    </row>
    <row r="179" spans="15:15" x14ac:dyDescent="0.25">
      <c r="O179" s="15"/>
    </row>
    <row r="180" spans="15:15" x14ac:dyDescent="0.25">
      <c r="O180" s="15"/>
    </row>
    <row r="181" spans="15:15" x14ac:dyDescent="0.25">
      <c r="O181" s="15"/>
    </row>
    <row r="182" spans="15:15" x14ac:dyDescent="0.25">
      <c r="O182" s="15"/>
    </row>
    <row r="183" spans="15:15" x14ac:dyDescent="0.25">
      <c r="O183" s="15"/>
    </row>
    <row r="184" spans="15:15" x14ac:dyDescent="0.25">
      <c r="O184" s="15"/>
    </row>
    <row r="185" spans="15:15" x14ac:dyDescent="0.25">
      <c r="O185" s="15"/>
    </row>
    <row r="186" spans="15:15" x14ac:dyDescent="0.25">
      <c r="O186" s="15"/>
    </row>
    <row r="187" spans="15:15" x14ac:dyDescent="0.25">
      <c r="O187" s="15"/>
    </row>
    <row r="188" spans="15:15" x14ac:dyDescent="0.25">
      <c r="O188" s="15"/>
    </row>
    <row r="189" spans="15:15" x14ac:dyDescent="0.25">
      <c r="O189" s="15"/>
    </row>
    <row r="190" spans="15:15" x14ac:dyDescent="0.25">
      <c r="O190" s="15"/>
    </row>
    <row r="191" spans="15:15" x14ac:dyDescent="0.25">
      <c r="O191" s="15"/>
    </row>
    <row r="192" spans="15:15" x14ac:dyDescent="0.25">
      <c r="O192" s="15"/>
    </row>
    <row r="193" spans="15:15" x14ac:dyDescent="0.25">
      <c r="O193" s="15"/>
    </row>
    <row r="194" spans="15:15" x14ac:dyDescent="0.25">
      <c r="O194" s="15"/>
    </row>
    <row r="195" spans="15:15" x14ac:dyDescent="0.25">
      <c r="O195" s="15"/>
    </row>
    <row r="196" spans="15:15" x14ac:dyDescent="0.25">
      <c r="O196" s="15"/>
    </row>
    <row r="197" spans="15:15" x14ac:dyDescent="0.25">
      <c r="O197" s="15"/>
    </row>
    <row r="198" spans="15:15" x14ac:dyDescent="0.25">
      <c r="O198" s="15"/>
    </row>
    <row r="199" spans="15:15" x14ac:dyDescent="0.25">
      <c r="O199" s="15"/>
    </row>
    <row r="200" spans="15:15" x14ac:dyDescent="0.25">
      <c r="O200" s="15"/>
    </row>
    <row r="201" spans="15:15" x14ac:dyDescent="0.25">
      <c r="O201" s="15"/>
    </row>
    <row r="202" spans="15:15" x14ac:dyDescent="0.25">
      <c r="O202" s="15"/>
    </row>
    <row r="203" spans="15:15" x14ac:dyDescent="0.25">
      <c r="O203" s="15"/>
    </row>
    <row r="204" spans="15:15" x14ac:dyDescent="0.25">
      <c r="O204" s="15"/>
    </row>
    <row r="205" spans="15:15" x14ac:dyDescent="0.25">
      <c r="O205" s="15"/>
    </row>
    <row r="206" spans="15:15" x14ac:dyDescent="0.25">
      <c r="O206" s="15"/>
    </row>
    <row r="207" spans="15:15" x14ac:dyDescent="0.25">
      <c r="O207" s="15"/>
    </row>
    <row r="208" spans="15:15" x14ac:dyDescent="0.25">
      <c r="O208" s="15"/>
    </row>
    <row r="209" spans="15:15" x14ac:dyDescent="0.25">
      <c r="O209" s="15"/>
    </row>
    <row r="210" spans="15:15" x14ac:dyDescent="0.25">
      <c r="O210" s="15"/>
    </row>
    <row r="211" spans="15:15" x14ac:dyDescent="0.25">
      <c r="O211" s="15"/>
    </row>
    <row r="212" spans="15:15" x14ac:dyDescent="0.25">
      <c r="O212" s="15"/>
    </row>
    <row r="213" spans="15:15" x14ac:dyDescent="0.25">
      <c r="O213" s="15"/>
    </row>
    <row r="214" spans="15:15" x14ac:dyDescent="0.25">
      <c r="O214" s="15"/>
    </row>
    <row r="215" spans="15:15" x14ac:dyDescent="0.25">
      <c r="O215" s="15"/>
    </row>
    <row r="216" spans="15:15" x14ac:dyDescent="0.25">
      <c r="O216" s="15"/>
    </row>
    <row r="217" spans="15:15" x14ac:dyDescent="0.25">
      <c r="O217" s="15"/>
    </row>
    <row r="218" spans="15:15" x14ac:dyDescent="0.25">
      <c r="O218" s="15"/>
    </row>
    <row r="219" spans="15:15" x14ac:dyDescent="0.25">
      <c r="O219" s="15"/>
    </row>
    <row r="220" spans="15:15" x14ac:dyDescent="0.25">
      <c r="O220" s="15"/>
    </row>
    <row r="221" spans="15:15" x14ac:dyDescent="0.25">
      <c r="O221" s="15"/>
    </row>
    <row r="222" spans="15:15" x14ac:dyDescent="0.25">
      <c r="O222" s="15"/>
    </row>
    <row r="223" spans="15:15" x14ac:dyDescent="0.25">
      <c r="O223" s="15"/>
    </row>
    <row r="224" spans="15:15" x14ac:dyDescent="0.25">
      <c r="O224" s="15"/>
    </row>
    <row r="225" spans="15:15" x14ac:dyDescent="0.25">
      <c r="O225" s="15"/>
    </row>
    <row r="226" spans="15:15" x14ac:dyDescent="0.25">
      <c r="O226" s="15"/>
    </row>
    <row r="227" spans="15:15" x14ac:dyDescent="0.25">
      <c r="O227" s="15"/>
    </row>
    <row r="228" spans="15:15" x14ac:dyDescent="0.25">
      <c r="O228" s="15"/>
    </row>
    <row r="229" spans="15:15" x14ac:dyDescent="0.25">
      <c r="O229" s="15"/>
    </row>
    <row r="230" spans="15:15" x14ac:dyDescent="0.25">
      <c r="O230" s="15"/>
    </row>
    <row r="231" spans="15:15" x14ac:dyDescent="0.25">
      <c r="O231" s="15"/>
    </row>
    <row r="232" spans="15:15" x14ac:dyDescent="0.25">
      <c r="O232" s="15"/>
    </row>
    <row r="233" spans="15:15" x14ac:dyDescent="0.25">
      <c r="O233" s="15"/>
    </row>
    <row r="234" spans="15:15" x14ac:dyDescent="0.25">
      <c r="O234" s="15"/>
    </row>
    <row r="235" spans="15:15" x14ac:dyDescent="0.25">
      <c r="O235" s="15"/>
    </row>
    <row r="236" spans="15:15" x14ac:dyDescent="0.25">
      <c r="O236" s="15"/>
    </row>
    <row r="237" spans="15:15" x14ac:dyDescent="0.25">
      <c r="O237" s="15"/>
    </row>
    <row r="238" spans="15:15" x14ac:dyDescent="0.25">
      <c r="O238" s="15"/>
    </row>
    <row r="239" spans="15:15" x14ac:dyDescent="0.25">
      <c r="O239" s="15"/>
    </row>
    <row r="240" spans="15:15" x14ac:dyDescent="0.25">
      <c r="O240" s="15"/>
    </row>
    <row r="241" spans="15:15" x14ac:dyDescent="0.25">
      <c r="O241" s="15"/>
    </row>
    <row r="242" spans="15:15" x14ac:dyDescent="0.25">
      <c r="O242" s="15"/>
    </row>
    <row r="243" spans="15:15" x14ac:dyDescent="0.25">
      <c r="O243" s="15"/>
    </row>
    <row r="244" spans="15:15" x14ac:dyDescent="0.25">
      <c r="O244" s="15"/>
    </row>
    <row r="245" spans="15:15" x14ac:dyDescent="0.25">
      <c r="O245" s="15"/>
    </row>
    <row r="246" spans="15:15" x14ac:dyDescent="0.25">
      <c r="O246" s="15"/>
    </row>
    <row r="247" spans="15:15" x14ac:dyDescent="0.25">
      <c r="O247" s="15"/>
    </row>
    <row r="248" spans="15:15" x14ac:dyDescent="0.25">
      <c r="O248" s="15"/>
    </row>
    <row r="249" spans="15:15" x14ac:dyDescent="0.25">
      <c r="O249" s="15"/>
    </row>
    <row r="250" spans="15:15" x14ac:dyDescent="0.25">
      <c r="O250" s="15"/>
    </row>
    <row r="251" spans="15:15" x14ac:dyDescent="0.25">
      <c r="O251" s="15"/>
    </row>
    <row r="252" spans="15:15" x14ac:dyDescent="0.25">
      <c r="O252" s="15"/>
    </row>
    <row r="253" spans="15:15" x14ac:dyDescent="0.25">
      <c r="O253" s="15"/>
    </row>
    <row r="254" spans="15:15" x14ac:dyDescent="0.25">
      <c r="O254" s="15"/>
    </row>
    <row r="255" spans="15:15" x14ac:dyDescent="0.25">
      <c r="O255" s="15"/>
    </row>
    <row r="256" spans="15:15" x14ac:dyDescent="0.25">
      <c r="O256" s="15"/>
    </row>
    <row r="257" spans="15:15" x14ac:dyDescent="0.25">
      <c r="O257" s="15"/>
    </row>
    <row r="258" spans="15:15" x14ac:dyDescent="0.25">
      <c r="O258" s="15"/>
    </row>
    <row r="259" spans="15:15" x14ac:dyDescent="0.25">
      <c r="O259" s="15"/>
    </row>
    <row r="260" spans="15:15" x14ac:dyDescent="0.25">
      <c r="O260" s="15"/>
    </row>
    <row r="261" spans="15:15" x14ac:dyDescent="0.25">
      <c r="O261" s="15"/>
    </row>
    <row r="262" spans="15:15" x14ac:dyDescent="0.25">
      <c r="O262" s="15"/>
    </row>
    <row r="263" spans="15:15" x14ac:dyDescent="0.25">
      <c r="O263" s="15"/>
    </row>
    <row r="264" spans="15:15" x14ac:dyDescent="0.25">
      <c r="O264" s="15"/>
    </row>
    <row r="265" spans="15:15" x14ac:dyDescent="0.25">
      <c r="O265" s="15"/>
    </row>
    <row r="266" spans="15:15" x14ac:dyDescent="0.25">
      <c r="O266" s="15"/>
    </row>
    <row r="267" spans="15:15" x14ac:dyDescent="0.25">
      <c r="O267" s="15"/>
    </row>
    <row r="268" spans="15:15" x14ac:dyDescent="0.25">
      <c r="O268" s="15"/>
    </row>
    <row r="269" spans="15:15" x14ac:dyDescent="0.25">
      <c r="O269" s="15"/>
    </row>
    <row r="270" spans="15:15" x14ac:dyDescent="0.25">
      <c r="O270" s="15"/>
    </row>
    <row r="271" spans="15:15" x14ac:dyDescent="0.25">
      <c r="O271" s="15"/>
    </row>
    <row r="272" spans="15:15" x14ac:dyDescent="0.25">
      <c r="O272" s="15"/>
    </row>
    <row r="273" spans="15:15" x14ac:dyDescent="0.25">
      <c r="O273" s="15"/>
    </row>
    <row r="274" spans="15:15" x14ac:dyDescent="0.25">
      <c r="O274" s="15"/>
    </row>
    <row r="275" spans="15:15" x14ac:dyDescent="0.25">
      <c r="O275" s="15"/>
    </row>
    <row r="276" spans="15:15" x14ac:dyDescent="0.25">
      <c r="O276" s="15"/>
    </row>
    <row r="277" spans="15:15" x14ac:dyDescent="0.25">
      <c r="O277" s="15"/>
    </row>
    <row r="278" spans="15:15" x14ac:dyDescent="0.25">
      <c r="O278" s="15"/>
    </row>
    <row r="279" spans="15:15" x14ac:dyDescent="0.25">
      <c r="O279" s="15"/>
    </row>
    <row r="280" spans="15:15" x14ac:dyDescent="0.25">
      <c r="O280" s="15"/>
    </row>
    <row r="281" spans="15:15" x14ac:dyDescent="0.25">
      <c r="O281" s="15"/>
    </row>
    <row r="282" spans="15:15" x14ac:dyDescent="0.25">
      <c r="O282" s="15"/>
    </row>
    <row r="283" spans="15:15" x14ac:dyDescent="0.25">
      <c r="O283" s="15"/>
    </row>
    <row r="284" spans="15:15" x14ac:dyDescent="0.25">
      <c r="O284" s="15"/>
    </row>
    <row r="285" spans="15:15" x14ac:dyDescent="0.25">
      <c r="O285" s="15"/>
    </row>
    <row r="286" spans="15:15" x14ac:dyDescent="0.25">
      <c r="O286" s="15"/>
    </row>
    <row r="287" spans="15:15" x14ac:dyDescent="0.25">
      <c r="O287" s="15"/>
    </row>
    <row r="288" spans="15:15" x14ac:dyDescent="0.25">
      <c r="O288" s="15"/>
    </row>
    <row r="289" spans="15:15" x14ac:dyDescent="0.25">
      <c r="O289" s="15"/>
    </row>
    <row r="290" spans="15:15" x14ac:dyDescent="0.25">
      <c r="O290" s="15"/>
    </row>
    <row r="291" spans="15:15" x14ac:dyDescent="0.25">
      <c r="O291" s="15"/>
    </row>
    <row r="292" spans="15:15" x14ac:dyDescent="0.25">
      <c r="O292" s="15"/>
    </row>
    <row r="293" spans="15:15" x14ac:dyDescent="0.25">
      <c r="O293" s="15"/>
    </row>
    <row r="294" spans="15:15" x14ac:dyDescent="0.25">
      <c r="O294" s="15"/>
    </row>
    <row r="295" spans="15:15" x14ac:dyDescent="0.25">
      <c r="O295" s="15"/>
    </row>
    <row r="296" spans="15:15" x14ac:dyDescent="0.25">
      <c r="O296" s="15"/>
    </row>
    <row r="297" spans="15:15" x14ac:dyDescent="0.25">
      <c r="O297" s="15"/>
    </row>
    <row r="298" spans="15:15" x14ac:dyDescent="0.25">
      <c r="O298" s="15"/>
    </row>
    <row r="299" spans="15:15" x14ac:dyDescent="0.25">
      <c r="O299" s="15"/>
    </row>
    <row r="300" spans="15:15" x14ac:dyDescent="0.25">
      <c r="O300" s="15"/>
    </row>
    <row r="301" spans="15:15" x14ac:dyDescent="0.25">
      <c r="O301" s="15"/>
    </row>
    <row r="302" spans="15:15" x14ac:dyDescent="0.25">
      <c r="O302" s="15"/>
    </row>
    <row r="303" spans="15:15" x14ac:dyDescent="0.25">
      <c r="O303" s="15"/>
    </row>
    <row r="304" spans="15:15" x14ac:dyDescent="0.25">
      <c r="O304" s="15"/>
    </row>
    <row r="305" spans="15:15" x14ac:dyDescent="0.25">
      <c r="O305" s="15"/>
    </row>
    <row r="306" spans="15:15" x14ac:dyDescent="0.25">
      <c r="O306" s="15"/>
    </row>
    <row r="307" spans="15:15" x14ac:dyDescent="0.25">
      <c r="O307" s="15"/>
    </row>
    <row r="308" spans="15:15" x14ac:dyDescent="0.25">
      <c r="O308" s="15"/>
    </row>
    <row r="309" spans="15:15" x14ac:dyDescent="0.25">
      <c r="O309" s="15"/>
    </row>
    <row r="310" spans="15:15" x14ac:dyDescent="0.25">
      <c r="O310" s="15"/>
    </row>
    <row r="311" spans="15:15" x14ac:dyDescent="0.25">
      <c r="O311" s="15"/>
    </row>
    <row r="312" spans="15:15" x14ac:dyDescent="0.25">
      <c r="O312" s="15"/>
    </row>
    <row r="313" spans="15:15" x14ac:dyDescent="0.25">
      <c r="O313" s="15"/>
    </row>
    <row r="314" spans="15:15" x14ac:dyDescent="0.25">
      <c r="O314" s="15"/>
    </row>
    <row r="315" spans="15:15" x14ac:dyDescent="0.25">
      <c r="O315" s="15"/>
    </row>
    <row r="316" spans="15:15" x14ac:dyDescent="0.25">
      <c r="O316" s="15"/>
    </row>
    <row r="317" spans="15:15" x14ac:dyDescent="0.25">
      <c r="O317" s="15"/>
    </row>
    <row r="318" spans="15:15" x14ac:dyDescent="0.25">
      <c r="O318" s="15"/>
    </row>
    <row r="319" spans="15:15" x14ac:dyDescent="0.25">
      <c r="O319" s="15"/>
    </row>
    <row r="320" spans="15:15" x14ac:dyDescent="0.25">
      <c r="O320" s="15"/>
    </row>
    <row r="321" spans="15:15" x14ac:dyDescent="0.25">
      <c r="O321" s="15"/>
    </row>
    <row r="322" spans="15:15" x14ac:dyDescent="0.25">
      <c r="O322" s="15"/>
    </row>
    <row r="323" spans="15:15" x14ac:dyDescent="0.25">
      <c r="O323" s="15"/>
    </row>
    <row r="324" spans="15:15" x14ac:dyDescent="0.25">
      <c r="O324" s="15"/>
    </row>
    <row r="325" spans="15:15" x14ac:dyDescent="0.25">
      <c r="O325" s="15"/>
    </row>
    <row r="326" spans="15:15" x14ac:dyDescent="0.25">
      <c r="O326" s="15"/>
    </row>
    <row r="327" spans="15:15" x14ac:dyDescent="0.25">
      <c r="O327" s="15"/>
    </row>
    <row r="328" spans="15:15" x14ac:dyDescent="0.25">
      <c r="O328" s="15"/>
    </row>
    <row r="329" spans="15:15" x14ac:dyDescent="0.25">
      <c r="O329" s="15"/>
    </row>
    <row r="330" spans="15:15" x14ac:dyDescent="0.25">
      <c r="O330" s="15"/>
    </row>
    <row r="331" spans="15:15" x14ac:dyDescent="0.25">
      <c r="O331" s="15"/>
    </row>
    <row r="332" spans="15:15" x14ac:dyDescent="0.25">
      <c r="O332" s="15"/>
    </row>
    <row r="333" spans="15:15" x14ac:dyDescent="0.25">
      <c r="O333" s="15"/>
    </row>
    <row r="334" spans="15:15" x14ac:dyDescent="0.25">
      <c r="O334" s="15"/>
    </row>
    <row r="335" spans="15:15" x14ac:dyDescent="0.25">
      <c r="O335" s="15"/>
    </row>
    <row r="336" spans="15:15" x14ac:dyDescent="0.25">
      <c r="O336" s="15"/>
    </row>
    <row r="337" spans="15:15" x14ac:dyDescent="0.25">
      <c r="O337" s="15"/>
    </row>
    <row r="338" spans="15:15" x14ac:dyDescent="0.25">
      <c r="O338" s="15"/>
    </row>
    <row r="339" spans="15:15" x14ac:dyDescent="0.25">
      <c r="O339" s="15"/>
    </row>
    <row r="340" spans="15:15" x14ac:dyDescent="0.25">
      <c r="O340" s="15"/>
    </row>
    <row r="341" spans="15:15" x14ac:dyDescent="0.25">
      <c r="O341" s="15"/>
    </row>
    <row r="342" spans="15:15" x14ac:dyDescent="0.25">
      <c r="O342" s="15"/>
    </row>
    <row r="343" spans="15:15" x14ac:dyDescent="0.25">
      <c r="O343" s="15"/>
    </row>
    <row r="344" spans="15:15" x14ac:dyDescent="0.25">
      <c r="O344" s="15"/>
    </row>
    <row r="345" spans="15:15" x14ac:dyDescent="0.25">
      <c r="O345" s="15"/>
    </row>
    <row r="346" spans="15:15" x14ac:dyDescent="0.25">
      <c r="O346" s="15"/>
    </row>
    <row r="347" spans="15:15" x14ac:dyDescent="0.25">
      <c r="O347" s="15"/>
    </row>
    <row r="348" spans="15:15" x14ac:dyDescent="0.25">
      <c r="O348" s="15"/>
    </row>
    <row r="349" spans="15:15" x14ac:dyDescent="0.25">
      <c r="O349" s="15"/>
    </row>
    <row r="350" spans="15:15" x14ac:dyDescent="0.25">
      <c r="O350" s="15"/>
    </row>
    <row r="351" spans="15:15" x14ac:dyDescent="0.25">
      <c r="O351" s="15"/>
    </row>
    <row r="352" spans="15:15" x14ac:dyDescent="0.25">
      <c r="O352" s="15"/>
    </row>
    <row r="353" spans="15:15" x14ac:dyDescent="0.25">
      <c r="O353" s="15"/>
    </row>
    <row r="354" spans="15:15" x14ac:dyDescent="0.25">
      <c r="O354" s="15"/>
    </row>
    <row r="355" spans="15:15" x14ac:dyDescent="0.25">
      <c r="O355" s="15"/>
    </row>
    <row r="356" spans="15:15" x14ac:dyDescent="0.25">
      <c r="O356" s="15"/>
    </row>
    <row r="357" spans="15:15" x14ac:dyDescent="0.25">
      <c r="O357" s="15"/>
    </row>
    <row r="358" spans="15:15" x14ac:dyDescent="0.25">
      <c r="O358" s="15"/>
    </row>
    <row r="359" spans="15:15" x14ac:dyDescent="0.25">
      <c r="O359" s="15"/>
    </row>
    <row r="360" spans="15:15" x14ac:dyDescent="0.25">
      <c r="O360" s="15"/>
    </row>
    <row r="361" spans="15:15" x14ac:dyDescent="0.25">
      <c r="O361" s="15"/>
    </row>
    <row r="362" spans="15:15" x14ac:dyDescent="0.25">
      <c r="O362" s="15"/>
    </row>
    <row r="363" spans="15:15" x14ac:dyDescent="0.25">
      <c r="O363" s="15"/>
    </row>
    <row r="364" spans="15:15" x14ac:dyDescent="0.25">
      <c r="O364" s="15"/>
    </row>
    <row r="365" spans="15:15" x14ac:dyDescent="0.25">
      <c r="O365" s="15"/>
    </row>
    <row r="366" spans="15:15" x14ac:dyDescent="0.25">
      <c r="O366" s="15"/>
    </row>
    <row r="367" spans="15:15" x14ac:dyDescent="0.25">
      <c r="O367" s="15"/>
    </row>
    <row r="368" spans="15:15" x14ac:dyDescent="0.25">
      <c r="O368" s="15"/>
    </row>
    <row r="369" spans="15:15" x14ac:dyDescent="0.25">
      <c r="O369" s="15"/>
    </row>
    <row r="370" spans="15:15" x14ac:dyDescent="0.25">
      <c r="O370" s="15"/>
    </row>
    <row r="371" spans="15:15" x14ac:dyDescent="0.25">
      <c r="O371" s="15"/>
    </row>
    <row r="372" spans="15:15" x14ac:dyDescent="0.25">
      <c r="O372" s="15"/>
    </row>
    <row r="373" spans="15:15" x14ac:dyDescent="0.25">
      <c r="O373" s="15"/>
    </row>
    <row r="374" spans="15:15" x14ac:dyDescent="0.25">
      <c r="O374" s="15"/>
    </row>
    <row r="375" spans="15:15" x14ac:dyDescent="0.25">
      <c r="O375" s="15"/>
    </row>
    <row r="376" spans="15:15" x14ac:dyDescent="0.25">
      <c r="O376" s="15"/>
    </row>
    <row r="377" spans="15:15" x14ac:dyDescent="0.25">
      <c r="O377" s="15"/>
    </row>
    <row r="378" spans="15:15" x14ac:dyDescent="0.25">
      <c r="O378" s="15"/>
    </row>
    <row r="379" spans="15:15" x14ac:dyDescent="0.25">
      <c r="O379" s="15"/>
    </row>
    <row r="380" spans="15:15" x14ac:dyDescent="0.25">
      <c r="O380" s="15"/>
    </row>
    <row r="381" spans="15:15" x14ac:dyDescent="0.25">
      <c r="O381" s="15"/>
    </row>
    <row r="382" spans="15:15" x14ac:dyDescent="0.25">
      <c r="O382" s="15"/>
    </row>
    <row r="383" spans="15:15" x14ac:dyDescent="0.25">
      <c r="O383" s="15"/>
    </row>
    <row r="384" spans="15:15" x14ac:dyDescent="0.25">
      <c r="O384" s="15"/>
    </row>
    <row r="385" spans="15:15" x14ac:dyDescent="0.25">
      <c r="O385" s="15"/>
    </row>
    <row r="386" spans="15:15" x14ac:dyDescent="0.25">
      <c r="O386" s="15"/>
    </row>
    <row r="387" spans="15:15" x14ac:dyDescent="0.25">
      <c r="O387" s="15"/>
    </row>
    <row r="388" spans="15:15" x14ac:dyDescent="0.25">
      <c r="O388" s="15"/>
    </row>
    <row r="389" spans="15:15" x14ac:dyDescent="0.25">
      <c r="O389" s="15"/>
    </row>
    <row r="390" spans="15:15" x14ac:dyDescent="0.25">
      <c r="O390" s="15"/>
    </row>
    <row r="391" spans="15:15" x14ac:dyDescent="0.25">
      <c r="O391" s="15"/>
    </row>
    <row r="392" spans="15:15" x14ac:dyDescent="0.25">
      <c r="O392" s="15"/>
    </row>
    <row r="393" spans="15:15" x14ac:dyDescent="0.25">
      <c r="O393" s="15"/>
    </row>
    <row r="394" spans="15:15" x14ac:dyDescent="0.25">
      <c r="O394" s="15"/>
    </row>
    <row r="395" spans="15:15" x14ac:dyDescent="0.25">
      <c r="O395" s="15"/>
    </row>
    <row r="396" spans="15:15" x14ac:dyDescent="0.25">
      <c r="O396" s="15"/>
    </row>
    <row r="397" spans="15:15" x14ac:dyDescent="0.25">
      <c r="O397" s="15"/>
    </row>
  </sheetData>
  <mergeCells count="2">
    <mergeCell ref="D13:D14"/>
    <mergeCell ref="C13:C14"/>
  </mergeCells>
  <conditionalFormatting sqref="V3:X1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customProperties>
    <customPr name="REFI_OFFICE_FUNCTION_DATA" r:id="rId2"/>
  </customProperties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xr2:uid="{B0D4307E-F216-418A-9545-8735A1BE248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NZD!F3:T3</xm:f>
              <xm:sqref>U3</xm:sqref>
            </x14:sparkline>
            <x14:sparkline>
              <xm:f>NZD!F4:T4</xm:f>
              <xm:sqref>U4</xm:sqref>
            </x14:sparkline>
            <x14:sparkline>
              <xm:f>NZD!F5:T5</xm:f>
              <xm:sqref>U5</xm:sqref>
            </x14:sparkline>
            <x14:sparkline>
              <xm:f>NZD!F6:T6</xm:f>
              <xm:sqref>U6</xm:sqref>
            </x14:sparkline>
            <x14:sparkline>
              <xm:f>NZD!F7:T7</xm:f>
              <xm:sqref>U7</xm:sqref>
            </x14:sparkline>
            <x14:sparkline>
              <xm:f>NZD!F8:T8</xm:f>
              <xm:sqref>U8</xm:sqref>
            </x14:sparkline>
            <x14:sparkline>
              <xm:f>NZD!F9:T9</xm:f>
              <xm:sqref>U9</xm:sqref>
            </x14:sparkline>
            <x14:sparkline>
              <xm:f>NZD!F10:T10</xm:f>
              <xm:sqref>U10</xm:sqref>
            </x14:sparkline>
            <x14:sparkline>
              <xm:f>NZD!F11:T11</xm:f>
              <xm:sqref>U11</xm:sqref>
            </x14:sparkline>
            <x14:sparkline>
              <xm:f>NZD!F12:T12</xm:f>
              <xm:sqref>U12</xm:sqref>
            </x14:sparkline>
          </x14:sparklines>
        </x14:sparklineGroup>
      </x14:sparklineGroup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D995C-8F64-4DD4-9412-028904CEAE52}">
  <sheetPr codeName="Feuil10"/>
  <dimension ref="B1:X394"/>
  <sheetViews>
    <sheetView zoomScale="96" workbookViewId="0">
      <selection activeCell="N16" sqref="N16"/>
    </sheetView>
  </sheetViews>
  <sheetFormatPr defaultColWidth="10.85546875" defaultRowHeight="15" x14ac:dyDescent="0.25"/>
  <cols>
    <col min="1" max="1" width="5.140625" style="11" customWidth="1"/>
    <col min="2" max="2" width="19.140625" style="11" bestFit="1" customWidth="1"/>
    <col min="3" max="3" width="35.5703125" style="11" bestFit="1" customWidth="1"/>
    <col min="4" max="4" width="8" style="11" bestFit="1" customWidth="1"/>
    <col min="5" max="5" width="13.5703125" style="11" bestFit="1" customWidth="1"/>
    <col min="6" max="8" width="10.7109375" style="11" bestFit="1" customWidth="1"/>
    <col min="9" max="20" width="11.85546875" style="11" bestFit="1" customWidth="1"/>
    <col min="21" max="21" width="9.85546875" style="11" bestFit="1" customWidth="1"/>
    <col min="22" max="22" width="12.28515625" style="11" customWidth="1"/>
    <col min="23" max="23" width="11.5703125" style="11" customWidth="1"/>
    <col min="24" max="24" width="13.7109375" style="11" customWidth="1"/>
    <col min="25" max="16384" width="10.85546875" style="11"/>
  </cols>
  <sheetData>
    <row r="1" spans="2:24" ht="15.75" thickBot="1" x14ac:dyDescent="0.3"/>
    <row r="2" spans="2:24" ht="29.1" customHeight="1" thickBot="1" x14ac:dyDescent="0.3">
      <c r="B2" s="60" t="s">
        <v>108</v>
      </c>
      <c r="C2" s="61" t="str">
        <f>_xll.DSGRID("SFIRPR1, SFIRPR2, SFIRPR3, SFIRPR4, SFIRPR5, SFIRPR6, SFIRPR7","X","-15D","TIMEADJ","D","CustomHeader=true;CustHeaderDatatypes=GEOGN;RowHeader=true;ColHeader=true;Transpose=true;Code=true;DispSeriesDescription=true;YearlyTSFormat=false;QuarterlyTSFormat=false;MonthlyTSFormat=false;AutoResize=true")</f>
        <v>Name</v>
      </c>
      <c r="D2" s="48" t="s">
        <v>57</v>
      </c>
      <c r="E2" s="79" t="s">
        <v>58</v>
      </c>
      <c r="F2" s="49">
        <v>45572</v>
      </c>
      <c r="G2" s="49">
        <v>45573</v>
      </c>
      <c r="H2" s="49">
        <v>45574</v>
      </c>
      <c r="I2" s="49">
        <v>45575</v>
      </c>
      <c r="J2" s="49">
        <v>45576</v>
      </c>
      <c r="K2" s="49">
        <v>45579</v>
      </c>
      <c r="L2" s="49">
        <v>45580</v>
      </c>
      <c r="M2" s="49">
        <v>45581</v>
      </c>
      <c r="N2" s="49">
        <v>45582</v>
      </c>
      <c r="O2" s="49">
        <v>45583</v>
      </c>
      <c r="P2" s="49">
        <v>45586</v>
      </c>
      <c r="Q2" s="49">
        <v>45587</v>
      </c>
      <c r="R2" s="49">
        <v>45588</v>
      </c>
      <c r="S2" s="49">
        <v>45589</v>
      </c>
      <c r="T2" s="49">
        <v>45590</v>
      </c>
      <c r="U2" s="50" t="s">
        <v>109</v>
      </c>
      <c r="V2" s="7" t="s">
        <v>95</v>
      </c>
      <c r="W2" s="8" t="s">
        <v>96</v>
      </c>
      <c r="X2" s="9" t="s">
        <v>97</v>
      </c>
    </row>
    <row r="3" spans="2:24" ht="36.950000000000003" customHeight="1" x14ac:dyDescent="0.25">
      <c r="B3" s="51" t="s">
        <v>110</v>
      </c>
      <c r="C3" s="54" t="s">
        <v>73</v>
      </c>
      <c r="D3" s="32" t="s">
        <v>8</v>
      </c>
      <c r="E3" s="32" t="s">
        <v>74</v>
      </c>
      <c r="F3" s="33">
        <v>0.63109999999999999</v>
      </c>
      <c r="G3" s="33">
        <v>0.63170000000000004</v>
      </c>
      <c r="H3" s="33">
        <v>0.62329999999999997</v>
      </c>
      <c r="I3" s="33">
        <v>0.64590000000000003</v>
      </c>
      <c r="J3" s="33">
        <v>0.64529999999999998</v>
      </c>
      <c r="K3" s="33">
        <v>0.63249999999999995</v>
      </c>
      <c r="L3" s="33">
        <v>0.63229999999999997</v>
      </c>
      <c r="M3" s="33">
        <v>0.62360000000000004</v>
      </c>
      <c r="N3" s="33">
        <v>0.626</v>
      </c>
      <c r="O3" s="33">
        <v>0.59509999999999996</v>
      </c>
      <c r="P3" s="33">
        <v>0.60499999999999998</v>
      </c>
      <c r="Q3" s="33">
        <v>0.62119999999999997</v>
      </c>
      <c r="R3" s="33">
        <v>0.60340000000000005</v>
      </c>
      <c r="S3" s="33">
        <v>0.58150000000000002</v>
      </c>
      <c r="T3" s="33">
        <v>0.56820000000000004</v>
      </c>
      <c r="U3" s="34"/>
      <c r="V3" s="24">
        <f>(T3-S3)/S3</f>
        <v>-2.2871883061048974E-2</v>
      </c>
      <c r="W3" s="22">
        <f>(T3-M3)/M3</f>
        <v>-8.8838999358563181E-2</v>
      </c>
      <c r="X3" s="23">
        <f>(T3-F3)/F3</f>
        <v>-9.966724766281089E-2</v>
      </c>
    </row>
    <row r="4" spans="2:24" ht="36.950000000000003" customHeight="1" x14ac:dyDescent="0.25">
      <c r="B4" s="52" t="s">
        <v>111</v>
      </c>
      <c r="C4" s="55" t="s">
        <v>190</v>
      </c>
      <c r="D4" s="35" t="s">
        <v>16</v>
      </c>
      <c r="E4" s="35" t="s">
        <v>74</v>
      </c>
      <c r="F4" s="36">
        <v>0.4758</v>
      </c>
      <c r="G4" s="36">
        <v>0.4874</v>
      </c>
      <c r="H4" s="36">
        <v>0.47349999999999998</v>
      </c>
      <c r="I4" s="36">
        <v>0.46929999999999999</v>
      </c>
      <c r="J4" s="36">
        <v>0.47589999999999999</v>
      </c>
      <c r="K4" s="36">
        <v>0.43969999999999998</v>
      </c>
      <c r="L4" s="36">
        <v>0.41820000000000002</v>
      </c>
      <c r="M4" s="36">
        <v>0.40989999999999999</v>
      </c>
      <c r="N4" s="36">
        <v>0.35949999999999999</v>
      </c>
      <c r="O4" s="36">
        <v>0.34610000000000002</v>
      </c>
      <c r="P4" s="36">
        <v>0.36009999999999998</v>
      </c>
      <c r="Q4" s="36">
        <v>0.37719999999999998</v>
      </c>
      <c r="R4" s="36">
        <v>0.37980000000000003</v>
      </c>
      <c r="S4" s="36">
        <v>0.32979999999999998</v>
      </c>
      <c r="T4" s="36">
        <v>0.30830000000000002</v>
      </c>
      <c r="U4" s="37"/>
      <c r="V4" s="24">
        <f t="shared" ref="V4:V9" si="0">(T4-S4)/S4</f>
        <v>-6.5191024863553562E-2</v>
      </c>
      <c r="W4" s="22">
        <f t="shared" ref="W4:W9" si="1">(T4-M4)/M4</f>
        <v>-0.24786533300805066</v>
      </c>
      <c r="X4" s="23">
        <f t="shared" ref="X4:X9" si="2">(T4-F4)/F4</f>
        <v>-0.35203867171080283</v>
      </c>
    </row>
    <row r="5" spans="2:24" ht="36.950000000000003" customHeight="1" x14ac:dyDescent="0.25">
      <c r="B5" s="52" t="s">
        <v>113</v>
      </c>
      <c r="C5" s="55" t="s">
        <v>191</v>
      </c>
      <c r="D5" s="35" t="s">
        <v>24</v>
      </c>
      <c r="E5" s="35" t="s">
        <v>74</v>
      </c>
      <c r="F5" s="36">
        <v>0.38090000000000002</v>
      </c>
      <c r="G5" s="36">
        <v>0.37</v>
      </c>
      <c r="H5" s="36">
        <v>0.39900000000000002</v>
      </c>
      <c r="I5" s="36">
        <v>0.40510000000000002</v>
      </c>
      <c r="J5" s="36">
        <v>0.42109999999999997</v>
      </c>
      <c r="K5" s="36">
        <v>0.3795</v>
      </c>
      <c r="L5" s="36">
        <v>0.32440000000000002</v>
      </c>
      <c r="M5" s="36">
        <v>0.25559999999999999</v>
      </c>
      <c r="N5" s="36">
        <v>0.2485</v>
      </c>
      <c r="O5" s="36">
        <v>0.2291</v>
      </c>
      <c r="P5" s="36">
        <v>0.24660000000000001</v>
      </c>
      <c r="Q5" s="36">
        <v>0.28960000000000002</v>
      </c>
      <c r="R5" s="36">
        <v>0.24679999999999999</v>
      </c>
      <c r="S5" s="36">
        <v>0.2389</v>
      </c>
      <c r="T5" s="36">
        <v>0.2099</v>
      </c>
      <c r="U5" s="37"/>
      <c r="V5" s="24">
        <f t="shared" si="0"/>
        <v>-0.12138970280452072</v>
      </c>
      <c r="W5" s="22">
        <f t="shared" si="1"/>
        <v>-0.17879499217527384</v>
      </c>
      <c r="X5" s="23">
        <f t="shared" si="2"/>
        <v>-0.44893672880021002</v>
      </c>
    </row>
    <row r="6" spans="2:24" ht="36.950000000000003" customHeight="1" x14ac:dyDescent="0.25">
      <c r="B6" s="52" t="s">
        <v>115</v>
      </c>
      <c r="C6" s="55" t="s">
        <v>192</v>
      </c>
      <c r="D6" s="35" t="s">
        <v>32</v>
      </c>
      <c r="E6" s="35" t="s">
        <v>74</v>
      </c>
      <c r="F6" s="36">
        <v>0.34570000000000001</v>
      </c>
      <c r="G6" s="36">
        <v>0.3962</v>
      </c>
      <c r="H6" s="36">
        <v>0.43240000000000001</v>
      </c>
      <c r="I6" s="36">
        <v>0.37769999999999998</v>
      </c>
      <c r="J6" s="36">
        <v>0.3453</v>
      </c>
      <c r="K6" s="36">
        <v>0.36170000000000002</v>
      </c>
      <c r="L6" s="36">
        <v>0.27879999999999999</v>
      </c>
      <c r="M6" s="36">
        <v>0.28139999999999998</v>
      </c>
      <c r="N6" s="36">
        <v>0.23080000000000001</v>
      </c>
      <c r="O6" s="36">
        <v>0.17080000000000001</v>
      </c>
      <c r="P6" s="36">
        <v>0.24590000000000001</v>
      </c>
      <c r="Q6" s="36">
        <v>0.26650000000000001</v>
      </c>
      <c r="R6" s="36">
        <v>0.26679999999999998</v>
      </c>
      <c r="S6" s="36">
        <v>0.26600000000000001</v>
      </c>
      <c r="T6" s="36">
        <v>0.2581</v>
      </c>
      <c r="U6" s="37"/>
      <c r="V6" s="24">
        <f t="shared" si="0"/>
        <v>-2.9699248120300819E-2</v>
      </c>
      <c r="W6" s="22">
        <f t="shared" si="1"/>
        <v>-8.280028429282156E-2</v>
      </c>
      <c r="X6" s="23">
        <f t="shared" si="2"/>
        <v>-0.25339890078102406</v>
      </c>
    </row>
    <row r="7" spans="2:24" ht="36.950000000000003" customHeight="1" x14ac:dyDescent="0.25">
      <c r="B7" s="52" t="s">
        <v>117</v>
      </c>
      <c r="C7" s="55" t="s">
        <v>82</v>
      </c>
      <c r="D7" s="35" t="s">
        <v>40</v>
      </c>
      <c r="E7" s="35" t="s">
        <v>74</v>
      </c>
      <c r="F7" s="36">
        <v>0.33350000000000002</v>
      </c>
      <c r="G7" s="36">
        <v>0.41589999999999999</v>
      </c>
      <c r="H7" s="36">
        <v>0.38240000000000002</v>
      </c>
      <c r="I7" s="36">
        <v>0.4093</v>
      </c>
      <c r="J7" s="36">
        <v>0.30149999999999999</v>
      </c>
      <c r="K7" s="36">
        <v>0.29060000000000002</v>
      </c>
      <c r="L7" s="36">
        <v>0.224</v>
      </c>
      <c r="M7" s="36">
        <v>0.17460000000000001</v>
      </c>
      <c r="N7" s="36">
        <v>0.18049999999999999</v>
      </c>
      <c r="O7" s="36">
        <v>0.16239999999999999</v>
      </c>
      <c r="P7" s="36">
        <v>0.1696</v>
      </c>
      <c r="Q7" s="36">
        <v>0.2339</v>
      </c>
      <c r="R7" s="36">
        <v>0.24529999999999999</v>
      </c>
      <c r="S7" s="36">
        <v>0.20300000000000001</v>
      </c>
      <c r="T7" s="36">
        <v>0.17860000000000001</v>
      </c>
      <c r="U7" s="37"/>
      <c r="V7" s="24">
        <f t="shared" si="0"/>
        <v>-0.12019704433497538</v>
      </c>
      <c r="W7" s="22">
        <f t="shared" si="1"/>
        <v>2.2909507445589939E-2</v>
      </c>
      <c r="X7" s="23">
        <f t="shared" si="2"/>
        <v>-0.46446776611694152</v>
      </c>
    </row>
    <row r="8" spans="2:24" ht="36.950000000000003" customHeight="1" x14ac:dyDescent="0.25">
      <c r="B8" s="52" t="s">
        <v>118</v>
      </c>
      <c r="C8" s="55" t="s">
        <v>193</v>
      </c>
      <c r="D8" s="35" t="s">
        <v>48</v>
      </c>
      <c r="E8" s="35" t="s">
        <v>74</v>
      </c>
      <c r="F8" s="36">
        <v>0.51929999999999998</v>
      </c>
      <c r="G8" s="36">
        <v>0.51680000000000004</v>
      </c>
      <c r="H8" s="36">
        <v>0.49080000000000001</v>
      </c>
      <c r="I8" s="36">
        <v>0.45650000000000002</v>
      </c>
      <c r="J8" s="36">
        <v>0.49159999999999998</v>
      </c>
      <c r="K8" s="36">
        <v>0.45250000000000001</v>
      </c>
      <c r="L8" s="36">
        <v>0.4446</v>
      </c>
      <c r="M8" s="36">
        <v>0.4491</v>
      </c>
      <c r="N8" s="36">
        <v>0.50880000000000003</v>
      </c>
      <c r="O8" s="36">
        <v>0.55910000000000004</v>
      </c>
      <c r="P8" s="36">
        <v>0.5373</v>
      </c>
      <c r="Q8" s="36">
        <v>0.4884</v>
      </c>
      <c r="R8" s="36">
        <v>0.50070000000000003</v>
      </c>
      <c r="S8" s="36">
        <v>0.53739999999999999</v>
      </c>
      <c r="T8" s="36">
        <v>0.38429999999999997</v>
      </c>
      <c r="U8" s="37"/>
      <c r="V8" s="24">
        <f t="shared" si="0"/>
        <v>-0.28489021213248977</v>
      </c>
      <c r="W8" s="22">
        <f t="shared" si="1"/>
        <v>-0.14428857715430868</v>
      </c>
      <c r="X8" s="23">
        <f t="shared" si="2"/>
        <v>-0.25996533795493937</v>
      </c>
    </row>
    <row r="9" spans="2:24" ht="36.950000000000003" customHeight="1" thickBot="1" x14ac:dyDescent="0.3">
      <c r="B9" s="53" t="s">
        <v>119</v>
      </c>
      <c r="C9" s="56" t="s">
        <v>194</v>
      </c>
      <c r="D9" s="38" t="s">
        <v>56</v>
      </c>
      <c r="E9" s="38" t="s">
        <v>74</v>
      </c>
      <c r="F9" s="39">
        <v>1.2184999999999999</v>
      </c>
      <c r="G9" s="39">
        <v>1.2128000000000001</v>
      </c>
      <c r="H9" s="39">
        <v>1.1932</v>
      </c>
      <c r="I9" s="39">
        <v>1.1648000000000001</v>
      </c>
      <c r="J9" s="39">
        <v>1.1751</v>
      </c>
      <c r="K9" s="39">
        <v>1.179</v>
      </c>
      <c r="L9" s="39">
        <v>1.2054</v>
      </c>
      <c r="M9" s="39">
        <v>1.1579999999999999</v>
      </c>
      <c r="N9" s="39">
        <v>1.0933999999999999</v>
      </c>
      <c r="O9" s="39">
        <v>1.0763</v>
      </c>
      <c r="P9" s="39">
        <v>1.0027999999999999</v>
      </c>
      <c r="Q9" s="39">
        <v>1.0138</v>
      </c>
      <c r="R9" s="39">
        <v>1.0202</v>
      </c>
      <c r="S9" s="39">
        <v>1.0205</v>
      </c>
      <c r="T9" s="39">
        <v>1.0331999999999999</v>
      </c>
      <c r="U9" s="40"/>
      <c r="V9" s="25">
        <f t="shared" si="0"/>
        <v>1.2444879960803464E-2</v>
      </c>
      <c r="W9" s="26">
        <f t="shared" si="1"/>
        <v>-0.10777202072538863</v>
      </c>
      <c r="X9" s="27">
        <f t="shared" si="2"/>
        <v>-0.15207221994255235</v>
      </c>
    </row>
    <row r="10" spans="2:24" ht="36.950000000000003" customHeight="1" x14ac:dyDescent="0.25">
      <c r="C10" s="93" t="s">
        <v>123</v>
      </c>
      <c r="D10" s="93">
        <f>_xll.DSGRID("SWPRATE.","","-1Q","QTE","Q","RowHeader=false;ColHeader=false;DispSeriesDescription=false;YearlyTSFormat=false;QuarterlyTSFormat=false;MonthlyTSFormat=false")</f>
        <v>1</v>
      </c>
    </row>
    <row r="11" spans="2:24" ht="15.75" thickBot="1" x14ac:dyDescent="0.3">
      <c r="C11" s="92"/>
      <c r="D11" s="92"/>
    </row>
    <row r="18" spans="12:17" x14ac:dyDescent="0.25">
      <c r="M18" s="14"/>
      <c r="N18" s="14"/>
    </row>
    <row r="19" spans="12:17" x14ac:dyDescent="0.25">
      <c r="L19" s="14"/>
      <c r="O19" s="14"/>
    </row>
    <row r="25" spans="12:17" x14ac:dyDescent="0.25">
      <c r="P25" s="14"/>
      <c r="Q25" s="14"/>
    </row>
    <row r="26" spans="12:17" x14ac:dyDescent="0.25">
      <c r="O26" s="15"/>
    </row>
    <row r="27" spans="12:17" x14ac:dyDescent="0.25">
      <c r="O27" s="15"/>
    </row>
    <row r="28" spans="12:17" x14ac:dyDescent="0.25">
      <c r="O28" s="15"/>
    </row>
    <row r="29" spans="12:17" x14ac:dyDescent="0.25">
      <c r="O29" s="15"/>
    </row>
    <row r="30" spans="12:17" x14ac:dyDescent="0.25">
      <c r="O30" s="15"/>
    </row>
    <row r="31" spans="12:17" x14ac:dyDescent="0.25">
      <c r="O31" s="15"/>
    </row>
    <row r="32" spans="12:17" x14ac:dyDescent="0.25">
      <c r="O32" s="15"/>
    </row>
    <row r="33" spans="15:15" x14ac:dyDescent="0.25">
      <c r="O33" s="15"/>
    </row>
    <row r="34" spans="15:15" x14ac:dyDescent="0.25">
      <c r="O34" s="15"/>
    </row>
    <row r="35" spans="15:15" x14ac:dyDescent="0.25">
      <c r="O35" s="15"/>
    </row>
    <row r="36" spans="15:15" x14ac:dyDescent="0.25">
      <c r="O36" s="15"/>
    </row>
    <row r="37" spans="15:15" x14ac:dyDescent="0.25">
      <c r="O37" s="15"/>
    </row>
    <row r="38" spans="15:15" x14ac:dyDescent="0.25">
      <c r="O38" s="15"/>
    </row>
    <row r="39" spans="15:15" x14ac:dyDescent="0.25">
      <c r="O39" s="15"/>
    </row>
    <row r="40" spans="15:15" x14ac:dyDescent="0.25">
      <c r="O40" s="15"/>
    </row>
    <row r="41" spans="15:15" x14ac:dyDescent="0.25">
      <c r="O41" s="15"/>
    </row>
    <row r="42" spans="15:15" x14ac:dyDescent="0.25">
      <c r="O42" s="15"/>
    </row>
    <row r="43" spans="15:15" x14ac:dyDescent="0.25">
      <c r="O43" s="15"/>
    </row>
    <row r="44" spans="15:15" x14ac:dyDescent="0.25">
      <c r="O44" s="15"/>
    </row>
    <row r="45" spans="15:15" x14ac:dyDescent="0.25">
      <c r="O45" s="15"/>
    </row>
    <row r="46" spans="15:15" x14ac:dyDescent="0.25">
      <c r="O46" s="15"/>
    </row>
    <row r="47" spans="15:15" x14ac:dyDescent="0.25">
      <c r="O47" s="15"/>
    </row>
    <row r="48" spans="15:15" x14ac:dyDescent="0.25">
      <c r="O48" s="15"/>
    </row>
    <row r="49" spans="15:15" x14ac:dyDescent="0.25">
      <c r="O49" s="15"/>
    </row>
    <row r="50" spans="15:15" x14ac:dyDescent="0.25">
      <c r="O50" s="15"/>
    </row>
    <row r="51" spans="15:15" x14ac:dyDescent="0.25">
      <c r="O51" s="15"/>
    </row>
    <row r="52" spans="15:15" x14ac:dyDescent="0.25">
      <c r="O52" s="15"/>
    </row>
    <row r="53" spans="15:15" x14ac:dyDescent="0.25">
      <c r="O53" s="15"/>
    </row>
    <row r="54" spans="15:15" x14ac:dyDescent="0.25">
      <c r="O54" s="15"/>
    </row>
    <row r="55" spans="15:15" x14ac:dyDescent="0.25">
      <c r="O55" s="15"/>
    </row>
    <row r="56" spans="15:15" x14ac:dyDescent="0.25">
      <c r="O56" s="15"/>
    </row>
    <row r="57" spans="15:15" x14ac:dyDescent="0.25">
      <c r="O57" s="15"/>
    </row>
    <row r="58" spans="15:15" x14ac:dyDescent="0.25">
      <c r="O58" s="15"/>
    </row>
    <row r="59" spans="15:15" x14ac:dyDescent="0.25">
      <c r="O59" s="15"/>
    </row>
    <row r="60" spans="15:15" x14ac:dyDescent="0.25">
      <c r="O60" s="15"/>
    </row>
    <row r="61" spans="15:15" x14ac:dyDescent="0.25">
      <c r="O61" s="15"/>
    </row>
    <row r="62" spans="15:15" x14ac:dyDescent="0.25">
      <c r="O62" s="15"/>
    </row>
    <row r="63" spans="15:15" x14ac:dyDescent="0.25">
      <c r="O63" s="15"/>
    </row>
    <row r="64" spans="15:15" x14ac:dyDescent="0.25">
      <c r="O64" s="15"/>
    </row>
    <row r="65" spans="15:15" x14ac:dyDescent="0.25">
      <c r="O65" s="15"/>
    </row>
    <row r="66" spans="15:15" x14ac:dyDescent="0.25">
      <c r="O66" s="15"/>
    </row>
    <row r="67" spans="15:15" x14ac:dyDescent="0.25">
      <c r="O67" s="15"/>
    </row>
    <row r="68" spans="15:15" x14ac:dyDescent="0.25">
      <c r="O68" s="15"/>
    </row>
    <row r="69" spans="15:15" x14ac:dyDescent="0.25">
      <c r="O69" s="15"/>
    </row>
    <row r="70" spans="15:15" x14ac:dyDescent="0.25">
      <c r="O70" s="15"/>
    </row>
    <row r="71" spans="15:15" x14ac:dyDescent="0.25">
      <c r="O71" s="15"/>
    </row>
    <row r="72" spans="15:15" x14ac:dyDescent="0.25">
      <c r="O72" s="15"/>
    </row>
    <row r="73" spans="15:15" x14ac:dyDescent="0.25">
      <c r="O73" s="15"/>
    </row>
    <row r="74" spans="15:15" x14ac:dyDescent="0.25">
      <c r="O74" s="15"/>
    </row>
    <row r="75" spans="15:15" x14ac:dyDescent="0.25">
      <c r="O75" s="15"/>
    </row>
    <row r="76" spans="15:15" x14ac:dyDescent="0.25">
      <c r="O76" s="15"/>
    </row>
    <row r="77" spans="15:15" x14ac:dyDescent="0.25">
      <c r="O77" s="15"/>
    </row>
    <row r="78" spans="15:15" x14ac:dyDescent="0.25">
      <c r="O78" s="15"/>
    </row>
    <row r="79" spans="15:15" x14ac:dyDescent="0.25">
      <c r="O79" s="15"/>
    </row>
    <row r="80" spans="15:15" x14ac:dyDescent="0.25">
      <c r="O80" s="15"/>
    </row>
    <row r="81" spans="15:15" x14ac:dyDescent="0.25">
      <c r="O81" s="15"/>
    </row>
    <row r="82" spans="15:15" x14ac:dyDescent="0.25">
      <c r="O82" s="15"/>
    </row>
    <row r="83" spans="15:15" x14ac:dyDescent="0.25">
      <c r="O83" s="15"/>
    </row>
    <row r="84" spans="15:15" x14ac:dyDescent="0.25">
      <c r="O84" s="15"/>
    </row>
    <row r="85" spans="15:15" x14ac:dyDescent="0.25">
      <c r="O85" s="15"/>
    </row>
    <row r="86" spans="15:15" x14ac:dyDescent="0.25">
      <c r="O86" s="15"/>
    </row>
    <row r="87" spans="15:15" x14ac:dyDescent="0.25">
      <c r="O87" s="15"/>
    </row>
    <row r="88" spans="15:15" x14ac:dyDescent="0.25">
      <c r="O88" s="15"/>
    </row>
    <row r="89" spans="15:15" x14ac:dyDescent="0.25">
      <c r="O89" s="15"/>
    </row>
    <row r="90" spans="15:15" x14ac:dyDescent="0.25">
      <c r="O90" s="15"/>
    </row>
    <row r="91" spans="15:15" x14ac:dyDescent="0.25">
      <c r="O91" s="15"/>
    </row>
    <row r="92" spans="15:15" x14ac:dyDescent="0.25">
      <c r="O92" s="15"/>
    </row>
    <row r="93" spans="15:15" x14ac:dyDescent="0.25">
      <c r="O93" s="15"/>
    </row>
    <row r="94" spans="15:15" x14ac:dyDescent="0.25">
      <c r="O94" s="15"/>
    </row>
    <row r="95" spans="15:15" x14ac:dyDescent="0.25">
      <c r="O95" s="15"/>
    </row>
    <row r="96" spans="15:15" x14ac:dyDescent="0.25">
      <c r="O96" s="15"/>
    </row>
    <row r="97" spans="15:15" x14ac:dyDescent="0.25">
      <c r="O97" s="15"/>
    </row>
    <row r="98" spans="15:15" x14ac:dyDescent="0.25">
      <c r="O98" s="15"/>
    </row>
    <row r="99" spans="15:15" x14ac:dyDescent="0.25">
      <c r="O99" s="15"/>
    </row>
    <row r="100" spans="15:15" x14ac:dyDescent="0.25">
      <c r="O100" s="15"/>
    </row>
    <row r="101" spans="15:15" x14ac:dyDescent="0.25">
      <c r="O101" s="15"/>
    </row>
    <row r="102" spans="15:15" x14ac:dyDescent="0.25">
      <c r="O102" s="15"/>
    </row>
    <row r="103" spans="15:15" x14ac:dyDescent="0.25">
      <c r="O103" s="15"/>
    </row>
    <row r="104" spans="15:15" x14ac:dyDescent="0.25">
      <c r="O104" s="15"/>
    </row>
    <row r="105" spans="15:15" x14ac:dyDescent="0.25">
      <c r="O105" s="15"/>
    </row>
    <row r="106" spans="15:15" x14ac:dyDescent="0.25">
      <c r="O106" s="15"/>
    </row>
    <row r="107" spans="15:15" x14ac:dyDescent="0.25">
      <c r="O107" s="15"/>
    </row>
    <row r="108" spans="15:15" x14ac:dyDescent="0.25">
      <c r="O108" s="15"/>
    </row>
    <row r="109" spans="15:15" x14ac:dyDescent="0.25">
      <c r="O109" s="15"/>
    </row>
    <row r="110" spans="15:15" x14ac:dyDescent="0.25">
      <c r="O110" s="15"/>
    </row>
    <row r="111" spans="15:15" x14ac:dyDescent="0.25">
      <c r="O111" s="15"/>
    </row>
    <row r="112" spans="15:15" x14ac:dyDescent="0.25">
      <c r="O112" s="15"/>
    </row>
    <row r="113" spans="15:15" x14ac:dyDescent="0.25">
      <c r="O113" s="15"/>
    </row>
    <row r="114" spans="15:15" x14ac:dyDescent="0.25">
      <c r="O114" s="15"/>
    </row>
    <row r="115" spans="15:15" x14ac:dyDescent="0.25">
      <c r="O115" s="15"/>
    </row>
    <row r="116" spans="15:15" x14ac:dyDescent="0.25">
      <c r="O116" s="15"/>
    </row>
    <row r="117" spans="15:15" x14ac:dyDescent="0.25">
      <c r="O117" s="15"/>
    </row>
    <row r="118" spans="15:15" x14ac:dyDescent="0.25">
      <c r="O118" s="15"/>
    </row>
    <row r="119" spans="15:15" x14ac:dyDescent="0.25">
      <c r="O119" s="15"/>
    </row>
    <row r="120" spans="15:15" x14ac:dyDescent="0.25">
      <c r="O120" s="15"/>
    </row>
    <row r="121" spans="15:15" x14ac:dyDescent="0.25">
      <c r="O121" s="15"/>
    </row>
    <row r="122" spans="15:15" x14ac:dyDescent="0.25">
      <c r="O122" s="15"/>
    </row>
    <row r="123" spans="15:15" x14ac:dyDescent="0.25">
      <c r="O123" s="15"/>
    </row>
    <row r="124" spans="15:15" x14ac:dyDescent="0.25">
      <c r="O124" s="15"/>
    </row>
    <row r="125" spans="15:15" x14ac:dyDescent="0.25">
      <c r="O125" s="15"/>
    </row>
    <row r="126" spans="15:15" x14ac:dyDescent="0.25">
      <c r="O126" s="15"/>
    </row>
    <row r="127" spans="15:15" x14ac:dyDescent="0.25">
      <c r="O127" s="15"/>
    </row>
    <row r="128" spans="15:15" x14ac:dyDescent="0.25">
      <c r="O128" s="15"/>
    </row>
    <row r="129" spans="15:15" x14ac:dyDescent="0.25">
      <c r="O129" s="15"/>
    </row>
    <row r="130" spans="15:15" x14ac:dyDescent="0.25">
      <c r="O130" s="15"/>
    </row>
    <row r="131" spans="15:15" x14ac:dyDescent="0.25">
      <c r="O131" s="15"/>
    </row>
    <row r="132" spans="15:15" x14ac:dyDescent="0.25">
      <c r="O132" s="15"/>
    </row>
    <row r="133" spans="15:15" x14ac:dyDescent="0.25">
      <c r="O133" s="15"/>
    </row>
    <row r="134" spans="15:15" x14ac:dyDescent="0.25">
      <c r="O134" s="15"/>
    </row>
    <row r="135" spans="15:15" x14ac:dyDescent="0.25">
      <c r="O135" s="15"/>
    </row>
    <row r="136" spans="15:15" x14ac:dyDescent="0.25">
      <c r="O136" s="15"/>
    </row>
    <row r="137" spans="15:15" x14ac:dyDescent="0.25">
      <c r="O137" s="15"/>
    </row>
    <row r="138" spans="15:15" x14ac:dyDescent="0.25">
      <c r="O138" s="15"/>
    </row>
    <row r="139" spans="15:15" x14ac:dyDescent="0.25">
      <c r="O139" s="15"/>
    </row>
    <row r="140" spans="15:15" x14ac:dyDescent="0.25">
      <c r="O140" s="15"/>
    </row>
    <row r="141" spans="15:15" x14ac:dyDescent="0.25">
      <c r="O141" s="15"/>
    </row>
    <row r="142" spans="15:15" x14ac:dyDescent="0.25">
      <c r="O142" s="15"/>
    </row>
    <row r="143" spans="15:15" x14ac:dyDescent="0.25">
      <c r="O143" s="15"/>
    </row>
    <row r="144" spans="15:15" x14ac:dyDescent="0.25">
      <c r="O144" s="15"/>
    </row>
    <row r="145" spans="15:15" x14ac:dyDescent="0.25">
      <c r="O145" s="15"/>
    </row>
    <row r="146" spans="15:15" x14ac:dyDescent="0.25">
      <c r="O146" s="15"/>
    </row>
    <row r="147" spans="15:15" x14ac:dyDescent="0.25">
      <c r="O147" s="15"/>
    </row>
    <row r="148" spans="15:15" x14ac:dyDescent="0.25">
      <c r="O148" s="15"/>
    </row>
    <row r="149" spans="15:15" x14ac:dyDescent="0.25">
      <c r="O149" s="15"/>
    </row>
    <row r="150" spans="15:15" x14ac:dyDescent="0.25">
      <c r="O150" s="15"/>
    </row>
    <row r="151" spans="15:15" x14ac:dyDescent="0.25">
      <c r="O151" s="15"/>
    </row>
    <row r="152" spans="15:15" x14ac:dyDescent="0.25">
      <c r="O152" s="15"/>
    </row>
    <row r="153" spans="15:15" x14ac:dyDescent="0.25">
      <c r="O153" s="15"/>
    </row>
    <row r="154" spans="15:15" x14ac:dyDescent="0.25">
      <c r="O154" s="15"/>
    </row>
    <row r="155" spans="15:15" x14ac:dyDescent="0.25">
      <c r="O155" s="15"/>
    </row>
    <row r="156" spans="15:15" x14ac:dyDescent="0.25">
      <c r="O156" s="15"/>
    </row>
    <row r="157" spans="15:15" x14ac:dyDescent="0.25">
      <c r="O157" s="15"/>
    </row>
    <row r="158" spans="15:15" x14ac:dyDescent="0.25">
      <c r="O158" s="15"/>
    </row>
    <row r="159" spans="15:15" x14ac:dyDescent="0.25">
      <c r="O159" s="15"/>
    </row>
    <row r="160" spans="15:15" x14ac:dyDescent="0.25">
      <c r="O160" s="15"/>
    </row>
    <row r="161" spans="15:15" x14ac:dyDescent="0.25">
      <c r="O161" s="15"/>
    </row>
    <row r="162" spans="15:15" x14ac:dyDescent="0.25">
      <c r="O162" s="15"/>
    </row>
    <row r="163" spans="15:15" x14ac:dyDescent="0.25">
      <c r="O163" s="15"/>
    </row>
    <row r="164" spans="15:15" x14ac:dyDescent="0.25">
      <c r="O164" s="15"/>
    </row>
    <row r="165" spans="15:15" x14ac:dyDescent="0.25">
      <c r="O165" s="15"/>
    </row>
    <row r="166" spans="15:15" x14ac:dyDescent="0.25">
      <c r="O166" s="15"/>
    </row>
    <row r="167" spans="15:15" x14ac:dyDescent="0.25">
      <c r="O167" s="15"/>
    </row>
    <row r="168" spans="15:15" x14ac:dyDescent="0.25">
      <c r="O168" s="15"/>
    </row>
    <row r="169" spans="15:15" x14ac:dyDescent="0.25">
      <c r="O169" s="15"/>
    </row>
    <row r="170" spans="15:15" x14ac:dyDescent="0.25">
      <c r="O170" s="15"/>
    </row>
    <row r="171" spans="15:15" x14ac:dyDescent="0.25">
      <c r="O171" s="15"/>
    </row>
    <row r="172" spans="15:15" x14ac:dyDescent="0.25">
      <c r="O172" s="15"/>
    </row>
    <row r="173" spans="15:15" x14ac:dyDescent="0.25">
      <c r="O173" s="15"/>
    </row>
    <row r="174" spans="15:15" x14ac:dyDescent="0.25">
      <c r="O174" s="15"/>
    </row>
    <row r="175" spans="15:15" x14ac:dyDescent="0.25">
      <c r="O175" s="15"/>
    </row>
    <row r="176" spans="15:15" x14ac:dyDescent="0.25">
      <c r="O176" s="15"/>
    </row>
    <row r="177" spans="15:15" x14ac:dyDescent="0.25">
      <c r="O177" s="15"/>
    </row>
    <row r="178" spans="15:15" x14ac:dyDescent="0.25">
      <c r="O178" s="15"/>
    </row>
    <row r="179" spans="15:15" x14ac:dyDescent="0.25">
      <c r="O179" s="15"/>
    </row>
    <row r="180" spans="15:15" x14ac:dyDescent="0.25">
      <c r="O180" s="15"/>
    </row>
    <row r="181" spans="15:15" x14ac:dyDescent="0.25">
      <c r="O181" s="15"/>
    </row>
    <row r="182" spans="15:15" x14ac:dyDescent="0.25">
      <c r="O182" s="15"/>
    </row>
    <row r="183" spans="15:15" x14ac:dyDescent="0.25">
      <c r="O183" s="15"/>
    </row>
    <row r="184" spans="15:15" x14ac:dyDescent="0.25">
      <c r="O184" s="15"/>
    </row>
    <row r="185" spans="15:15" x14ac:dyDescent="0.25">
      <c r="O185" s="15"/>
    </row>
    <row r="186" spans="15:15" x14ac:dyDescent="0.25">
      <c r="O186" s="15"/>
    </row>
    <row r="187" spans="15:15" x14ac:dyDescent="0.25">
      <c r="O187" s="15"/>
    </row>
    <row r="188" spans="15:15" x14ac:dyDescent="0.25">
      <c r="O188" s="15"/>
    </row>
    <row r="189" spans="15:15" x14ac:dyDescent="0.25">
      <c r="O189" s="15"/>
    </row>
    <row r="190" spans="15:15" x14ac:dyDescent="0.25">
      <c r="O190" s="15"/>
    </row>
    <row r="191" spans="15:15" x14ac:dyDescent="0.25">
      <c r="O191" s="15"/>
    </row>
    <row r="192" spans="15:15" x14ac:dyDescent="0.25">
      <c r="O192" s="15"/>
    </row>
    <row r="193" spans="15:15" x14ac:dyDescent="0.25">
      <c r="O193" s="15"/>
    </row>
    <row r="194" spans="15:15" x14ac:dyDescent="0.25">
      <c r="O194" s="15"/>
    </row>
    <row r="195" spans="15:15" x14ac:dyDescent="0.25">
      <c r="O195" s="15"/>
    </row>
    <row r="196" spans="15:15" x14ac:dyDescent="0.25">
      <c r="O196" s="15"/>
    </row>
    <row r="197" spans="15:15" x14ac:dyDescent="0.25">
      <c r="O197" s="15"/>
    </row>
    <row r="198" spans="15:15" x14ac:dyDescent="0.25">
      <c r="O198" s="15"/>
    </row>
    <row r="199" spans="15:15" x14ac:dyDescent="0.25">
      <c r="O199" s="15"/>
    </row>
    <row r="200" spans="15:15" x14ac:dyDescent="0.25">
      <c r="O200" s="15"/>
    </row>
    <row r="201" spans="15:15" x14ac:dyDescent="0.25">
      <c r="O201" s="15"/>
    </row>
    <row r="202" spans="15:15" x14ac:dyDescent="0.25">
      <c r="O202" s="15"/>
    </row>
    <row r="203" spans="15:15" x14ac:dyDescent="0.25">
      <c r="O203" s="15"/>
    </row>
    <row r="204" spans="15:15" x14ac:dyDescent="0.25">
      <c r="O204" s="15"/>
    </row>
    <row r="205" spans="15:15" x14ac:dyDescent="0.25">
      <c r="O205" s="15"/>
    </row>
    <row r="206" spans="15:15" x14ac:dyDescent="0.25">
      <c r="O206" s="15"/>
    </row>
    <row r="207" spans="15:15" x14ac:dyDescent="0.25">
      <c r="O207" s="15"/>
    </row>
    <row r="208" spans="15:15" x14ac:dyDescent="0.25">
      <c r="O208" s="15"/>
    </row>
    <row r="209" spans="15:15" x14ac:dyDescent="0.25">
      <c r="O209" s="15"/>
    </row>
    <row r="210" spans="15:15" x14ac:dyDescent="0.25">
      <c r="O210" s="15"/>
    </row>
    <row r="211" spans="15:15" x14ac:dyDescent="0.25">
      <c r="O211" s="15"/>
    </row>
    <row r="212" spans="15:15" x14ac:dyDescent="0.25">
      <c r="O212" s="15"/>
    </row>
    <row r="213" spans="15:15" x14ac:dyDescent="0.25">
      <c r="O213" s="15"/>
    </row>
    <row r="214" spans="15:15" x14ac:dyDescent="0.25">
      <c r="O214" s="15"/>
    </row>
    <row r="215" spans="15:15" x14ac:dyDescent="0.25">
      <c r="O215" s="15"/>
    </row>
    <row r="216" spans="15:15" x14ac:dyDescent="0.25">
      <c r="O216" s="15"/>
    </row>
    <row r="217" spans="15:15" x14ac:dyDescent="0.25">
      <c r="O217" s="15"/>
    </row>
    <row r="218" spans="15:15" x14ac:dyDescent="0.25">
      <c r="O218" s="15"/>
    </row>
    <row r="219" spans="15:15" x14ac:dyDescent="0.25">
      <c r="O219" s="15"/>
    </row>
    <row r="220" spans="15:15" x14ac:dyDescent="0.25">
      <c r="O220" s="15"/>
    </row>
    <row r="221" spans="15:15" x14ac:dyDescent="0.25">
      <c r="O221" s="15"/>
    </row>
    <row r="222" spans="15:15" x14ac:dyDescent="0.25">
      <c r="O222" s="15"/>
    </row>
    <row r="223" spans="15:15" x14ac:dyDescent="0.25">
      <c r="O223" s="15"/>
    </row>
    <row r="224" spans="15:15" x14ac:dyDescent="0.25">
      <c r="O224" s="15"/>
    </row>
    <row r="225" spans="15:15" x14ac:dyDescent="0.25">
      <c r="O225" s="15"/>
    </row>
    <row r="226" spans="15:15" x14ac:dyDescent="0.25">
      <c r="O226" s="15"/>
    </row>
    <row r="227" spans="15:15" x14ac:dyDescent="0.25">
      <c r="O227" s="15"/>
    </row>
    <row r="228" spans="15:15" x14ac:dyDescent="0.25">
      <c r="O228" s="15"/>
    </row>
    <row r="229" spans="15:15" x14ac:dyDescent="0.25">
      <c r="O229" s="15"/>
    </row>
    <row r="230" spans="15:15" x14ac:dyDescent="0.25">
      <c r="O230" s="15"/>
    </row>
    <row r="231" spans="15:15" x14ac:dyDescent="0.25">
      <c r="O231" s="15"/>
    </row>
    <row r="232" spans="15:15" x14ac:dyDescent="0.25">
      <c r="O232" s="15"/>
    </row>
    <row r="233" spans="15:15" x14ac:dyDescent="0.25">
      <c r="O233" s="15"/>
    </row>
    <row r="234" spans="15:15" x14ac:dyDescent="0.25">
      <c r="O234" s="15"/>
    </row>
    <row r="235" spans="15:15" x14ac:dyDescent="0.25">
      <c r="O235" s="15"/>
    </row>
    <row r="236" spans="15:15" x14ac:dyDescent="0.25">
      <c r="O236" s="15"/>
    </row>
    <row r="237" spans="15:15" x14ac:dyDescent="0.25">
      <c r="O237" s="15"/>
    </row>
    <row r="238" spans="15:15" x14ac:dyDescent="0.25">
      <c r="O238" s="15"/>
    </row>
    <row r="239" spans="15:15" x14ac:dyDescent="0.25">
      <c r="O239" s="15"/>
    </row>
    <row r="240" spans="15:15" x14ac:dyDescent="0.25">
      <c r="O240" s="15"/>
    </row>
    <row r="241" spans="15:15" x14ac:dyDescent="0.25">
      <c r="O241" s="15"/>
    </row>
    <row r="242" spans="15:15" x14ac:dyDescent="0.25">
      <c r="O242" s="15"/>
    </row>
    <row r="243" spans="15:15" x14ac:dyDescent="0.25">
      <c r="O243" s="15"/>
    </row>
    <row r="244" spans="15:15" x14ac:dyDescent="0.25">
      <c r="O244" s="15"/>
    </row>
    <row r="245" spans="15:15" x14ac:dyDescent="0.25">
      <c r="O245" s="15"/>
    </row>
    <row r="246" spans="15:15" x14ac:dyDescent="0.25">
      <c r="O246" s="15"/>
    </row>
    <row r="247" spans="15:15" x14ac:dyDescent="0.25">
      <c r="O247" s="15"/>
    </row>
    <row r="248" spans="15:15" x14ac:dyDescent="0.25">
      <c r="O248" s="15"/>
    </row>
    <row r="249" spans="15:15" x14ac:dyDescent="0.25">
      <c r="O249" s="15"/>
    </row>
    <row r="250" spans="15:15" x14ac:dyDescent="0.25">
      <c r="O250" s="15"/>
    </row>
    <row r="251" spans="15:15" x14ac:dyDescent="0.25">
      <c r="O251" s="15"/>
    </row>
    <row r="252" spans="15:15" x14ac:dyDescent="0.25">
      <c r="O252" s="15"/>
    </row>
    <row r="253" spans="15:15" x14ac:dyDescent="0.25">
      <c r="O253" s="15"/>
    </row>
    <row r="254" spans="15:15" x14ac:dyDescent="0.25">
      <c r="O254" s="15"/>
    </row>
    <row r="255" spans="15:15" x14ac:dyDescent="0.25">
      <c r="O255" s="15"/>
    </row>
    <row r="256" spans="15:15" x14ac:dyDescent="0.25">
      <c r="O256" s="15"/>
    </row>
    <row r="257" spans="15:15" x14ac:dyDescent="0.25">
      <c r="O257" s="15"/>
    </row>
    <row r="258" spans="15:15" x14ac:dyDescent="0.25">
      <c r="O258" s="15"/>
    </row>
    <row r="259" spans="15:15" x14ac:dyDescent="0.25">
      <c r="O259" s="15"/>
    </row>
    <row r="260" spans="15:15" x14ac:dyDescent="0.25">
      <c r="O260" s="15"/>
    </row>
    <row r="261" spans="15:15" x14ac:dyDescent="0.25">
      <c r="O261" s="15"/>
    </row>
    <row r="262" spans="15:15" x14ac:dyDescent="0.25">
      <c r="O262" s="15"/>
    </row>
    <row r="263" spans="15:15" x14ac:dyDescent="0.25">
      <c r="O263" s="15"/>
    </row>
    <row r="264" spans="15:15" x14ac:dyDescent="0.25">
      <c r="O264" s="15"/>
    </row>
    <row r="265" spans="15:15" x14ac:dyDescent="0.25">
      <c r="O265" s="15"/>
    </row>
    <row r="266" spans="15:15" x14ac:dyDescent="0.25">
      <c r="O266" s="15"/>
    </row>
    <row r="267" spans="15:15" x14ac:dyDescent="0.25">
      <c r="O267" s="15"/>
    </row>
    <row r="268" spans="15:15" x14ac:dyDescent="0.25">
      <c r="O268" s="15"/>
    </row>
    <row r="269" spans="15:15" x14ac:dyDescent="0.25">
      <c r="O269" s="15"/>
    </row>
    <row r="270" spans="15:15" x14ac:dyDescent="0.25">
      <c r="O270" s="15"/>
    </row>
    <row r="271" spans="15:15" x14ac:dyDescent="0.25">
      <c r="O271" s="15"/>
    </row>
    <row r="272" spans="15:15" x14ac:dyDescent="0.25">
      <c r="O272" s="15"/>
    </row>
    <row r="273" spans="15:15" x14ac:dyDescent="0.25">
      <c r="O273" s="15"/>
    </row>
    <row r="274" spans="15:15" x14ac:dyDescent="0.25">
      <c r="O274" s="15"/>
    </row>
    <row r="275" spans="15:15" x14ac:dyDescent="0.25">
      <c r="O275" s="15"/>
    </row>
    <row r="276" spans="15:15" x14ac:dyDescent="0.25">
      <c r="O276" s="15"/>
    </row>
    <row r="277" spans="15:15" x14ac:dyDescent="0.25">
      <c r="O277" s="15"/>
    </row>
    <row r="278" spans="15:15" x14ac:dyDescent="0.25">
      <c r="O278" s="15"/>
    </row>
    <row r="279" spans="15:15" x14ac:dyDescent="0.25">
      <c r="O279" s="15"/>
    </row>
    <row r="280" spans="15:15" x14ac:dyDescent="0.25">
      <c r="O280" s="15"/>
    </row>
    <row r="281" spans="15:15" x14ac:dyDescent="0.25">
      <c r="O281" s="15"/>
    </row>
    <row r="282" spans="15:15" x14ac:dyDescent="0.25">
      <c r="O282" s="15"/>
    </row>
    <row r="283" spans="15:15" x14ac:dyDescent="0.25">
      <c r="O283" s="15"/>
    </row>
    <row r="284" spans="15:15" x14ac:dyDescent="0.25">
      <c r="O284" s="15"/>
    </row>
    <row r="285" spans="15:15" x14ac:dyDescent="0.25">
      <c r="O285" s="15"/>
    </row>
    <row r="286" spans="15:15" x14ac:dyDescent="0.25">
      <c r="O286" s="15"/>
    </row>
    <row r="287" spans="15:15" x14ac:dyDescent="0.25">
      <c r="O287" s="15"/>
    </row>
    <row r="288" spans="15:15" x14ac:dyDescent="0.25">
      <c r="O288" s="15"/>
    </row>
    <row r="289" spans="15:15" x14ac:dyDescent="0.25">
      <c r="O289" s="15"/>
    </row>
    <row r="290" spans="15:15" x14ac:dyDescent="0.25">
      <c r="O290" s="15"/>
    </row>
    <row r="291" spans="15:15" x14ac:dyDescent="0.25">
      <c r="O291" s="15"/>
    </row>
    <row r="292" spans="15:15" x14ac:dyDescent="0.25">
      <c r="O292" s="15"/>
    </row>
    <row r="293" spans="15:15" x14ac:dyDescent="0.25">
      <c r="O293" s="15"/>
    </row>
    <row r="294" spans="15:15" x14ac:dyDescent="0.25">
      <c r="O294" s="15"/>
    </row>
    <row r="295" spans="15:15" x14ac:dyDescent="0.25">
      <c r="O295" s="15"/>
    </row>
    <row r="296" spans="15:15" x14ac:dyDescent="0.25">
      <c r="O296" s="15"/>
    </row>
    <row r="297" spans="15:15" x14ac:dyDescent="0.25">
      <c r="O297" s="15"/>
    </row>
    <row r="298" spans="15:15" x14ac:dyDescent="0.25">
      <c r="O298" s="15"/>
    </row>
    <row r="299" spans="15:15" x14ac:dyDescent="0.25">
      <c r="O299" s="15"/>
    </row>
    <row r="300" spans="15:15" x14ac:dyDescent="0.25">
      <c r="O300" s="15"/>
    </row>
    <row r="301" spans="15:15" x14ac:dyDescent="0.25">
      <c r="O301" s="15"/>
    </row>
    <row r="302" spans="15:15" x14ac:dyDescent="0.25">
      <c r="O302" s="15"/>
    </row>
    <row r="303" spans="15:15" x14ac:dyDescent="0.25">
      <c r="O303" s="15"/>
    </row>
    <row r="304" spans="15:15" x14ac:dyDescent="0.25">
      <c r="O304" s="15"/>
    </row>
    <row r="305" spans="15:15" x14ac:dyDescent="0.25">
      <c r="O305" s="15"/>
    </row>
    <row r="306" spans="15:15" x14ac:dyDescent="0.25">
      <c r="O306" s="15"/>
    </row>
    <row r="307" spans="15:15" x14ac:dyDescent="0.25">
      <c r="O307" s="15"/>
    </row>
    <row r="308" spans="15:15" x14ac:dyDescent="0.25">
      <c r="O308" s="15"/>
    </row>
    <row r="309" spans="15:15" x14ac:dyDescent="0.25">
      <c r="O309" s="15"/>
    </row>
    <row r="310" spans="15:15" x14ac:dyDescent="0.25">
      <c r="O310" s="15"/>
    </row>
    <row r="311" spans="15:15" x14ac:dyDescent="0.25">
      <c r="O311" s="15"/>
    </row>
    <row r="312" spans="15:15" x14ac:dyDescent="0.25">
      <c r="O312" s="15"/>
    </row>
    <row r="313" spans="15:15" x14ac:dyDescent="0.25">
      <c r="O313" s="15"/>
    </row>
    <row r="314" spans="15:15" x14ac:dyDescent="0.25">
      <c r="O314" s="15"/>
    </row>
    <row r="315" spans="15:15" x14ac:dyDescent="0.25">
      <c r="O315" s="15"/>
    </row>
    <row r="316" spans="15:15" x14ac:dyDescent="0.25">
      <c r="O316" s="15"/>
    </row>
    <row r="317" spans="15:15" x14ac:dyDescent="0.25">
      <c r="O317" s="15"/>
    </row>
    <row r="318" spans="15:15" x14ac:dyDescent="0.25">
      <c r="O318" s="15"/>
    </row>
    <row r="319" spans="15:15" x14ac:dyDescent="0.25">
      <c r="O319" s="15"/>
    </row>
    <row r="320" spans="15:15" x14ac:dyDescent="0.25">
      <c r="O320" s="15"/>
    </row>
    <row r="321" spans="15:15" x14ac:dyDescent="0.25">
      <c r="O321" s="15"/>
    </row>
    <row r="322" spans="15:15" x14ac:dyDescent="0.25">
      <c r="O322" s="15"/>
    </row>
    <row r="323" spans="15:15" x14ac:dyDescent="0.25">
      <c r="O323" s="15"/>
    </row>
    <row r="324" spans="15:15" x14ac:dyDescent="0.25">
      <c r="O324" s="15"/>
    </row>
    <row r="325" spans="15:15" x14ac:dyDescent="0.25">
      <c r="O325" s="15"/>
    </row>
    <row r="326" spans="15:15" x14ac:dyDescent="0.25">
      <c r="O326" s="15"/>
    </row>
    <row r="327" spans="15:15" x14ac:dyDescent="0.25">
      <c r="O327" s="15"/>
    </row>
    <row r="328" spans="15:15" x14ac:dyDescent="0.25">
      <c r="O328" s="15"/>
    </row>
    <row r="329" spans="15:15" x14ac:dyDescent="0.25">
      <c r="O329" s="15"/>
    </row>
    <row r="330" spans="15:15" x14ac:dyDescent="0.25">
      <c r="O330" s="15"/>
    </row>
    <row r="331" spans="15:15" x14ac:dyDescent="0.25">
      <c r="O331" s="15"/>
    </row>
    <row r="332" spans="15:15" x14ac:dyDescent="0.25">
      <c r="O332" s="15"/>
    </row>
    <row r="333" spans="15:15" x14ac:dyDescent="0.25">
      <c r="O333" s="15"/>
    </row>
    <row r="334" spans="15:15" x14ac:dyDescent="0.25">
      <c r="O334" s="15"/>
    </row>
    <row r="335" spans="15:15" x14ac:dyDescent="0.25">
      <c r="O335" s="15"/>
    </row>
    <row r="336" spans="15:15" x14ac:dyDescent="0.25">
      <c r="O336" s="15"/>
    </row>
    <row r="337" spans="15:15" x14ac:dyDescent="0.25">
      <c r="O337" s="15"/>
    </row>
    <row r="338" spans="15:15" x14ac:dyDescent="0.25">
      <c r="O338" s="15"/>
    </row>
    <row r="339" spans="15:15" x14ac:dyDescent="0.25">
      <c r="O339" s="15"/>
    </row>
    <row r="340" spans="15:15" x14ac:dyDescent="0.25">
      <c r="O340" s="15"/>
    </row>
    <row r="341" spans="15:15" x14ac:dyDescent="0.25">
      <c r="O341" s="15"/>
    </row>
    <row r="342" spans="15:15" x14ac:dyDescent="0.25">
      <c r="O342" s="15"/>
    </row>
    <row r="343" spans="15:15" x14ac:dyDescent="0.25">
      <c r="O343" s="15"/>
    </row>
    <row r="344" spans="15:15" x14ac:dyDescent="0.25">
      <c r="O344" s="15"/>
    </row>
    <row r="345" spans="15:15" x14ac:dyDescent="0.25">
      <c r="O345" s="15"/>
    </row>
    <row r="346" spans="15:15" x14ac:dyDescent="0.25">
      <c r="O346" s="15"/>
    </row>
    <row r="347" spans="15:15" x14ac:dyDescent="0.25">
      <c r="O347" s="15"/>
    </row>
    <row r="348" spans="15:15" x14ac:dyDescent="0.25">
      <c r="O348" s="15"/>
    </row>
    <row r="349" spans="15:15" x14ac:dyDescent="0.25">
      <c r="O349" s="15"/>
    </row>
    <row r="350" spans="15:15" x14ac:dyDescent="0.25">
      <c r="O350" s="15"/>
    </row>
    <row r="351" spans="15:15" x14ac:dyDescent="0.25">
      <c r="O351" s="15"/>
    </row>
    <row r="352" spans="15:15" x14ac:dyDescent="0.25">
      <c r="O352" s="15"/>
    </row>
    <row r="353" spans="15:15" x14ac:dyDescent="0.25">
      <c r="O353" s="15"/>
    </row>
    <row r="354" spans="15:15" x14ac:dyDescent="0.25">
      <c r="O354" s="15"/>
    </row>
    <row r="355" spans="15:15" x14ac:dyDescent="0.25">
      <c r="O355" s="15"/>
    </row>
    <row r="356" spans="15:15" x14ac:dyDescent="0.25">
      <c r="O356" s="15"/>
    </row>
    <row r="357" spans="15:15" x14ac:dyDescent="0.25">
      <c r="O357" s="15"/>
    </row>
    <row r="358" spans="15:15" x14ac:dyDescent="0.25">
      <c r="O358" s="15"/>
    </row>
    <row r="359" spans="15:15" x14ac:dyDescent="0.25">
      <c r="O359" s="15"/>
    </row>
    <row r="360" spans="15:15" x14ac:dyDescent="0.25">
      <c r="O360" s="15"/>
    </row>
    <row r="361" spans="15:15" x14ac:dyDescent="0.25">
      <c r="O361" s="15"/>
    </row>
    <row r="362" spans="15:15" x14ac:dyDescent="0.25">
      <c r="O362" s="15"/>
    </row>
    <row r="363" spans="15:15" x14ac:dyDescent="0.25">
      <c r="O363" s="15"/>
    </row>
    <row r="364" spans="15:15" x14ac:dyDescent="0.25">
      <c r="O364" s="15"/>
    </row>
    <row r="365" spans="15:15" x14ac:dyDescent="0.25">
      <c r="O365" s="15"/>
    </row>
    <row r="366" spans="15:15" x14ac:dyDescent="0.25">
      <c r="O366" s="15"/>
    </row>
    <row r="367" spans="15:15" x14ac:dyDescent="0.25">
      <c r="O367" s="15"/>
    </row>
    <row r="368" spans="15:15" x14ac:dyDescent="0.25">
      <c r="O368" s="15"/>
    </row>
    <row r="369" spans="15:15" x14ac:dyDescent="0.25">
      <c r="O369" s="15"/>
    </row>
    <row r="370" spans="15:15" x14ac:dyDescent="0.25">
      <c r="O370" s="15"/>
    </row>
    <row r="371" spans="15:15" x14ac:dyDescent="0.25">
      <c r="O371" s="15"/>
    </row>
    <row r="372" spans="15:15" x14ac:dyDescent="0.25">
      <c r="O372" s="15"/>
    </row>
    <row r="373" spans="15:15" x14ac:dyDescent="0.25">
      <c r="O373" s="15"/>
    </row>
    <row r="374" spans="15:15" x14ac:dyDescent="0.25">
      <c r="O374" s="15"/>
    </row>
    <row r="375" spans="15:15" x14ac:dyDescent="0.25">
      <c r="O375" s="15"/>
    </row>
    <row r="376" spans="15:15" x14ac:dyDescent="0.25">
      <c r="O376" s="15"/>
    </row>
    <row r="377" spans="15:15" x14ac:dyDescent="0.25">
      <c r="O377" s="15"/>
    </row>
    <row r="378" spans="15:15" x14ac:dyDescent="0.25">
      <c r="O378" s="15"/>
    </row>
    <row r="379" spans="15:15" x14ac:dyDescent="0.25">
      <c r="O379" s="15"/>
    </row>
    <row r="380" spans="15:15" x14ac:dyDescent="0.25">
      <c r="O380" s="15"/>
    </row>
    <row r="381" spans="15:15" x14ac:dyDescent="0.25">
      <c r="O381" s="15"/>
    </row>
    <row r="382" spans="15:15" x14ac:dyDescent="0.25">
      <c r="O382" s="15"/>
    </row>
    <row r="383" spans="15:15" x14ac:dyDescent="0.25">
      <c r="O383" s="15"/>
    </row>
    <row r="384" spans="15:15" x14ac:dyDescent="0.25">
      <c r="O384" s="15"/>
    </row>
    <row r="385" spans="15:15" x14ac:dyDescent="0.25">
      <c r="O385" s="15"/>
    </row>
    <row r="386" spans="15:15" x14ac:dyDescent="0.25">
      <c r="O386" s="15"/>
    </row>
    <row r="387" spans="15:15" x14ac:dyDescent="0.25">
      <c r="O387" s="15"/>
    </row>
    <row r="388" spans="15:15" x14ac:dyDescent="0.25">
      <c r="O388" s="15"/>
    </row>
    <row r="389" spans="15:15" x14ac:dyDescent="0.25">
      <c r="O389" s="15"/>
    </row>
    <row r="390" spans="15:15" x14ac:dyDescent="0.25">
      <c r="O390" s="15"/>
    </row>
    <row r="391" spans="15:15" x14ac:dyDescent="0.25">
      <c r="O391" s="15"/>
    </row>
    <row r="392" spans="15:15" x14ac:dyDescent="0.25">
      <c r="O392" s="15"/>
    </row>
    <row r="393" spans="15:15" x14ac:dyDescent="0.25">
      <c r="O393" s="15"/>
    </row>
    <row r="394" spans="15:15" x14ac:dyDescent="0.25">
      <c r="O394" s="15"/>
    </row>
  </sheetData>
  <mergeCells count="2">
    <mergeCell ref="D10:D11"/>
    <mergeCell ref="C10:C11"/>
  </mergeCells>
  <conditionalFormatting sqref="V3:X9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customProperties>
    <customPr name="REFI_OFFICE_FUNCTION_DATA" r:id="rId2"/>
  </customProperties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xr2:uid="{5E354273-55C3-4DD4-9B9C-2D4168208D6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CHF!F3:T3</xm:f>
              <xm:sqref>U3</xm:sqref>
            </x14:sparkline>
            <x14:sparkline>
              <xm:f>CHF!F4:T4</xm:f>
              <xm:sqref>U4</xm:sqref>
            </x14:sparkline>
            <x14:sparkline>
              <xm:f>CHF!F5:T5</xm:f>
              <xm:sqref>U5</xm:sqref>
            </x14:sparkline>
            <x14:sparkline>
              <xm:f>CHF!F6:T6</xm:f>
              <xm:sqref>U6</xm:sqref>
            </x14:sparkline>
            <x14:sparkline>
              <xm:f>CHF!F7:T7</xm:f>
              <xm:sqref>U7</xm:sqref>
            </x14:sparkline>
            <x14:sparkline>
              <xm:f>CHF!F8:T8</xm:f>
              <xm:sqref>U8</xm:sqref>
            </x14:sparkline>
            <x14:sparkline>
              <xm:f>CHF!F9:T9</xm:f>
              <xm:sqref>U9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53d73cf-71ca-4c03-8773-8d5cc859c201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623AB81EB26B84EAC4C7C45C24C5D09" ma:contentTypeVersion="8" ma:contentTypeDescription="Crée un document." ma:contentTypeScope="" ma:versionID="6f47e62804f51864265e99c72ed2e3f6">
  <xsd:schema xmlns:xsd="http://www.w3.org/2001/XMLSchema" xmlns:xs="http://www.w3.org/2001/XMLSchema" xmlns:p="http://schemas.microsoft.com/office/2006/metadata/properties" xmlns:ns3="d53d73cf-71ca-4c03-8773-8d5cc859c201" xmlns:ns4="450b2530-e8b2-4f42-9121-f235be345d04" targetNamespace="http://schemas.microsoft.com/office/2006/metadata/properties" ma:root="true" ma:fieldsID="1c19947bfb9d99d719dd69f14003afa7" ns3:_="" ns4:_="">
    <xsd:import namespace="d53d73cf-71ca-4c03-8773-8d5cc859c201"/>
    <xsd:import namespace="450b2530-e8b2-4f42-9121-f235be345d0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3d73cf-71ca-4c03-8773-8d5cc859c20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0b2530-e8b2-4f42-9121-f235be345d04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106F34D-D85A-4641-A31E-35857468227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CAD023D-52A3-4E67-B293-46EAFF899770}">
  <ds:schemaRefs>
    <ds:schemaRef ds:uri="d53d73cf-71ca-4c03-8773-8d5cc859c201"/>
    <ds:schemaRef ds:uri="http://www.w3.org/XML/1998/namespace"/>
    <ds:schemaRef ds:uri="http://purl.org/dc/dcmitype/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450b2530-e8b2-4f42-9121-f235be345d04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7AF1969-38EE-4B4F-8D2E-DF202BD1DC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3d73cf-71ca-4c03-8773-8d5cc859c201"/>
    <ds:schemaRef ds:uri="450b2530-e8b2-4f42-9121-f235be345d0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GLOBAL</vt:lpstr>
      <vt:lpstr>Spread</vt:lpstr>
      <vt:lpstr>VS</vt:lpstr>
      <vt:lpstr>USD</vt:lpstr>
      <vt:lpstr>EUR</vt:lpstr>
      <vt:lpstr>JPY</vt:lpstr>
      <vt:lpstr>GBP</vt:lpstr>
      <vt:lpstr>CAD</vt:lpstr>
      <vt:lpstr>AUD</vt:lpstr>
      <vt:lpstr>NZD</vt:lpstr>
      <vt:lpstr>CHF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LEMOINE Damien</dc:creator>
  <cp:keywords/>
  <dc:description/>
  <cp:lastModifiedBy>LEMOINE Damien</cp:lastModifiedBy>
  <cp:revision/>
  <cp:lastPrinted>2024-06-09T21:15:36Z</cp:lastPrinted>
  <dcterms:created xsi:type="dcterms:W3CDTF">2024-02-25T11:48:10Z</dcterms:created>
  <dcterms:modified xsi:type="dcterms:W3CDTF">2024-11-11T01:41:08Z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0x0101005623AB81EB26B84EAC4C7C45C24C5D09</vt:lpwstr>
  </property>
</Properties>
</file>