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Users\Damien\FILES\PRO\TRADING\2024\STATION\"/>
    </mc:Choice>
  </mc:AlternateContent>
  <xr:revisionPtr revIDLastSave="0" documentId="13_ncr:1_{857939DB-0EEC-4902-8D1D-870A3BF52F41}" xr6:coauthVersionLast="47" xr6:coauthVersionMax="47" xr10:uidLastSave="{00000000-0000-0000-0000-000000000000}"/>
  <bookViews>
    <workbookView xWindow="28680" yWindow="-2235" windowWidth="29040" windowHeight="15720" firstSheet="1" activeTab="1" xr2:uid="{00000000-000D-0000-FFFF-FFFF00000000}"/>
  </bookViews>
  <sheets>
    <sheet name="Instructions" sheetId="5" state="hidden" r:id="rId1"/>
    <sheet name="Output" sheetId="6" r:id="rId2"/>
    <sheet name="Country_list" sheetId="7" r:id="rId3"/>
    <sheet name="KI list" sheetId="8" state="hidden" r:id="rId4"/>
    <sheet name="Subjects" sheetId="9" state="hidden" r:id="rId5"/>
    <sheet name="REQUEST_TABLE" sheetId="4" state="hidden" r:id="rId6"/>
  </sheets>
  <functionGroups builtInGroupCount="19"/>
  <definedNames>
    <definedName name="_xlnm._FilterDatabase" localSheetId="2" hidden="1">Country_list!$B$3:$AJ$157</definedName>
    <definedName name="_xlnm._FilterDatabase" localSheetId="4" hidden="1">Subjects!$A$2:$C$35</definedName>
    <definedName name="TRNR_a6983335c70341bca2703ac1bb03209b_153_60" hidden="1">Output!$B$7</definedName>
    <definedName name="TRNR_c10ceff7f68546caba03914b38f50f5c_69_9" hidden="1">Output!#REF!</definedName>
    <definedName name="TRNR_c357255738234fbcb40d2322be952ec1_153_60" hidden="1">Output!$B$7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189" i="7" l="1"/>
  <c r="AI189" i="7"/>
  <c r="AH189" i="7"/>
  <c r="AG189" i="7"/>
  <c r="AF189" i="7"/>
  <c r="AE189" i="7"/>
  <c r="AD189" i="7"/>
  <c r="AC189"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AJ188" i="7"/>
  <c r="AI188" i="7"/>
  <c r="AH188" i="7"/>
  <c r="AG188" i="7"/>
  <c r="AF188" i="7"/>
  <c r="AE188" i="7"/>
  <c r="AD188" i="7"/>
  <c r="AC188"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AJ187" i="7"/>
  <c r="AI187" i="7"/>
  <c r="AH187" i="7"/>
  <c r="AG187" i="7"/>
  <c r="AF187" i="7"/>
  <c r="AE187" i="7"/>
  <c r="AD187" i="7"/>
  <c r="AC187"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AJ186" i="7"/>
  <c r="AI186" i="7"/>
  <c r="AH186" i="7"/>
  <c r="AG186" i="7"/>
  <c r="AF186" i="7"/>
  <c r="AE186" i="7"/>
  <c r="AD186" i="7"/>
  <c r="AC186"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AJ185" i="7"/>
  <c r="AI185" i="7"/>
  <c r="AH185" i="7"/>
  <c r="AG185" i="7"/>
  <c r="AF185" i="7"/>
  <c r="AE185" i="7"/>
  <c r="AD185" i="7"/>
  <c r="AC185"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AJ184" i="7"/>
  <c r="AI184" i="7"/>
  <c r="AH184" i="7"/>
  <c r="AG184" i="7"/>
  <c r="AF184" i="7"/>
  <c r="AE184" i="7"/>
  <c r="AD184" i="7"/>
  <c r="AC184"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AJ183" i="7"/>
  <c r="AI183" i="7"/>
  <c r="AH183" i="7"/>
  <c r="AG183" i="7"/>
  <c r="AF183" i="7"/>
  <c r="AE183" i="7"/>
  <c r="AD183" i="7"/>
  <c r="AC183"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AJ182" i="7"/>
  <c r="AI182" i="7"/>
  <c r="AH182" i="7"/>
  <c r="AG182" i="7"/>
  <c r="AF182" i="7"/>
  <c r="AE182" i="7"/>
  <c r="AD182" i="7"/>
  <c r="AC182"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AJ4" i="7"/>
  <c r="AI4" i="7"/>
  <c r="AH4" i="7"/>
  <c r="AG4" i="7"/>
  <c r="AF4" i="7"/>
  <c r="AE4" i="7"/>
  <c r="AD4" i="7"/>
  <c r="AC4" i="7"/>
  <c r="AB4" i="7"/>
  <c r="AA4" i="7"/>
  <c r="Z4" i="7"/>
  <c r="Y4" i="7"/>
  <c r="X4" i="7"/>
  <c r="W4" i="7"/>
  <c r="V4" i="7"/>
  <c r="U4" i="7"/>
  <c r="T4" i="7"/>
  <c r="S4" i="7"/>
  <c r="R4" i="7"/>
  <c r="Q4" i="7"/>
  <c r="P4" i="7"/>
  <c r="O4" i="7"/>
  <c r="N4" i="7"/>
  <c r="M4" i="7"/>
  <c r="L4" i="7"/>
  <c r="K4" i="7"/>
  <c r="J4" i="7"/>
  <c r="I4" i="7"/>
  <c r="H4" i="7"/>
  <c r="G4" i="7"/>
  <c r="F4" i="7"/>
  <c r="E4" i="7"/>
  <c r="D4" i="7"/>
  <c r="D165" i="7"/>
  <c r="E165" i="7"/>
  <c r="F165" i="7"/>
  <c r="G165" i="7"/>
  <c r="H165" i="7"/>
  <c r="I165" i="7"/>
  <c r="J165" i="7"/>
  <c r="K165" i="7"/>
  <c r="L165" i="7"/>
  <c r="M165" i="7"/>
  <c r="N165" i="7"/>
  <c r="O165" i="7"/>
  <c r="P165" i="7"/>
  <c r="Q165" i="7"/>
  <c r="R165" i="7"/>
  <c r="S165" i="7"/>
  <c r="T165" i="7"/>
  <c r="U165" i="7"/>
  <c r="V165" i="7"/>
  <c r="W165" i="7"/>
  <c r="X165" i="7"/>
  <c r="Y165" i="7"/>
  <c r="Z165" i="7"/>
  <c r="AA165" i="7"/>
  <c r="AB165" i="7"/>
  <c r="AC165" i="7"/>
  <c r="AD165" i="7"/>
  <c r="AE165" i="7"/>
  <c r="AF165" i="7"/>
  <c r="AG165" i="7"/>
  <c r="AH165" i="7"/>
  <c r="AI165" i="7"/>
  <c r="AJ165" i="7"/>
  <c r="D166" i="7"/>
  <c r="E166" i="7"/>
  <c r="F166" i="7"/>
  <c r="G166" i="7"/>
  <c r="H166" i="7"/>
  <c r="I166" i="7"/>
  <c r="J166" i="7"/>
  <c r="K166" i="7"/>
  <c r="L166" i="7"/>
  <c r="M166" i="7"/>
  <c r="N166" i="7"/>
  <c r="O166" i="7"/>
  <c r="P166" i="7"/>
  <c r="Q166" i="7"/>
  <c r="R166" i="7"/>
  <c r="S166" i="7"/>
  <c r="T166" i="7"/>
  <c r="U166" i="7"/>
  <c r="V166" i="7"/>
  <c r="W166" i="7"/>
  <c r="X166" i="7"/>
  <c r="Y166" i="7"/>
  <c r="Z166" i="7"/>
  <c r="AA166" i="7"/>
  <c r="AB166" i="7"/>
  <c r="AC166" i="7"/>
  <c r="AD166" i="7"/>
  <c r="AE166" i="7"/>
  <c r="AF166" i="7"/>
  <c r="AG166" i="7"/>
  <c r="AH166" i="7"/>
  <c r="AI166" i="7"/>
  <c r="AJ166" i="7"/>
  <c r="D167" i="7"/>
  <c r="E167" i="7"/>
  <c r="F167" i="7"/>
  <c r="G167" i="7"/>
  <c r="H167" i="7"/>
  <c r="I167" i="7"/>
  <c r="J167" i="7"/>
  <c r="K167" i="7"/>
  <c r="L167" i="7"/>
  <c r="M167" i="7"/>
  <c r="N167" i="7"/>
  <c r="O167" i="7"/>
  <c r="P167" i="7"/>
  <c r="Q167" i="7"/>
  <c r="R167" i="7"/>
  <c r="S167" i="7"/>
  <c r="T167" i="7"/>
  <c r="U167" i="7"/>
  <c r="V167" i="7"/>
  <c r="W167" i="7"/>
  <c r="X167" i="7"/>
  <c r="Y167" i="7"/>
  <c r="Z167" i="7"/>
  <c r="AA167" i="7"/>
  <c r="AB167" i="7"/>
  <c r="AC167" i="7"/>
  <c r="AD167" i="7"/>
  <c r="AE167" i="7"/>
  <c r="AF167" i="7"/>
  <c r="AG167" i="7"/>
  <c r="AH167" i="7"/>
  <c r="AI167" i="7"/>
  <c r="AJ167" i="7"/>
  <c r="D168" i="7"/>
  <c r="E168" i="7"/>
  <c r="F168" i="7"/>
  <c r="G168" i="7"/>
  <c r="H168" i="7"/>
  <c r="I168" i="7"/>
  <c r="J168" i="7"/>
  <c r="K168" i="7"/>
  <c r="L168" i="7"/>
  <c r="M168" i="7"/>
  <c r="N168" i="7"/>
  <c r="O168" i="7"/>
  <c r="P168" i="7"/>
  <c r="Q168" i="7"/>
  <c r="R168" i="7"/>
  <c r="S168" i="7"/>
  <c r="T168" i="7"/>
  <c r="U168" i="7"/>
  <c r="V168" i="7"/>
  <c r="W168" i="7"/>
  <c r="X168" i="7"/>
  <c r="Y168" i="7"/>
  <c r="Z168" i="7"/>
  <c r="AA168" i="7"/>
  <c r="AB168" i="7"/>
  <c r="AC168" i="7"/>
  <c r="AD168" i="7"/>
  <c r="AE168" i="7"/>
  <c r="AF168" i="7"/>
  <c r="AG168" i="7"/>
  <c r="AH168" i="7"/>
  <c r="AI168" i="7"/>
  <c r="AJ168" i="7"/>
  <c r="D169" i="7"/>
  <c r="E169" i="7"/>
  <c r="F169" i="7"/>
  <c r="G169" i="7"/>
  <c r="H169" i="7"/>
  <c r="I169" i="7"/>
  <c r="J169" i="7"/>
  <c r="K169" i="7"/>
  <c r="L169" i="7"/>
  <c r="M169" i="7"/>
  <c r="N169" i="7"/>
  <c r="O169" i="7"/>
  <c r="P169" i="7"/>
  <c r="Q169" i="7"/>
  <c r="R169" i="7"/>
  <c r="S169" i="7"/>
  <c r="T169" i="7"/>
  <c r="U169" i="7"/>
  <c r="V169" i="7"/>
  <c r="W169" i="7"/>
  <c r="X169" i="7"/>
  <c r="Y169" i="7"/>
  <c r="Z169" i="7"/>
  <c r="AA169" i="7"/>
  <c r="AB169" i="7"/>
  <c r="AC169" i="7"/>
  <c r="AD169" i="7"/>
  <c r="AE169" i="7"/>
  <c r="AF169" i="7"/>
  <c r="AG169" i="7"/>
  <c r="AH169" i="7"/>
  <c r="AI169" i="7"/>
  <c r="AJ169" i="7"/>
  <c r="D170" i="7"/>
  <c r="E170" i="7"/>
  <c r="F170" i="7"/>
  <c r="G170" i="7"/>
  <c r="H170" i="7"/>
  <c r="I170" i="7"/>
  <c r="J170" i="7"/>
  <c r="K170" i="7"/>
  <c r="L170" i="7"/>
  <c r="M170" i="7"/>
  <c r="N170" i="7"/>
  <c r="O170" i="7"/>
  <c r="P170" i="7"/>
  <c r="Q170" i="7"/>
  <c r="R170" i="7"/>
  <c r="S170" i="7"/>
  <c r="T170" i="7"/>
  <c r="U170" i="7"/>
  <c r="V170" i="7"/>
  <c r="W170" i="7"/>
  <c r="X170" i="7"/>
  <c r="Y170" i="7"/>
  <c r="Z170" i="7"/>
  <c r="AA170" i="7"/>
  <c r="AB170" i="7"/>
  <c r="AC170" i="7"/>
  <c r="AD170" i="7"/>
  <c r="AE170" i="7"/>
  <c r="AF170" i="7"/>
  <c r="AG170" i="7"/>
  <c r="AH170" i="7"/>
  <c r="AI170" i="7"/>
  <c r="AJ170" i="7"/>
  <c r="D171" i="7"/>
  <c r="E171" i="7"/>
  <c r="F171" i="7"/>
  <c r="G171" i="7"/>
  <c r="H171" i="7"/>
  <c r="I171" i="7"/>
  <c r="J171" i="7"/>
  <c r="K171" i="7"/>
  <c r="L171" i="7"/>
  <c r="M171" i="7"/>
  <c r="N171" i="7"/>
  <c r="O171" i="7"/>
  <c r="P171" i="7"/>
  <c r="Q171" i="7"/>
  <c r="R171" i="7"/>
  <c r="S171" i="7"/>
  <c r="T171" i="7"/>
  <c r="U171" i="7"/>
  <c r="V171" i="7"/>
  <c r="W171" i="7"/>
  <c r="X171" i="7"/>
  <c r="Y171" i="7"/>
  <c r="Z171" i="7"/>
  <c r="AA171" i="7"/>
  <c r="AB171" i="7"/>
  <c r="AC171" i="7"/>
  <c r="AD171" i="7"/>
  <c r="AE171" i="7"/>
  <c r="AF171" i="7"/>
  <c r="AG171" i="7"/>
  <c r="AH171" i="7"/>
  <c r="AI171" i="7"/>
  <c r="AJ171" i="7"/>
  <c r="D172" i="7"/>
  <c r="E172" i="7"/>
  <c r="F172" i="7"/>
  <c r="G172" i="7"/>
  <c r="H172" i="7"/>
  <c r="I172" i="7"/>
  <c r="J172" i="7"/>
  <c r="K172" i="7"/>
  <c r="L172" i="7"/>
  <c r="M172" i="7"/>
  <c r="N172" i="7"/>
  <c r="O172" i="7"/>
  <c r="P172" i="7"/>
  <c r="Q172" i="7"/>
  <c r="R172" i="7"/>
  <c r="S172" i="7"/>
  <c r="T172" i="7"/>
  <c r="U172" i="7"/>
  <c r="V172" i="7"/>
  <c r="W172" i="7"/>
  <c r="X172" i="7"/>
  <c r="Y172" i="7"/>
  <c r="Z172" i="7"/>
  <c r="AA172" i="7"/>
  <c r="AB172" i="7"/>
  <c r="AC172" i="7"/>
  <c r="AD172" i="7"/>
  <c r="AE172" i="7"/>
  <c r="AF172" i="7"/>
  <c r="AG172" i="7"/>
  <c r="AH172" i="7"/>
  <c r="AI172" i="7"/>
  <c r="AJ172" i="7"/>
  <c r="D173" i="7"/>
  <c r="E173" i="7"/>
  <c r="F173" i="7"/>
  <c r="G173" i="7"/>
  <c r="H173" i="7"/>
  <c r="I173" i="7"/>
  <c r="J173" i="7"/>
  <c r="K173" i="7"/>
  <c r="L173" i="7"/>
  <c r="M173" i="7"/>
  <c r="N173" i="7"/>
  <c r="O173" i="7"/>
  <c r="P173" i="7"/>
  <c r="Q173" i="7"/>
  <c r="R173" i="7"/>
  <c r="S173" i="7"/>
  <c r="T173" i="7"/>
  <c r="U173" i="7"/>
  <c r="V173" i="7"/>
  <c r="W173" i="7"/>
  <c r="X173" i="7"/>
  <c r="Y173" i="7"/>
  <c r="Z173" i="7"/>
  <c r="AA173" i="7"/>
  <c r="AB173" i="7"/>
  <c r="AC173" i="7"/>
  <c r="AD173" i="7"/>
  <c r="AE173" i="7"/>
  <c r="AF173" i="7"/>
  <c r="AG173" i="7"/>
  <c r="AH173" i="7"/>
  <c r="AI173" i="7"/>
  <c r="AJ173" i="7"/>
  <c r="D174" i="7"/>
  <c r="E174" i="7"/>
  <c r="F174" i="7"/>
  <c r="G174" i="7"/>
  <c r="H174" i="7"/>
  <c r="I174" i="7"/>
  <c r="J174" i="7"/>
  <c r="K174" i="7"/>
  <c r="L174" i="7"/>
  <c r="M174" i="7"/>
  <c r="N174" i="7"/>
  <c r="O174" i="7"/>
  <c r="P174" i="7"/>
  <c r="Q174" i="7"/>
  <c r="R174" i="7"/>
  <c r="S174" i="7"/>
  <c r="T174" i="7"/>
  <c r="U174" i="7"/>
  <c r="V174" i="7"/>
  <c r="W174" i="7"/>
  <c r="X174" i="7"/>
  <c r="Y174" i="7"/>
  <c r="Z174" i="7"/>
  <c r="AA174" i="7"/>
  <c r="AB174" i="7"/>
  <c r="AC174" i="7"/>
  <c r="AD174" i="7"/>
  <c r="AE174" i="7"/>
  <c r="AF174" i="7"/>
  <c r="AG174" i="7"/>
  <c r="AH174" i="7"/>
  <c r="AI174" i="7"/>
  <c r="AJ174" i="7"/>
  <c r="D175" i="7"/>
  <c r="E175" i="7"/>
  <c r="F175" i="7"/>
  <c r="G175" i="7"/>
  <c r="H175" i="7"/>
  <c r="I175" i="7"/>
  <c r="J175" i="7"/>
  <c r="K175" i="7"/>
  <c r="L175" i="7"/>
  <c r="M175" i="7"/>
  <c r="N175" i="7"/>
  <c r="O175" i="7"/>
  <c r="P175" i="7"/>
  <c r="Q175" i="7"/>
  <c r="R175" i="7"/>
  <c r="S175" i="7"/>
  <c r="T175" i="7"/>
  <c r="U175" i="7"/>
  <c r="V175" i="7"/>
  <c r="W175" i="7"/>
  <c r="X175" i="7"/>
  <c r="Y175" i="7"/>
  <c r="Z175" i="7"/>
  <c r="AA175" i="7"/>
  <c r="AB175" i="7"/>
  <c r="AC175" i="7"/>
  <c r="AD175" i="7"/>
  <c r="AE175" i="7"/>
  <c r="AF175" i="7"/>
  <c r="AG175" i="7"/>
  <c r="AH175" i="7"/>
  <c r="AI175" i="7"/>
  <c r="AJ175" i="7"/>
  <c r="D176" i="7"/>
  <c r="E176" i="7"/>
  <c r="F176" i="7"/>
  <c r="G176" i="7"/>
  <c r="H176" i="7"/>
  <c r="I176" i="7"/>
  <c r="J176" i="7"/>
  <c r="K176" i="7"/>
  <c r="L176" i="7"/>
  <c r="M176" i="7"/>
  <c r="N176" i="7"/>
  <c r="O176" i="7"/>
  <c r="P176" i="7"/>
  <c r="Q176" i="7"/>
  <c r="R176" i="7"/>
  <c r="S176" i="7"/>
  <c r="T176" i="7"/>
  <c r="U176" i="7"/>
  <c r="V176" i="7"/>
  <c r="W176" i="7"/>
  <c r="X176" i="7"/>
  <c r="Y176" i="7"/>
  <c r="Z176" i="7"/>
  <c r="AA176" i="7"/>
  <c r="AB176" i="7"/>
  <c r="AC176" i="7"/>
  <c r="AD176" i="7"/>
  <c r="AE176" i="7"/>
  <c r="AF176" i="7"/>
  <c r="AG176" i="7"/>
  <c r="AH176" i="7"/>
  <c r="AI176" i="7"/>
  <c r="AJ176" i="7"/>
  <c r="D177" i="7"/>
  <c r="E177" i="7"/>
  <c r="F177" i="7"/>
  <c r="G177" i="7"/>
  <c r="H177" i="7"/>
  <c r="I177" i="7"/>
  <c r="J177" i="7"/>
  <c r="K177" i="7"/>
  <c r="L177" i="7"/>
  <c r="M177" i="7"/>
  <c r="N177" i="7"/>
  <c r="O177" i="7"/>
  <c r="P177" i="7"/>
  <c r="Q177" i="7"/>
  <c r="R177" i="7"/>
  <c r="S177" i="7"/>
  <c r="T177" i="7"/>
  <c r="U177" i="7"/>
  <c r="V177" i="7"/>
  <c r="W177" i="7"/>
  <c r="X177" i="7"/>
  <c r="Y177" i="7"/>
  <c r="Z177" i="7"/>
  <c r="AA177" i="7"/>
  <c r="AB177" i="7"/>
  <c r="AC177" i="7"/>
  <c r="AD177" i="7"/>
  <c r="AE177" i="7"/>
  <c r="AF177" i="7"/>
  <c r="AG177" i="7"/>
  <c r="AH177" i="7"/>
  <c r="AI177" i="7"/>
  <c r="AJ177" i="7"/>
  <c r="D178" i="7"/>
  <c r="E178" i="7"/>
  <c r="F178" i="7"/>
  <c r="G178" i="7"/>
  <c r="H178" i="7"/>
  <c r="I178" i="7"/>
  <c r="J178" i="7"/>
  <c r="K178" i="7"/>
  <c r="L178" i="7"/>
  <c r="M178" i="7"/>
  <c r="N178" i="7"/>
  <c r="O178" i="7"/>
  <c r="P178" i="7"/>
  <c r="Q178" i="7"/>
  <c r="R178" i="7"/>
  <c r="S178" i="7"/>
  <c r="T178" i="7"/>
  <c r="U178" i="7"/>
  <c r="V178" i="7"/>
  <c r="W178" i="7"/>
  <c r="X178" i="7"/>
  <c r="Y178" i="7"/>
  <c r="Z178" i="7"/>
  <c r="AA178" i="7"/>
  <c r="AB178" i="7"/>
  <c r="AC178" i="7"/>
  <c r="AD178" i="7"/>
  <c r="AE178" i="7"/>
  <c r="AF178" i="7"/>
  <c r="AG178" i="7"/>
  <c r="AH178" i="7"/>
  <c r="AI178" i="7"/>
  <c r="AJ178" i="7"/>
  <c r="D179" i="7"/>
  <c r="E179" i="7"/>
  <c r="F179" i="7"/>
  <c r="G179" i="7"/>
  <c r="H179" i="7"/>
  <c r="I179" i="7"/>
  <c r="J179" i="7"/>
  <c r="K179" i="7"/>
  <c r="L179" i="7"/>
  <c r="M179" i="7"/>
  <c r="N179" i="7"/>
  <c r="O179" i="7"/>
  <c r="P179" i="7"/>
  <c r="Q179" i="7"/>
  <c r="R179" i="7"/>
  <c r="S179" i="7"/>
  <c r="T179" i="7"/>
  <c r="U179" i="7"/>
  <c r="V179" i="7"/>
  <c r="W179" i="7"/>
  <c r="X179" i="7"/>
  <c r="Y179" i="7"/>
  <c r="Z179" i="7"/>
  <c r="AA179" i="7"/>
  <c r="AB179" i="7"/>
  <c r="AC179" i="7"/>
  <c r="AD179" i="7"/>
  <c r="AE179" i="7"/>
  <c r="AF179" i="7"/>
  <c r="AG179" i="7"/>
  <c r="AH179" i="7"/>
  <c r="AI179" i="7"/>
  <c r="AJ179" i="7"/>
  <c r="D180" i="7"/>
  <c r="E180" i="7"/>
  <c r="F180" i="7"/>
  <c r="G180" i="7"/>
  <c r="H180" i="7"/>
  <c r="I180" i="7"/>
  <c r="J180" i="7"/>
  <c r="K180" i="7"/>
  <c r="L180" i="7"/>
  <c r="M180" i="7"/>
  <c r="N180" i="7"/>
  <c r="O180" i="7"/>
  <c r="P180" i="7"/>
  <c r="Q180" i="7"/>
  <c r="R180" i="7"/>
  <c r="S180" i="7"/>
  <c r="T180" i="7"/>
  <c r="U180" i="7"/>
  <c r="V180" i="7"/>
  <c r="W180" i="7"/>
  <c r="X180" i="7"/>
  <c r="Y180" i="7"/>
  <c r="Z180" i="7"/>
  <c r="AA180" i="7"/>
  <c r="AB180" i="7"/>
  <c r="AC180" i="7"/>
  <c r="AD180" i="7"/>
  <c r="AE180" i="7"/>
  <c r="AF180" i="7"/>
  <c r="AG180" i="7"/>
  <c r="AH180" i="7"/>
  <c r="AI180" i="7"/>
  <c r="AJ180" i="7"/>
  <c r="D181" i="7"/>
  <c r="E181" i="7"/>
  <c r="F181" i="7"/>
  <c r="G181" i="7"/>
  <c r="H181" i="7"/>
  <c r="I181" i="7"/>
  <c r="J181" i="7"/>
  <c r="K181" i="7"/>
  <c r="L181" i="7"/>
  <c r="M181" i="7"/>
  <c r="N181" i="7"/>
  <c r="O181" i="7"/>
  <c r="P181" i="7"/>
  <c r="Q181" i="7"/>
  <c r="R181" i="7"/>
  <c r="S181" i="7"/>
  <c r="T181" i="7"/>
  <c r="U181" i="7"/>
  <c r="V181" i="7"/>
  <c r="W181" i="7"/>
  <c r="X181" i="7"/>
  <c r="Y181" i="7"/>
  <c r="Z181" i="7"/>
  <c r="AA181" i="7"/>
  <c r="AB181" i="7"/>
  <c r="AC181" i="7"/>
  <c r="AD181" i="7"/>
  <c r="AE181" i="7"/>
  <c r="AF181" i="7"/>
  <c r="AG181" i="7"/>
  <c r="AH181" i="7"/>
  <c r="AI181" i="7"/>
  <c r="AJ181" i="7"/>
  <c r="C166" i="7"/>
  <c r="C167" i="7"/>
  <c r="C168" i="7"/>
  <c r="C169" i="7"/>
  <c r="C170" i="7"/>
  <c r="C171" i="7"/>
  <c r="C172" i="7"/>
  <c r="C173" i="7"/>
  <c r="C174" i="7"/>
  <c r="C175" i="7"/>
  <c r="C176" i="7"/>
  <c r="C177" i="7"/>
  <c r="C178" i="7"/>
  <c r="C179" i="7"/>
  <c r="C180" i="7"/>
  <c r="C181" i="7"/>
  <c r="C165" i="7"/>
  <c r="D164" i="7"/>
  <c r="E164" i="7" s="1"/>
  <c r="F164" i="7" s="1"/>
  <c r="G164" i="7" s="1"/>
  <c r="H164" i="7" s="1"/>
  <c r="I164" i="7" s="1"/>
  <c r="J164" i="7" s="1"/>
  <c r="K164" i="7" s="1"/>
  <c r="L164" i="7" s="1"/>
  <c r="M164" i="7" s="1"/>
  <c r="N164" i="7" s="1"/>
  <c r="O164" i="7" s="1"/>
  <c r="P164" i="7" s="1"/>
  <c r="Q164" i="7" s="1"/>
  <c r="R164" i="7" s="1"/>
  <c r="S164" i="7" s="1"/>
  <c r="T164" i="7" s="1"/>
  <c r="U164" i="7" s="1"/>
  <c r="V164" i="7" s="1"/>
  <c r="W164" i="7" s="1"/>
  <c r="X164" i="7" s="1"/>
  <c r="Y164" i="7" s="1"/>
  <c r="Z164" i="7" s="1"/>
  <c r="AA164" i="7" s="1"/>
  <c r="AB164" i="7" s="1"/>
  <c r="AC164" i="7" s="1"/>
  <c r="AD164" i="7" s="1"/>
  <c r="AE164" i="7" s="1"/>
  <c r="AF164" i="7" s="1"/>
  <c r="AG164" i="7" s="1"/>
  <c r="AH164" i="7" s="1"/>
  <c r="AI164" i="7" s="1"/>
  <c r="AJ164" i="7" s="1"/>
  <c r="C164" i="7"/>
  <c r="G7" i="4"/>
  <c r="M1" i="9"/>
  <c r="I7" i="4" s="1"/>
  <c r="H7" i="4" s="1"/>
  <c r="L1" i="9"/>
  <c r="F7" i="4" s="1"/>
  <c r="K1" i="9"/>
  <c r="AL3" i="7" l="1"/>
  <c r="E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subhash.sreenivas</author>
  </authors>
  <commentList>
    <comment ref="K1" authorId="0" shapeId="0" xr:uid="{00000000-0006-0000-0000-000001000000}">
      <text>
        <r>
          <rPr>
            <sz val="8"/>
            <color indexed="81"/>
            <rFont val="Tahoma"/>
            <family val="2"/>
          </rPr>
          <t xml:space="preserve">This checkbox resolves a conflict between the R or C used in the R1C1 and A1 reference styles - tick this option to use the R1C1 reference style
</t>
        </r>
      </text>
    </comment>
    <comment ref="F2" authorId="0" shapeId="0" xr:uid="{00000000-0006-0000-0000-000002000000}">
      <text>
        <r>
          <rPr>
            <b/>
            <sz val="8"/>
            <color indexed="81"/>
            <rFont val="Tahoma"/>
            <family val="2"/>
          </rPr>
          <t>A timeout message is displayed where processing the Request Table exceeds this time (default is 30 mins)</t>
        </r>
      </text>
    </comment>
    <comment ref="F3" authorId="0" shapeId="0" xr:uid="{00000000-0006-0000-0000-000003000000}">
      <text>
        <r>
          <rPr>
            <b/>
            <sz val="8"/>
            <color indexed="81"/>
            <rFont val="Tahoma"/>
            <family val="2"/>
          </rPr>
          <t>Insert the name of a macro to run before processing starts (Pre-Request Macro) and after processing completes (On Completion Macro)</t>
        </r>
        <r>
          <rPr>
            <sz val="8"/>
            <color indexed="81"/>
            <rFont val="Tahoma"/>
            <family val="2"/>
          </rPr>
          <t xml:space="preserve">
</t>
        </r>
      </text>
    </comment>
    <comment ref="C5" authorId="0" shapeId="0" xr:uid="{00000000-0006-0000-0000-000004000000}">
      <text>
        <r>
          <rPr>
            <sz val="8"/>
            <color indexed="81"/>
            <rFont val="Tahoma"/>
            <family val="2"/>
          </rPr>
          <t>S - Static request
TS - Time series request
TSL - Time series for lists
L - List request
CH- Chart request</t>
        </r>
      </text>
    </comment>
    <comment ref="D5" authorId="0" shapeId="0" xr:uid="{00000000-0006-0000-0000-000005000000}">
      <text>
        <r>
          <rPr>
            <sz val="8"/>
            <color indexed="81"/>
            <rFont val="Tahoma"/>
            <family val="2"/>
          </rPr>
          <t>F - Custom Header
R - Row Titles
C - Column Titles
H - Request Headings
T - Transpose returned Data 
$ - Include currency
X - Data only
E - Display expression 1st series as title
N – Display expression title as title
K - Hyperlink to Series metadata
B - Hyperlink to Datatype definition
M - Display Code
L - Latest Value First
Y - Display dates in Yearly Format
Q - Display dates in Quarterly Format</t>
        </r>
      </text>
    </comment>
    <comment ref="E5" authorId="0" shapeId="0" xr:uid="{00000000-0006-0000-0000-000006000000}">
      <text>
        <r>
          <rPr>
            <sz val="8"/>
            <color indexed="81"/>
            <rFont val="Tahoma"/>
            <family val="2"/>
          </rPr>
          <t xml:space="preserve">Insert any Datastream Series or list mnemonics (ie U:PMK) into this column.
</t>
        </r>
      </text>
    </comment>
    <comment ref="F5" authorId="0" shapeId="0" xr:uid="{00000000-0006-0000-0000-000007000000}">
      <text>
        <r>
          <rPr>
            <sz val="8"/>
            <color indexed="81"/>
            <rFont val="Tahoma"/>
            <family val="2"/>
          </rPr>
          <t>Insert any Datastream Datatypes/Expressions
/Functions into this column.</t>
        </r>
      </text>
    </comment>
    <comment ref="G5" authorId="0" shapeId="0" xr:uid="{00000000-0006-0000-0000-000008000000}">
      <text>
        <r>
          <rPr>
            <sz val="8"/>
            <color indexed="81"/>
            <rFont val="Tahoma"/>
            <family val="2"/>
          </rPr>
          <t xml:space="preserve">Absolute or relative dates are accepted.  (ie -5Y, -2M, -2D, TODAY, DD/MM/YY)
A space should be entered in the start date field to obtain the latest values for company accounts and economics codes
</t>
        </r>
      </text>
    </comment>
    <comment ref="H5" authorId="0" shapeId="0" xr:uid="{00000000-0006-0000-0000-000009000000}">
      <text>
        <r>
          <rPr>
            <sz val="8"/>
            <color indexed="81"/>
            <rFont val="Tahoma"/>
            <family val="2"/>
          </rPr>
          <t xml:space="preserve">Not applicable for Static requests
</t>
        </r>
      </text>
    </comment>
    <comment ref="I5" authorId="0" shapeId="0" xr:uid="{00000000-0006-0000-0000-00000A000000}">
      <text>
        <r>
          <rPr>
            <sz val="8"/>
            <color indexed="81"/>
            <rFont val="Tahoma"/>
            <family val="2"/>
          </rPr>
          <t xml:space="preserve">Not applicable for Static requests
</t>
        </r>
      </text>
    </comment>
    <comment ref="M5" authorId="0" shapeId="0" xr:uid="{00000000-0006-0000-0000-00000B000000}">
      <text>
        <r>
          <rPr>
            <sz val="8"/>
            <color indexed="81"/>
            <rFont val="Tahoma"/>
            <family val="2"/>
          </rPr>
          <t xml:space="preserve">Use this column for user entered descriptions of request
</t>
        </r>
      </text>
    </comment>
  </commentList>
</comments>
</file>

<file path=xl/sharedStrings.xml><?xml version="1.0" encoding="utf-8"?>
<sst xmlns="http://schemas.openxmlformats.org/spreadsheetml/2006/main" count="3992" uniqueCount="3487">
  <si>
    <t/>
  </si>
  <si>
    <t xml:space="preserve">     Last Refreshed: </t>
  </si>
  <si>
    <t>Update</t>
  </si>
  <si>
    <t>Request Type</t>
  </si>
  <si>
    <t>Format</t>
  </si>
  <si>
    <t>Series Lookup</t>
  </si>
  <si>
    <t>Datatype/Expressions</t>
  </si>
  <si>
    <t>Start Date</t>
  </si>
  <si>
    <t>End Date</t>
  </si>
  <si>
    <t>Reserved for Chart Name</t>
  </si>
  <si>
    <t>Status</t>
  </si>
  <si>
    <t>Description</t>
  </si>
  <si>
    <t>Statistics</t>
  </si>
  <si>
    <t>Rows</t>
  </si>
  <si>
    <t>Cols</t>
  </si>
  <si>
    <t>Total</t>
  </si>
  <si>
    <t>Started</t>
  </si>
  <si>
    <t>Finished</t>
  </si>
  <si>
    <t>Duration</t>
  </si>
  <si>
    <t>REQUEST_TABLE</t>
  </si>
  <si>
    <t>Sequencing</t>
  </si>
  <si>
    <t>S</t>
  </si>
  <si>
    <t>Frequency</t>
  </si>
  <si>
    <t xml:space="preserve">Refinitiv Comparable Economics </t>
  </si>
  <si>
    <t>Inputs Needed / Instructions:</t>
  </si>
  <si>
    <t>GEOGN</t>
  </si>
  <si>
    <t>AUSTRALIA</t>
  </si>
  <si>
    <t>BELGIUM</t>
  </si>
  <si>
    <t>CANADA</t>
  </si>
  <si>
    <t>DENMARK</t>
  </si>
  <si>
    <t>GERMANY</t>
  </si>
  <si>
    <t>ITALY</t>
  </si>
  <si>
    <t>JAPAN</t>
  </si>
  <si>
    <t>NETHERLANDS</t>
  </si>
  <si>
    <t>NEW ZEALAND</t>
  </si>
  <si>
    <t>KOREA</t>
  </si>
  <si>
    <t>SPAIN</t>
  </si>
  <si>
    <t>SWEDEN</t>
  </si>
  <si>
    <t>UNITED KINGDOM</t>
  </si>
  <si>
    <t>UNITED STATES</t>
  </si>
  <si>
    <t>Country name</t>
  </si>
  <si>
    <t>Ccode</t>
  </si>
  <si>
    <t>GDP..D</t>
  </si>
  <si>
    <t>GDP..A</t>
  </si>
  <si>
    <t>PCE..D</t>
  </si>
  <si>
    <t>GCE..D</t>
  </si>
  <si>
    <t>GFC..D</t>
  </si>
  <si>
    <t>EXN..D</t>
  </si>
  <si>
    <t>IMN..D</t>
  </si>
  <si>
    <t>MS0..B</t>
  </si>
  <si>
    <t>MS1..B</t>
  </si>
  <si>
    <t>MS2..B</t>
  </si>
  <si>
    <t>MS3..B</t>
  </si>
  <si>
    <t>CPI..E</t>
  </si>
  <si>
    <t>CPI..F</t>
  </si>
  <si>
    <t>PPI..E</t>
  </si>
  <si>
    <t>PPI..F</t>
  </si>
  <si>
    <t>COR..E</t>
  </si>
  <si>
    <t>COR..F</t>
  </si>
  <si>
    <t>EXI..F</t>
  </si>
  <si>
    <t>IMI..F</t>
  </si>
  <si>
    <t>TRM..F</t>
  </si>
  <si>
    <t>EMP..O</t>
  </si>
  <si>
    <t>EMF..O</t>
  </si>
  <si>
    <t>UNP..Q</t>
  </si>
  <si>
    <t>RET..E</t>
  </si>
  <si>
    <t>RET..F</t>
  </si>
  <si>
    <t>IND..G</t>
  </si>
  <si>
    <t>GOV..A</t>
  </si>
  <si>
    <t>CUR..B</t>
  </si>
  <si>
    <t>CUR..Q</t>
  </si>
  <si>
    <t>EXP..B</t>
  </si>
  <si>
    <t>IMP..B</t>
  </si>
  <si>
    <t>VIS..B</t>
  </si>
  <si>
    <t>RES..A</t>
  </si>
  <si>
    <t>-5Y</t>
  </si>
  <si>
    <t>-2Y</t>
  </si>
  <si>
    <t>Albania</t>
  </si>
  <si>
    <t>AL</t>
  </si>
  <si>
    <t>ALCGDP..D</t>
  </si>
  <si>
    <t>ALCGDP..A</t>
  </si>
  <si>
    <t>ALCMS0..B</t>
  </si>
  <si>
    <t>ALCMS1..B</t>
  </si>
  <si>
    <t>ALCMS2..B</t>
  </si>
  <si>
    <t>ALCMS3..B</t>
  </si>
  <si>
    <t>ALCCPI..E</t>
  </si>
  <si>
    <t>ALCCPI..F</t>
  </si>
  <si>
    <t>ALCPPI..E</t>
  </si>
  <si>
    <t>ALCPPI..F</t>
  </si>
  <si>
    <t>ALCEMF..O</t>
  </si>
  <si>
    <t>ALCUNP..Q</t>
  </si>
  <si>
    <t>ALCRES..A</t>
  </si>
  <si>
    <t>Algeria</t>
  </si>
  <si>
    <t>AA</t>
  </si>
  <si>
    <t>AACGDP..A</t>
  </si>
  <si>
    <t>AACMS1..B</t>
  </si>
  <si>
    <t>AACMS2..B</t>
  </si>
  <si>
    <t>AACCPI..E</t>
  </si>
  <si>
    <t>AACCPI..F</t>
  </si>
  <si>
    <t>AACPPI..E</t>
  </si>
  <si>
    <t>AACPPI..F</t>
  </si>
  <si>
    <t>AACEMF..O</t>
  </si>
  <si>
    <t>AACUNP..Q</t>
  </si>
  <si>
    <t>AACRES..A</t>
  </si>
  <si>
    <t>-10Y</t>
  </si>
  <si>
    <t>Angola</t>
  </si>
  <si>
    <t>AO</t>
  </si>
  <si>
    <t>AOCGDP..D</t>
  </si>
  <si>
    <t>AOCGDP..A</t>
  </si>
  <si>
    <t>AOCPCE..D</t>
  </si>
  <si>
    <t>AOCGCE..D</t>
  </si>
  <si>
    <t>AOCGFC..D</t>
  </si>
  <si>
    <t>AOCEXN..D</t>
  </si>
  <si>
    <t>AOCIMN..D</t>
  </si>
  <si>
    <t>AOCMS1..B</t>
  </si>
  <si>
    <t>AOCMS2..B</t>
  </si>
  <si>
    <t>AOCMS3..B</t>
  </si>
  <si>
    <t>AOCCPI..E</t>
  </si>
  <si>
    <t>AOCCPI..F</t>
  </si>
  <si>
    <t>AOCRES..A</t>
  </si>
  <si>
    <t>-15Y</t>
  </si>
  <si>
    <t>Argentina</t>
  </si>
  <si>
    <t>AG</t>
  </si>
  <si>
    <t>AGCGDP..D</t>
  </si>
  <si>
    <t>AGCGDP..A</t>
  </si>
  <si>
    <t>AGCPCE..D</t>
  </si>
  <si>
    <t>AGCGCE..D</t>
  </si>
  <si>
    <t>AGCGFC..D</t>
  </si>
  <si>
    <t>AGCEXN..D</t>
  </si>
  <si>
    <t>AGCIMN..D</t>
  </si>
  <si>
    <t>AGCMS0..B</t>
  </si>
  <si>
    <t>AGCMS1..B</t>
  </si>
  <si>
    <t>AGCMS2..B</t>
  </si>
  <si>
    <t>AGCMS3..B</t>
  </si>
  <si>
    <t>AGCCPI..E</t>
  </si>
  <si>
    <t>AGCCPI..F</t>
  </si>
  <si>
    <t>AGCPPI..E</t>
  </si>
  <si>
    <t>AGCPPI..F</t>
  </si>
  <si>
    <t>AGCEXI..F</t>
  </si>
  <si>
    <t>AGCIMI..F</t>
  </si>
  <si>
    <t>AGCTRM..F</t>
  </si>
  <si>
    <t>AGCUNP..Q</t>
  </si>
  <si>
    <t>AGCRET..E</t>
  </si>
  <si>
    <t>AGCRET..F</t>
  </si>
  <si>
    <t>AGCIND..G</t>
  </si>
  <si>
    <t>AGCGOV..A</t>
  </si>
  <si>
    <t>AGCCUR..B</t>
  </si>
  <si>
    <t>AGCCUR..Q</t>
  </si>
  <si>
    <t>AGCEXP..B</t>
  </si>
  <si>
    <t>AGCIMP..B</t>
  </si>
  <si>
    <t>AGCVIS..B</t>
  </si>
  <si>
    <t>AGCRES..A</t>
  </si>
  <si>
    <t>-20Y</t>
  </si>
  <si>
    <t>Armenia</t>
  </si>
  <si>
    <t>AM</t>
  </si>
  <si>
    <t>AMCGDP..A</t>
  </si>
  <si>
    <t>AMCMS0..B</t>
  </si>
  <si>
    <t>AMCMS1..B</t>
  </si>
  <si>
    <t>AMCMS2..B</t>
  </si>
  <si>
    <t>AMCCPI..E</t>
  </si>
  <si>
    <t>AMCCPI..F</t>
  </si>
  <si>
    <t>AMCPPI..E</t>
  </si>
  <si>
    <t>AMCPPI..F</t>
  </si>
  <si>
    <t>AMCCOR..E</t>
  </si>
  <si>
    <t>AMCCOR..F</t>
  </si>
  <si>
    <t>AMCEMP..O</t>
  </si>
  <si>
    <t>AMCRET..E</t>
  </si>
  <si>
    <t>AMCRET..F</t>
  </si>
  <si>
    <t>AMCRES..A</t>
  </si>
  <si>
    <t>Australia</t>
  </si>
  <si>
    <t>AU</t>
  </si>
  <si>
    <t>AUCGDP..D</t>
  </si>
  <si>
    <t>AUCGDP..A</t>
  </si>
  <si>
    <t>AUCPCE..D</t>
  </si>
  <si>
    <t>AUCGCE..D</t>
  </si>
  <si>
    <t>AUCGFC..D</t>
  </si>
  <si>
    <t>AUCEXN..D</t>
  </si>
  <si>
    <t>AUCIMN..D</t>
  </si>
  <si>
    <t>AUCMS0..B</t>
  </si>
  <si>
    <t>AUCMS1..B</t>
  </si>
  <si>
    <t>AUCMS3..B</t>
  </si>
  <si>
    <t>AUCCPI..E</t>
  </si>
  <si>
    <t>AUCCPI..F</t>
  </si>
  <si>
    <t>AUCPPI..E</t>
  </si>
  <si>
    <t>AUCPPI..F</t>
  </si>
  <si>
    <t>AUCCOR..E</t>
  </si>
  <si>
    <t>AUCCOR..F</t>
  </si>
  <si>
    <t>AUCEXI..F</t>
  </si>
  <si>
    <t>AUCIMI..F</t>
  </si>
  <si>
    <t>AUCTRM..F</t>
  </si>
  <si>
    <t>AUCEMF..O</t>
  </si>
  <si>
    <t>AUCUNP..Q</t>
  </si>
  <si>
    <t>AUCRET..E</t>
  </si>
  <si>
    <t>AUCRET..F</t>
  </si>
  <si>
    <t>AUCIND..G</t>
  </si>
  <si>
    <t>AUCGOV..A</t>
  </si>
  <si>
    <t>AUCCUR..B</t>
  </si>
  <si>
    <t>AUCCUR..Q</t>
  </si>
  <si>
    <t>AUCEXP..B</t>
  </si>
  <si>
    <t>AUCIMP..B</t>
  </si>
  <si>
    <t>AUCVIS..B</t>
  </si>
  <si>
    <t>AUCRES..A</t>
  </si>
  <si>
    <t>Austria</t>
  </si>
  <si>
    <t>OE</t>
  </si>
  <si>
    <t>OECGDP..D</t>
  </si>
  <si>
    <t>OECGDP..A</t>
  </si>
  <si>
    <t>OECPCE..D</t>
  </si>
  <si>
    <t>OECGCE..D</t>
  </si>
  <si>
    <t>OECGFC..D</t>
  </si>
  <si>
    <t>OECEXN..D</t>
  </si>
  <si>
    <t>OECIMN..D</t>
  </si>
  <si>
    <t>OECMS1..B</t>
  </si>
  <si>
    <t>OECMS2..B</t>
  </si>
  <si>
    <t>OECMS3..B</t>
  </si>
  <si>
    <t>OECCPI..E</t>
  </si>
  <si>
    <t>OECCPI..F</t>
  </si>
  <si>
    <t>OECPPI..E</t>
  </si>
  <si>
    <t>OECPPI..F</t>
  </si>
  <si>
    <t>OECCOR..E</t>
  </si>
  <si>
    <t>OECCOR..F</t>
  </si>
  <si>
    <t>OECEXI..F</t>
  </si>
  <si>
    <t>OECIMI..F</t>
  </si>
  <si>
    <t>OECTRM..F</t>
  </si>
  <si>
    <t>OECEMP..O</t>
  </si>
  <si>
    <t>OECEMF..O</t>
  </si>
  <si>
    <t>OECUNP..Q</t>
  </si>
  <si>
    <t>OECRET..E</t>
  </si>
  <si>
    <t>OECRET..F</t>
  </si>
  <si>
    <t>OECIND..G</t>
  </si>
  <si>
    <t>OECGOV..A</t>
  </si>
  <si>
    <t>OECCUR..B</t>
  </si>
  <si>
    <t>OECCUR..Q</t>
  </si>
  <si>
    <t>OECEXP..B</t>
  </si>
  <si>
    <t>OECIMP..B</t>
  </si>
  <si>
    <t>OECVIS..B</t>
  </si>
  <si>
    <t>OECRES..A</t>
  </si>
  <si>
    <t>Azerbaijan</t>
  </si>
  <si>
    <t>AJ</t>
  </si>
  <si>
    <t>AJCGDP..D</t>
  </si>
  <si>
    <t>AJCGDP..A</t>
  </si>
  <si>
    <t>AJCPCE..D</t>
  </si>
  <si>
    <t>AJCGCE..D</t>
  </si>
  <si>
    <t>AJCGFC..D</t>
  </si>
  <si>
    <t>AJCEXN..D</t>
  </si>
  <si>
    <t>AJCIMN..D</t>
  </si>
  <si>
    <t>AJCMS0..B</t>
  </si>
  <si>
    <t>AJCMS1..B</t>
  </si>
  <si>
    <t>AJCMS2..B</t>
  </si>
  <si>
    <t>AJCMS3..B</t>
  </si>
  <si>
    <t>AJCCPI..E</t>
  </si>
  <si>
    <t>AJCCPI..F</t>
  </si>
  <si>
    <t>AJCEMF..O</t>
  </si>
  <si>
    <t>AJCRES..A</t>
  </si>
  <si>
    <t>Bahrain</t>
  </si>
  <si>
    <t>BA</t>
  </si>
  <si>
    <t>BACGDP..D</t>
  </si>
  <si>
    <t>BACGDP..A</t>
  </si>
  <si>
    <t>BACPCE..D</t>
  </si>
  <si>
    <t>BACGCE..D</t>
  </si>
  <si>
    <t>BACGFC..D</t>
  </si>
  <si>
    <t>BACEXN..D</t>
  </si>
  <si>
    <t>BACIMN..D</t>
  </si>
  <si>
    <t>BACMS0..B</t>
  </si>
  <si>
    <t>BACMS1..B</t>
  </si>
  <si>
    <t>BACMS2..B</t>
  </si>
  <si>
    <t>BACMS3..B</t>
  </si>
  <si>
    <t>BACRES..A</t>
  </si>
  <si>
    <t>Bangladesh</t>
  </si>
  <si>
    <t>BS</t>
  </si>
  <si>
    <t>BSCGDP..D</t>
  </si>
  <si>
    <t>BSCGDP..A</t>
  </si>
  <si>
    <t>BSCPCE..D</t>
  </si>
  <si>
    <t>BSCGCE..D</t>
  </si>
  <si>
    <t>BSCGFC..D</t>
  </si>
  <si>
    <t>BSCEXN..D</t>
  </si>
  <si>
    <t>BSCIMN..D</t>
  </si>
  <si>
    <t>BSCMS0..B</t>
  </si>
  <si>
    <t>BSCMS1..B</t>
  </si>
  <si>
    <t>BSCMS2..B</t>
  </si>
  <si>
    <t>BSCMS3..B</t>
  </si>
  <si>
    <t>BSCCPI..E</t>
  </si>
  <si>
    <t>BSCCPI..F</t>
  </si>
  <si>
    <t>BSCIND..G</t>
  </si>
  <si>
    <t>BSCGOV..A</t>
  </si>
  <si>
    <t>BSCCUR..B</t>
  </si>
  <si>
    <t>BSCEXP..B</t>
  </si>
  <si>
    <t>BSCIMP..B</t>
  </si>
  <si>
    <t>BSCVIS..B</t>
  </si>
  <si>
    <t>BSCRES..A</t>
  </si>
  <si>
    <t>Belarus</t>
  </si>
  <si>
    <t>BY</t>
  </si>
  <si>
    <t>BYCGDP..D</t>
  </si>
  <si>
    <t>BYCGDP..A</t>
  </si>
  <si>
    <t>BYCMS0..B</t>
  </si>
  <si>
    <t>BYCMS1..B</t>
  </si>
  <si>
    <t>BYCMS2..B</t>
  </si>
  <si>
    <t>BYCMS3..B</t>
  </si>
  <si>
    <t>BYCCPI..E</t>
  </si>
  <si>
    <t>BYCCPI..F</t>
  </si>
  <si>
    <t>BYCPPI..E</t>
  </si>
  <si>
    <t>BYCPPI..F</t>
  </si>
  <si>
    <t>BYCRES..A</t>
  </si>
  <si>
    <t>Belgium</t>
  </si>
  <si>
    <t>BG</t>
  </si>
  <si>
    <t>BGCGDP..D</t>
  </si>
  <si>
    <t>BGCGDP..A</t>
  </si>
  <si>
    <t>BGCPCE..D</t>
  </si>
  <si>
    <t>BGCGCE..D</t>
  </si>
  <si>
    <t>BGCGFC..D</t>
  </si>
  <si>
    <t>BGCEXN..D</t>
  </si>
  <si>
    <t>BGCIMN..D</t>
  </si>
  <si>
    <t>BGCMS0..B</t>
  </si>
  <si>
    <t>BGCMS1..B</t>
  </si>
  <si>
    <t>BGCMS2..B</t>
  </si>
  <si>
    <t>BGCMS3..B</t>
  </si>
  <si>
    <t>BGCCPI..E</t>
  </si>
  <si>
    <t>BGCCPI..F</t>
  </si>
  <si>
    <t>BGCPPI..E</t>
  </si>
  <si>
    <t>BGCPPI..F</t>
  </si>
  <si>
    <t>BGCEXI..F</t>
  </si>
  <si>
    <t>BGCIMI..F</t>
  </si>
  <si>
    <t>BGCTRM..F</t>
  </si>
  <si>
    <t>BGCEMP..O</t>
  </si>
  <si>
    <t>BGCEMF..O</t>
  </si>
  <si>
    <t>BGCUNP..Q</t>
  </si>
  <si>
    <t>BGCRET..E</t>
  </si>
  <si>
    <t>BGCRET..F</t>
  </si>
  <si>
    <t>BGCIND..G</t>
  </si>
  <si>
    <t>BGCGOV..A</t>
  </si>
  <si>
    <t>BGCCUR..B</t>
  </si>
  <si>
    <t>BGCCUR..Q</t>
  </si>
  <si>
    <t>BGCEXP..B</t>
  </si>
  <si>
    <t>BGCIMP..B</t>
  </si>
  <si>
    <t>BGCVIS..B</t>
  </si>
  <si>
    <t>BGCRES..A</t>
  </si>
  <si>
    <t>Benin</t>
  </si>
  <si>
    <t>BE</t>
  </si>
  <si>
    <t>BECGDP..D</t>
  </si>
  <si>
    <t>BECGDP..A</t>
  </si>
  <si>
    <t>BECPCE..D</t>
  </si>
  <si>
    <t>BECGCE..D</t>
  </si>
  <si>
    <t>BECGFC..D</t>
  </si>
  <si>
    <t>BECEXN..D</t>
  </si>
  <si>
    <t>BECIMN..D</t>
  </si>
  <si>
    <t>BECMS0..B</t>
  </si>
  <si>
    <t>BECMS2..B</t>
  </si>
  <si>
    <t>BECCPI..E</t>
  </si>
  <si>
    <t>BECCPI..F</t>
  </si>
  <si>
    <t>BECRES..A</t>
  </si>
  <si>
    <t>Bolivia</t>
  </si>
  <si>
    <t>BV</t>
  </si>
  <si>
    <t>BVCGDP..D</t>
  </si>
  <si>
    <t>BVCGDP..A</t>
  </si>
  <si>
    <t>BVCPCE..D</t>
  </si>
  <si>
    <t>BVCGCE..D</t>
  </si>
  <si>
    <t>BVCGFC..D</t>
  </si>
  <si>
    <t>BVCEXN..D</t>
  </si>
  <si>
    <t>BVCIMN..D</t>
  </si>
  <si>
    <t>BVCMS1..B</t>
  </si>
  <si>
    <t>BVCMS2..B</t>
  </si>
  <si>
    <t>BVCMS3..B</t>
  </si>
  <si>
    <t>BVCCPI..E</t>
  </si>
  <si>
    <t>BVCCPI..F</t>
  </si>
  <si>
    <t>BVCRES..A</t>
  </si>
  <si>
    <t>Bosnia and Herzegovina</t>
  </si>
  <si>
    <t>BP</t>
  </si>
  <si>
    <t>BPCGDP..D</t>
  </si>
  <si>
    <t>BPCGDP..A</t>
  </si>
  <si>
    <t>BPCPCE..D</t>
  </si>
  <si>
    <t>BPCGCE..D</t>
  </si>
  <si>
    <t>BPCGFC..D</t>
  </si>
  <si>
    <t>BPCEXN..D</t>
  </si>
  <si>
    <t>BPCIMN..D</t>
  </si>
  <si>
    <t>BPCMS0..B</t>
  </si>
  <si>
    <t>BPCMS1..B</t>
  </si>
  <si>
    <t>BPCMS2..B</t>
  </si>
  <si>
    <t>BPCMS3..B</t>
  </si>
  <si>
    <t>BPCEMF..O</t>
  </si>
  <si>
    <t>BPCUNP..Q</t>
  </si>
  <si>
    <t>BPCRES..A</t>
  </si>
  <si>
    <t>Botswana</t>
  </si>
  <si>
    <t>BO</t>
  </si>
  <si>
    <t>BOCGDP..A</t>
  </si>
  <si>
    <t>BOCMS1..B</t>
  </si>
  <si>
    <t>BOCMS2..B</t>
  </si>
  <si>
    <t>BOCMS3..B</t>
  </si>
  <si>
    <t>BOCCPI..E</t>
  </si>
  <si>
    <t>BOCCPI..F</t>
  </si>
  <si>
    <t>BOCRES..A</t>
  </si>
  <si>
    <t>Brazil</t>
  </si>
  <si>
    <t>BR</t>
  </si>
  <si>
    <t>BRCGDP..D</t>
  </si>
  <si>
    <t>BRCGDP..A</t>
  </si>
  <si>
    <t>BRCPCE..D</t>
  </si>
  <si>
    <t>BRCGCE..D</t>
  </si>
  <si>
    <t>BRCGFC..D</t>
  </si>
  <si>
    <t>BRCEXN..D</t>
  </si>
  <si>
    <t>BRCIMN..D</t>
  </si>
  <si>
    <t>BRCMS0..B</t>
  </si>
  <si>
    <t>BRCMS1..B</t>
  </si>
  <si>
    <t>BRCMS2..B</t>
  </si>
  <si>
    <t>BRCMS3..B</t>
  </si>
  <si>
    <t>BRCCPI..E</t>
  </si>
  <si>
    <t>BRCCPI..F</t>
  </si>
  <si>
    <t>BRCPPI..E</t>
  </si>
  <si>
    <t>BRCPPI..F</t>
  </si>
  <si>
    <t>BRCCOR..E</t>
  </si>
  <si>
    <t>BRCCOR..F</t>
  </si>
  <si>
    <t>BRCEXI..F</t>
  </si>
  <si>
    <t>BRCIMI..F</t>
  </si>
  <si>
    <t>BRCTRM..F</t>
  </si>
  <si>
    <t>BRCEMF..O</t>
  </si>
  <si>
    <t>BRCUNP..Q</t>
  </si>
  <si>
    <t>BRCRET..E</t>
  </si>
  <si>
    <t>BRCRET..F</t>
  </si>
  <si>
    <t>BRCIND..G</t>
  </si>
  <si>
    <t>BRCGOV..A</t>
  </si>
  <si>
    <t>BRCCUR..B</t>
  </si>
  <si>
    <t>BRCCUR..Q</t>
  </si>
  <si>
    <t>BRCEXP..B</t>
  </si>
  <si>
    <t>BRCIMP..B</t>
  </si>
  <si>
    <t>BRCVIS..B</t>
  </si>
  <si>
    <t>BRCRES..A</t>
  </si>
  <si>
    <t>Bulgaria</t>
  </si>
  <si>
    <t>BL</t>
  </si>
  <si>
    <t>BLCGDP..D</t>
  </si>
  <si>
    <t>BLCGDP..A</t>
  </si>
  <si>
    <t>BLCPCE..D</t>
  </si>
  <si>
    <t>BLCGCE..D</t>
  </si>
  <si>
    <t>BLCGFC..D</t>
  </si>
  <si>
    <t>BLCEXN..D</t>
  </si>
  <si>
    <t>BLCIMN..D</t>
  </si>
  <si>
    <t>BLCMS0..B</t>
  </si>
  <si>
    <t>BLCMS1..B</t>
  </si>
  <si>
    <t>BLCMS2..B</t>
  </si>
  <si>
    <t>BLCMS3..B</t>
  </si>
  <si>
    <t>BLCCPI..E</t>
  </si>
  <si>
    <t>BLCCPI..F</t>
  </si>
  <si>
    <t>BLCPPI..E</t>
  </si>
  <si>
    <t>BLCPPI..F</t>
  </si>
  <si>
    <t>BLCEMP..O</t>
  </si>
  <si>
    <t>BLCEMF..O</t>
  </si>
  <si>
    <t>BLCUNP..Q</t>
  </si>
  <si>
    <t>BLCIND..G</t>
  </si>
  <si>
    <t>BLCGOV..A</t>
  </si>
  <si>
    <t>BLCCUR..B</t>
  </si>
  <si>
    <t>BLCCUR..Q</t>
  </si>
  <si>
    <t>BLCEXP..B</t>
  </si>
  <si>
    <t>BLCIMP..B</t>
  </si>
  <si>
    <t>BLCVIS..B</t>
  </si>
  <si>
    <t>BLCRES..A</t>
  </si>
  <si>
    <t>Burkina Faso</t>
  </si>
  <si>
    <t>UV</t>
  </si>
  <si>
    <t>UVCGDP..D</t>
  </si>
  <si>
    <t>UVCGDP..A</t>
  </si>
  <si>
    <t>UVCPCE..D</t>
  </si>
  <si>
    <t>UVCGCE..D</t>
  </si>
  <si>
    <t>UVCGFC..D</t>
  </si>
  <si>
    <t>UVCEXN..D</t>
  </si>
  <si>
    <t>UVCIMN..D</t>
  </si>
  <si>
    <t>UVCMS2..B</t>
  </si>
  <si>
    <t>UVCCPI..E</t>
  </si>
  <si>
    <t>UVCCPI..F</t>
  </si>
  <si>
    <t>UVCPPI..E</t>
  </si>
  <si>
    <t>UVCPPI..F</t>
  </si>
  <si>
    <t>UVCRES..A</t>
  </si>
  <si>
    <t>Burundi</t>
  </si>
  <si>
    <t>BN</t>
  </si>
  <si>
    <t>BNCGDP..D</t>
  </si>
  <si>
    <t>BNCGDP..A</t>
  </si>
  <si>
    <t>BNCPCE..D</t>
  </si>
  <si>
    <t>BNCGCE..D</t>
  </si>
  <si>
    <t>BNCGFC..D</t>
  </si>
  <si>
    <t>BNCEXN..D</t>
  </si>
  <si>
    <t>BNCIMN..D</t>
  </si>
  <si>
    <t>BNCMS1..B</t>
  </si>
  <si>
    <t>BNCMS2..B</t>
  </si>
  <si>
    <t>BNCMS3..B</t>
  </si>
  <si>
    <t>BNCCPI..E</t>
  </si>
  <si>
    <t>BNCCPI..F</t>
  </si>
  <si>
    <t>BNCRES..A</t>
  </si>
  <si>
    <t>Cabo Verde</t>
  </si>
  <si>
    <t>CV</t>
  </si>
  <si>
    <t>CVCGDP..D</t>
  </si>
  <si>
    <t>CVCGDP..A</t>
  </si>
  <si>
    <t>CVCMS1..B</t>
  </si>
  <si>
    <t>CVCMS2..B</t>
  </si>
  <si>
    <t>CVCCPI..E</t>
  </si>
  <si>
    <t>CVCCPI..F</t>
  </si>
  <si>
    <t>CVCRES..A</t>
  </si>
  <si>
    <t>Cameroon</t>
  </si>
  <si>
    <t>CA</t>
  </si>
  <si>
    <t>CACCPI..E</t>
  </si>
  <si>
    <t>CACCPI..F</t>
  </si>
  <si>
    <t>Canada</t>
  </si>
  <si>
    <t>CN</t>
  </si>
  <si>
    <t>CNCGDP..D</t>
  </si>
  <si>
    <t>CNCGDP..A</t>
  </si>
  <si>
    <t>CNCPCE..D</t>
  </si>
  <si>
    <t>CNCGCE..D</t>
  </si>
  <si>
    <t>CNCGFC..D</t>
  </si>
  <si>
    <t>CNCEXN..D</t>
  </si>
  <si>
    <t>CNCIMN..D</t>
  </si>
  <si>
    <t>CNCMS0..B</t>
  </si>
  <si>
    <t>CNCMS1..B</t>
  </si>
  <si>
    <t>CNCMS2..B</t>
  </si>
  <si>
    <t>CNCMS3..B</t>
  </si>
  <si>
    <t>CNCCPI..E</t>
  </si>
  <si>
    <t>CNCCPI..F</t>
  </si>
  <si>
    <t>CNCPPI..E</t>
  </si>
  <si>
    <t>CNCPPI..F</t>
  </si>
  <si>
    <t>CNCCOR..E</t>
  </si>
  <si>
    <t>CNCCOR..F</t>
  </si>
  <si>
    <t>CNCEXI..F</t>
  </si>
  <si>
    <t>CNCIMI..F</t>
  </si>
  <si>
    <t>CNCTRM..F</t>
  </si>
  <si>
    <t>CNCEMP..O</t>
  </si>
  <si>
    <t>CNCEMF..O</t>
  </si>
  <si>
    <t>CNCUNP..Q</t>
  </si>
  <si>
    <t>CNCRET..E</t>
  </si>
  <si>
    <t>CNCRET..F</t>
  </si>
  <si>
    <t>CNCIND..G</t>
  </si>
  <si>
    <t>CNCGOV..A</t>
  </si>
  <si>
    <t>CNCCUR..B</t>
  </si>
  <si>
    <t>CNCCUR..Q</t>
  </si>
  <si>
    <t>CNCEXP..B</t>
  </si>
  <si>
    <t>CNCIMP..B</t>
  </si>
  <si>
    <t>CNCVIS..B</t>
  </si>
  <si>
    <t>CNCRES..A</t>
  </si>
  <si>
    <t>Central African Republic</t>
  </si>
  <si>
    <t>CE</t>
  </si>
  <si>
    <t>CECCPI..E</t>
  </si>
  <si>
    <t>CECCPI..F</t>
  </si>
  <si>
    <t>Chad</t>
  </si>
  <si>
    <t>CD</t>
  </si>
  <si>
    <t>CDCGDP..D</t>
  </si>
  <si>
    <t>CDCGDP..A</t>
  </si>
  <si>
    <t>CDCMS1..B</t>
  </si>
  <si>
    <t>CDCMS2..B</t>
  </si>
  <si>
    <t>CDCCPI..E</t>
  </si>
  <si>
    <t>CDCCPI..F</t>
  </si>
  <si>
    <t>CDCRES..A</t>
  </si>
  <si>
    <t>Chile</t>
  </si>
  <si>
    <t>CL</t>
  </si>
  <si>
    <t>CLCGDP..D</t>
  </si>
  <si>
    <t>CLCGDP..A</t>
  </si>
  <si>
    <t>CLCPCE..D</t>
  </si>
  <si>
    <t>CLCGCE..D</t>
  </si>
  <si>
    <t>CLCGFC..D</t>
  </si>
  <si>
    <t>CLCEXN..D</t>
  </si>
  <si>
    <t>CLCIMN..D</t>
  </si>
  <si>
    <t>CLCMS1..B</t>
  </si>
  <si>
    <t>CLCMS2..B</t>
  </si>
  <si>
    <t>CLCMS3..B</t>
  </si>
  <si>
    <t>CLCCPI..E</t>
  </si>
  <si>
    <t>CLCCPI..F</t>
  </si>
  <si>
    <t>CLCPPI..E</t>
  </si>
  <si>
    <t>CLCPPI..F</t>
  </si>
  <si>
    <t>CLCCOR..E</t>
  </si>
  <si>
    <t>CLCCOR..F</t>
  </si>
  <si>
    <t>CLCEXI..F</t>
  </si>
  <si>
    <t>CLCIMI..F</t>
  </si>
  <si>
    <t>CLCTRM..F</t>
  </si>
  <si>
    <t>CLCEMF..O</t>
  </si>
  <si>
    <t>CLCUNP..Q</t>
  </si>
  <si>
    <t>CLCRET..E</t>
  </si>
  <si>
    <t>CLCRET..F</t>
  </si>
  <si>
    <t>CLCIND..G</t>
  </si>
  <si>
    <t>CLCGOV..A</t>
  </si>
  <si>
    <t>CLCCUR..B</t>
  </si>
  <si>
    <t>CLCCUR..Q</t>
  </si>
  <si>
    <t>CLCEXP..B</t>
  </si>
  <si>
    <t>CLCIMP..B</t>
  </si>
  <si>
    <t>CLCVIS..B</t>
  </si>
  <si>
    <t>CLCRES..A</t>
  </si>
  <si>
    <t>China</t>
  </si>
  <si>
    <t>CH</t>
  </si>
  <si>
    <t>CHCGDP..D</t>
  </si>
  <si>
    <t>CHCGDP..A</t>
  </si>
  <si>
    <t>CHCPCE..D</t>
  </si>
  <si>
    <t>CHCGCE..D</t>
  </si>
  <si>
    <t>CHCGFC..D</t>
  </si>
  <si>
    <t>CHCEXN..D</t>
  </si>
  <si>
    <t>CHCIMN..D</t>
  </si>
  <si>
    <t>CHCMS0..B</t>
  </si>
  <si>
    <t>CHCMS1..B</t>
  </si>
  <si>
    <t>CHCMS2..B</t>
  </si>
  <si>
    <t>CHCCPI..E</t>
  </si>
  <si>
    <t>CHCCPI..F</t>
  </si>
  <si>
    <t>CHCCOR..E</t>
  </si>
  <si>
    <t>CHCCOR..F</t>
  </si>
  <si>
    <t>CHCEMP..O</t>
  </si>
  <si>
    <t>CHCEMF..O</t>
  </si>
  <si>
    <t>CHCUNP..Q</t>
  </si>
  <si>
    <t>CHCRET..E</t>
  </si>
  <si>
    <t>CHCRET..F</t>
  </si>
  <si>
    <t>CHCGOV..A</t>
  </si>
  <si>
    <t>CHCCUR..B</t>
  </si>
  <si>
    <t>CHCCUR..Q</t>
  </si>
  <si>
    <t>CHCEXP..B</t>
  </si>
  <si>
    <t>CHCIMP..B</t>
  </si>
  <si>
    <t>CHCVIS..B</t>
  </si>
  <si>
    <t>CHCRES..A</t>
  </si>
  <si>
    <t>Colombia</t>
  </si>
  <si>
    <t>CB</t>
  </si>
  <si>
    <t>CBCGDP..D</t>
  </si>
  <si>
    <t>CBCGDP..A</t>
  </si>
  <si>
    <t>CBCPCE..D</t>
  </si>
  <si>
    <t>CBCGCE..D</t>
  </si>
  <si>
    <t>CBCGFC..D</t>
  </si>
  <si>
    <t>CBCEXN..D</t>
  </si>
  <si>
    <t>CBCIMN..D</t>
  </si>
  <si>
    <t>CBCMS0..B</t>
  </si>
  <si>
    <t>CBCMS1..B</t>
  </si>
  <si>
    <t>CBCMS2..B</t>
  </si>
  <si>
    <t>CBCMS3..B</t>
  </si>
  <si>
    <t>CBCCPI..E</t>
  </si>
  <si>
    <t>CBCCPI..F</t>
  </si>
  <si>
    <t>CBCPPI..E</t>
  </si>
  <si>
    <t>CBCPPI..F</t>
  </si>
  <si>
    <t>CBCCOR..E</t>
  </si>
  <si>
    <t>CBCCOR..F</t>
  </si>
  <si>
    <t>CBCEXI..F</t>
  </si>
  <si>
    <t>CBCIMI..F</t>
  </si>
  <si>
    <t>CBCTRM..F</t>
  </si>
  <si>
    <t>CBCEMF..O</t>
  </si>
  <si>
    <t>CBCUNP..Q</t>
  </si>
  <si>
    <t>CBCIND..G</t>
  </si>
  <si>
    <t>CBCGOV..A</t>
  </si>
  <si>
    <t>CBCCUR..B</t>
  </si>
  <si>
    <t>CBCCUR..Q</t>
  </si>
  <si>
    <t>CBCEXP..B</t>
  </si>
  <si>
    <t>CBCIMP..B</t>
  </si>
  <si>
    <t>CBCVIS..B</t>
  </si>
  <si>
    <t>CBCRES..A</t>
  </si>
  <si>
    <t>Comoros</t>
  </si>
  <si>
    <t>CM</t>
  </si>
  <si>
    <t>CMCGDP..D</t>
  </si>
  <si>
    <t>CMCGDP..A</t>
  </si>
  <si>
    <t>CMCPCE..D</t>
  </si>
  <si>
    <t>CMCGCE..D</t>
  </si>
  <si>
    <t>CMCGFC..D</t>
  </si>
  <si>
    <t>CMCEXN..D</t>
  </si>
  <si>
    <t>CMCIMN..D</t>
  </si>
  <si>
    <t>CMCMS1..B</t>
  </si>
  <si>
    <t>CMCMS2..B</t>
  </si>
  <si>
    <t>CMCCPI..E</t>
  </si>
  <si>
    <t>CMCCPI..F</t>
  </si>
  <si>
    <t>CMCRES..A</t>
  </si>
  <si>
    <t>Congo</t>
  </si>
  <si>
    <t>CO</t>
  </si>
  <si>
    <t>COCCPI..E</t>
  </si>
  <si>
    <t>COCCPI..F</t>
  </si>
  <si>
    <t>Congo, The Democratic Republic of the</t>
  </si>
  <si>
    <t>ZA</t>
  </si>
  <si>
    <t>ZACGDP..D</t>
  </si>
  <si>
    <t>ZACGDP..A</t>
  </si>
  <si>
    <t>ZACPCE..D</t>
  </si>
  <si>
    <t>ZACGCE..D</t>
  </si>
  <si>
    <t>ZACGFC..D</t>
  </si>
  <si>
    <t>ZACEXN..D</t>
  </si>
  <si>
    <t>ZACIMN..D</t>
  </si>
  <si>
    <t>ZACMS1..B</t>
  </si>
  <si>
    <t>ZACMS2..B</t>
  </si>
  <si>
    <t>ZACEXI..F</t>
  </si>
  <si>
    <t>ZACIMI..F</t>
  </si>
  <si>
    <t>ZACTRM..F</t>
  </si>
  <si>
    <t>ZACEMF..O</t>
  </si>
  <si>
    <t>ZACUNP..Q</t>
  </si>
  <si>
    <t>ZACRES..A</t>
  </si>
  <si>
    <t>Costa Rica</t>
  </si>
  <si>
    <t>CR</t>
  </si>
  <si>
    <t>CRCGDP..A</t>
  </si>
  <si>
    <t>CRCMS1..B</t>
  </si>
  <si>
    <t>CRCMS2..B</t>
  </si>
  <si>
    <t>CRCMS3..B</t>
  </si>
  <si>
    <t>CRCCPI..E</t>
  </si>
  <si>
    <t>CRCCPI..F</t>
  </si>
  <si>
    <t>CRCPPI..E</t>
  </si>
  <si>
    <t>CRCPPI..F</t>
  </si>
  <si>
    <t>CRCEMF..O</t>
  </si>
  <si>
    <t>CRCRES..A</t>
  </si>
  <si>
    <t>Cote D'Ivoire</t>
  </si>
  <si>
    <t>IV</t>
  </si>
  <si>
    <t>IVCGDP..D</t>
  </si>
  <si>
    <t>IVCGDP..A</t>
  </si>
  <si>
    <t>IVCPCE..D</t>
  </si>
  <si>
    <t>IVCGCE..D</t>
  </si>
  <si>
    <t>IVCGFC..D</t>
  </si>
  <si>
    <t>IVCEXN..D</t>
  </si>
  <si>
    <t>IVCIMN..D</t>
  </si>
  <si>
    <t>IVCMS0..B</t>
  </si>
  <si>
    <t>IVCMS2..B</t>
  </si>
  <si>
    <t>IVCCPI..E</t>
  </si>
  <si>
    <t>IVCCPI..F</t>
  </si>
  <si>
    <t>IVCRES..A</t>
  </si>
  <si>
    <t>Croatia</t>
  </si>
  <si>
    <t>CT</t>
  </si>
  <si>
    <t>CTCGDP..D</t>
  </si>
  <si>
    <t>CTCGDP..A</t>
  </si>
  <si>
    <t>CTCPCE..D</t>
  </si>
  <si>
    <t>CTCGCE..D</t>
  </si>
  <si>
    <t>CTCGFC..D</t>
  </si>
  <si>
    <t>CTCEXN..D</t>
  </si>
  <si>
    <t>CTCIMN..D</t>
  </si>
  <si>
    <t>CTCMS0..B</t>
  </si>
  <si>
    <t>CTCMS1..B</t>
  </si>
  <si>
    <t>CTCCPI..E</t>
  </si>
  <si>
    <t>CTCCPI..F</t>
  </si>
  <si>
    <t>CTCPPI..E</t>
  </si>
  <si>
    <t>CTCPPI..F</t>
  </si>
  <si>
    <t>CTCCOR..E</t>
  </si>
  <si>
    <t>CTCCOR..F</t>
  </si>
  <si>
    <t>CTCEMP..O</t>
  </si>
  <si>
    <t>CTCEMF..O</t>
  </si>
  <si>
    <t>CTCUNP..Q</t>
  </si>
  <si>
    <t>CTCRET..E</t>
  </si>
  <si>
    <t>CTCRET..F</t>
  </si>
  <si>
    <t>CTCIND..G</t>
  </si>
  <si>
    <t>CTCGOV..A</t>
  </si>
  <si>
    <t>CTCCUR..B</t>
  </si>
  <si>
    <t>CTCCUR..Q</t>
  </si>
  <si>
    <t>CTCEXP..B</t>
  </si>
  <si>
    <t>CTCIMP..B</t>
  </si>
  <si>
    <t>CTCVIS..B</t>
  </si>
  <si>
    <t>CTCRES..A</t>
  </si>
  <si>
    <t>Cyprus</t>
  </si>
  <si>
    <t>CP</t>
  </si>
  <si>
    <t>CPCGDP..D</t>
  </si>
  <si>
    <t>CPCGDP..A</t>
  </si>
  <si>
    <t>CPCPCE..D</t>
  </si>
  <si>
    <t>CPCGCE..D</t>
  </si>
  <si>
    <t>CPCGFC..D</t>
  </si>
  <si>
    <t>CPCEXN..D</t>
  </si>
  <si>
    <t>CPCIMN..D</t>
  </si>
  <si>
    <t>CPCCPI..E</t>
  </si>
  <si>
    <t>CPCCPI..F</t>
  </si>
  <si>
    <t>CPCPPI..E</t>
  </si>
  <si>
    <t>CPCPPI..F</t>
  </si>
  <si>
    <t>CPCEMP..O</t>
  </si>
  <si>
    <t>CPCEMF..O</t>
  </si>
  <si>
    <t>CPCUNP..Q</t>
  </si>
  <si>
    <t>CPCRET..E</t>
  </si>
  <si>
    <t>CPCRET..F</t>
  </si>
  <si>
    <t>CPCIND..G</t>
  </si>
  <si>
    <t>CPCGOV..A</t>
  </si>
  <si>
    <t>CPCCUR..B</t>
  </si>
  <si>
    <t>CPCCUR..Q</t>
  </si>
  <si>
    <t>CPCEXP..B</t>
  </si>
  <si>
    <t>CPCIMP..B</t>
  </si>
  <si>
    <t>CPCVIS..B</t>
  </si>
  <si>
    <t>CPCRES..A</t>
  </si>
  <si>
    <t>Czech Republic</t>
  </si>
  <si>
    <t>CZ</t>
  </si>
  <si>
    <t>CZCGDP..D</t>
  </si>
  <si>
    <t>CZCGDP..A</t>
  </si>
  <si>
    <t>CZCPCE..D</t>
  </si>
  <si>
    <t>CZCGCE..D</t>
  </si>
  <si>
    <t>CZCGFC..D</t>
  </si>
  <si>
    <t>CZCEXN..D</t>
  </si>
  <si>
    <t>CZCIMN..D</t>
  </si>
  <si>
    <t>CZCMS0..B</t>
  </si>
  <si>
    <t>CZCMS1..B</t>
  </si>
  <si>
    <t>CZCMS2..B</t>
  </si>
  <si>
    <t>CZCMS3..B</t>
  </si>
  <si>
    <t>CZCCPI..E</t>
  </si>
  <si>
    <t>CZCCPI..F</t>
  </si>
  <si>
    <t>CZCPPI..E</t>
  </si>
  <si>
    <t>CZCPPI..F</t>
  </si>
  <si>
    <t>CZCCOR..E</t>
  </si>
  <si>
    <t>CZCCOR..F</t>
  </si>
  <si>
    <t>CZCEXI..F</t>
  </si>
  <si>
    <t>CZCIMI..F</t>
  </si>
  <si>
    <t>CZCTRM..F</t>
  </si>
  <si>
    <t>CZCEMP..O</t>
  </si>
  <si>
    <t>CZCEMF..O</t>
  </si>
  <si>
    <t>CZCUNP..Q</t>
  </si>
  <si>
    <t>CZCRET..E</t>
  </si>
  <si>
    <t>CZCRET..F</t>
  </si>
  <si>
    <t>CZCIND..G</t>
  </si>
  <si>
    <t>CZCGOV..A</t>
  </si>
  <si>
    <t>CZCCUR..B</t>
  </si>
  <si>
    <t>CZCCUR..Q</t>
  </si>
  <si>
    <t>CZCEXP..B</t>
  </si>
  <si>
    <t>CZCIMP..B</t>
  </si>
  <si>
    <t>CZCVIS..B</t>
  </si>
  <si>
    <t>CZCRES..A</t>
  </si>
  <si>
    <t>Denmark</t>
  </si>
  <si>
    <t>DK</t>
  </si>
  <si>
    <t>DKCGDP..D</t>
  </si>
  <si>
    <t>DKCGDP..A</t>
  </si>
  <si>
    <t>DKCPCE..D</t>
  </si>
  <si>
    <t>DKCGCE..D</t>
  </si>
  <si>
    <t>DKCGFC..D</t>
  </si>
  <si>
    <t>DKCEXN..D</t>
  </si>
  <si>
    <t>DKCIMN..D</t>
  </si>
  <si>
    <t>DKCMS0..B</t>
  </si>
  <si>
    <t>DKCMS1..B</t>
  </si>
  <si>
    <t>DKCMS2..B</t>
  </si>
  <si>
    <t>DKCMS3..B</t>
  </si>
  <si>
    <t>DKCCPI..E</t>
  </si>
  <si>
    <t>DKCCPI..F</t>
  </si>
  <si>
    <t>DKCPPI..E</t>
  </si>
  <si>
    <t>DKCPPI..F</t>
  </si>
  <si>
    <t>DKCCOR..E</t>
  </si>
  <si>
    <t>DKCCOR..F</t>
  </si>
  <si>
    <t>DKCEXI..F</t>
  </si>
  <si>
    <t>DKCIMI..F</t>
  </si>
  <si>
    <t>DKCTRM..F</t>
  </si>
  <si>
    <t>DKCEMP..O</t>
  </si>
  <si>
    <t>DKCEMF..O</t>
  </si>
  <si>
    <t>DKCUNP..Q</t>
  </si>
  <si>
    <t>DKCRET..E</t>
  </si>
  <si>
    <t>DKCRET..F</t>
  </si>
  <si>
    <t>DKCIND..G</t>
  </si>
  <si>
    <t>DKCGOV..A</t>
  </si>
  <si>
    <t>DKCCUR..B</t>
  </si>
  <si>
    <t>DKCCUR..Q</t>
  </si>
  <si>
    <t>DKCEXP..B</t>
  </si>
  <si>
    <t>DKCIMP..B</t>
  </si>
  <si>
    <t>DKCVIS..B</t>
  </si>
  <si>
    <t>DKCRES..A</t>
  </si>
  <si>
    <t>Djibouti</t>
  </si>
  <si>
    <t>DJ</t>
  </si>
  <si>
    <t>DJCGDP..D</t>
  </si>
  <si>
    <t>DJCGDP..A</t>
  </si>
  <si>
    <t>DJCRES..A</t>
  </si>
  <si>
    <t>Dominican Republic</t>
  </si>
  <si>
    <t>DR</t>
  </si>
  <si>
    <t>DRCGDP..D</t>
  </si>
  <si>
    <t>DRCGDP..A</t>
  </si>
  <si>
    <t>DRCPCE..D</t>
  </si>
  <si>
    <t>DRCGCE..D</t>
  </si>
  <si>
    <t>DRCGFC..D</t>
  </si>
  <si>
    <t>DRCEXN..D</t>
  </si>
  <si>
    <t>DRCIMN..D</t>
  </si>
  <si>
    <t>DRCMS1..B</t>
  </si>
  <si>
    <t>DRCMS2..B</t>
  </si>
  <si>
    <t>DRCMS3..B</t>
  </si>
  <si>
    <t>DRCCPI..E</t>
  </si>
  <si>
    <t>DRCCPI..F</t>
  </si>
  <si>
    <t>DRCCOR..E</t>
  </si>
  <si>
    <t>DRCCOR..F</t>
  </si>
  <si>
    <t>DRCUNP..Q</t>
  </si>
  <si>
    <t>DRCRES..A</t>
  </si>
  <si>
    <t>Ecuador</t>
  </si>
  <si>
    <t>ED</t>
  </si>
  <si>
    <t>EDCGDP..D</t>
  </si>
  <si>
    <t>EDCGDP..A</t>
  </si>
  <si>
    <t>EDCPCE..D</t>
  </si>
  <si>
    <t>EDCGCE..D</t>
  </si>
  <si>
    <t>EDCGFC..D</t>
  </si>
  <si>
    <t>EDCEXN..D</t>
  </si>
  <si>
    <t>EDCIMN..D</t>
  </si>
  <si>
    <t>EDCMS1..B</t>
  </si>
  <si>
    <t>EDCMS2..B</t>
  </si>
  <si>
    <t>EDCCPI..E</t>
  </si>
  <si>
    <t>EDCCPI..F</t>
  </si>
  <si>
    <t>EDCPPI..E</t>
  </si>
  <si>
    <t>EDCPPI..F</t>
  </si>
  <si>
    <t>EDCEXI..F</t>
  </si>
  <si>
    <t>EDCIMI..F</t>
  </si>
  <si>
    <t>EDCTRM..F</t>
  </si>
  <si>
    <t>EDCUNP..Q</t>
  </si>
  <si>
    <t>EDCIND..G</t>
  </si>
  <si>
    <t>EDCGOV..A</t>
  </si>
  <si>
    <t>EDCCUR..B</t>
  </si>
  <si>
    <t>EDCCUR..Q</t>
  </si>
  <si>
    <t>EDCEXP..B</t>
  </si>
  <si>
    <t>EDCIMP..B</t>
  </si>
  <si>
    <t>EDCVIS..B</t>
  </si>
  <si>
    <t>EDCRES..A</t>
  </si>
  <si>
    <t>Egypt</t>
  </si>
  <si>
    <t>EY</t>
  </si>
  <si>
    <t>EYCGDP..D</t>
  </si>
  <si>
    <t>EYCGDP..A</t>
  </si>
  <si>
    <t>EYCPCE..D</t>
  </si>
  <si>
    <t>EYCGCE..D</t>
  </si>
  <si>
    <t>EYCGFC..D</t>
  </si>
  <si>
    <t>EYCEXN..D</t>
  </si>
  <si>
    <t>EYCIMN..D</t>
  </si>
  <si>
    <t>EYCMS0..B</t>
  </si>
  <si>
    <t>EYCMS1..B</t>
  </si>
  <si>
    <t>EYCMS2..B</t>
  </si>
  <si>
    <t>EYCCPI..E</t>
  </si>
  <si>
    <t>EYCCPI..F</t>
  </si>
  <si>
    <t>EYCPPI..E</t>
  </si>
  <si>
    <t>EYCPPI..F</t>
  </si>
  <si>
    <t>EYCCOR..E</t>
  </si>
  <si>
    <t>EYCCOR..F</t>
  </si>
  <si>
    <t>EYCEMF..O</t>
  </si>
  <si>
    <t>EYCUNP..Q</t>
  </si>
  <si>
    <t>EYCIND..G</t>
  </si>
  <si>
    <t>EYCGOV..A</t>
  </si>
  <si>
    <t>EYCCUR..B</t>
  </si>
  <si>
    <t>EYCCUR..Q</t>
  </si>
  <si>
    <t>EYCEXP..B</t>
  </si>
  <si>
    <t>EYCIMP..B</t>
  </si>
  <si>
    <t>EYCVIS..B</t>
  </si>
  <si>
    <t>EYCRES..A</t>
  </si>
  <si>
    <t>El Salvador</t>
  </si>
  <si>
    <t>EL</t>
  </si>
  <si>
    <t>ELCGDP..A</t>
  </si>
  <si>
    <t>ELCMS1..B</t>
  </si>
  <si>
    <t>ELCMS2..B</t>
  </si>
  <si>
    <t>ELCMS3..B</t>
  </si>
  <si>
    <t>ELCCPI..E</t>
  </si>
  <si>
    <t>ELCCPI..F</t>
  </si>
  <si>
    <t>ELCPPI..E</t>
  </si>
  <si>
    <t>ELCPPI..F</t>
  </si>
  <si>
    <t>ELCEMF..O</t>
  </si>
  <si>
    <t>ELCUNP..Q</t>
  </si>
  <si>
    <t>ELCRES..A</t>
  </si>
  <si>
    <t>Equatorial Guinea</t>
  </si>
  <si>
    <t>EQ</t>
  </si>
  <si>
    <t>EQCGDP..D</t>
  </si>
  <si>
    <t>EQCGDP..A</t>
  </si>
  <si>
    <t>EQCPCE..D</t>
  </si>
  <si>
    <t>EQCGCE..D</t>
  </si>
  <si>
    <t>EQCGFC..D</t>
  </si>
  <si>
    <t>EQCEXN..D</t>
  </si>
  <si>
    <t>EQCIMN..D</t>
  </si>
  <si>
    <t>EQCMS1..B</t>
  </si>
  <si>
    <t>EQCMS2..B</t>
  </si>
  <si>
    <t>EQCCPI..E</t>
  </si>
  <si>
    <t>EQCCPI..F</t>
  </si>
  <si>
    <t>EQCRES..A</t>
  </si>
  <si>
    <t>Estonia</t>
  </si>
  <si>
    <t>EO</t>
  </si>
  <si>
    <t>EOCGDP..D</t>
  </si>
  <si>
    <t>EOCGDP..A</t>
  </si>
  <si>
    <t>EOCPCE..D</t>
  </si>
  <si>
    <t>EOCGCE..D</t>
  </si>
  <si>
    <t>EOCGFC..D</t>
  </si>
  <si>
    <t>EOCEXN..D</t>
  </si>
  <si>
    <t>EOCIMN..D</t>
  </si>
  <si>
    <t>EOCMS1..B</t>
  </si>
  <si>
    <t>EOCMS2..B</t>
  </si>
  <si>
    <t>EOCMS3..B</t>
  </si>
  <si>
    <t>EOCCPI..E</t>
  </si>
  <si>
    <t>EOCCPI..F</t>
  </si>
  <si>
    <t>EOCPPI..E</t>
  </si>
  <si>
    <t>EOCPPI..F</t>
  </si>
  <si>
    <t>EOCEXI..F</t>
  </si>
  <si>
    <t>EOCIMI..F</t>
  </si>
  <si>
    <t>EOCTRM..F</t>
  </si>
  <si>
    <t>EOCEMF..O</t>
  </si>
  <si>
    <t>EOCUNP..Q</t>
  </si>
  <si>
    <t>EOCRET..E</t>
  </si>
  <si>
    <t>EOCRET..F</t>
  </si>
  <si>
    <t>EOCIND..G</t>
  </si>
  <si>
    <t>EOCGOV..A</t>
  </si>
  <si>
    <t>EOCCUR..B</t>
  </si>
  <si>
    <t>EOCCUR..Q</t>
  </si>
  <si>
    <t>EOCEXP..B</t>
  </si>
  <si>
    <t>EOCIMP..B</t>
  </si>
  <si>
    <t>EOCVIS..B</t>
  </si>
  <si>
    <t>EOCRES..A</t>
  </si>
  <si>
    <t>Ethiopia</t>
  </si>
  <si>
    <t>ET</t>
  </si>
  <si>
    <t>ETCGDP..D</t>
  </si>
  <si>
    <t>ETCGDP..A</t>
  </si>
  <si>
    <t>ETCPCE..D</t>
  </si>
  <si>
    <t>ETCGCE..D</t>
  </si>
  <si>
    <t>ETCGFC..D</t>
  </si>
  <si>
    <t>ETCEXN..D</t>
  </si>
  <si>
    <t>ETCIMN..D</t>
  </si>
  <si>
    <t>ETCCPI..E</t>
  </si>
  <si>
    <t>ETCCPI..F</t>
  </si>
  <si>
    <t>Eurozone</t>
  </si>
  <si>
    <t>EK</t>
  </si>
  <si>
    <t>EKCGDP..D</t>
  </si>
  <si>
    <t>EKCGDP..A</t>
  </si>
  <si>
    <t>EKCPCE..D</t>
  </si>
  <si>
    <t>EKCGCE..D</t>
  </si>
  <si>
    <t>EKCGFC..D</t>
  </si>
  <si>
    <t>EKCEXN..D</t>
  </si>
  <si>
    <t>EKCIMN..D</t>
  </si>
  <si>
    <t>EKCMS1..B</t>
  </si>
  <si>
    <t>EKCMS2..B</t>
  </si>
  <si>
    <t>EKCMS3..B</t>
  </si>
  <si>
    <t>EKCCPI..E</t>
  </si>
  <si>
    <t>EKCCPI..F</t>
  </si>
  <si>
    <t>EKCCOR..E</t>
  </si>
  <si>
    <t>EKCCOR..F</t>
  </si>
  <si>
    <t>EKCUNP..Q</t>
  </si>
  <si>
    <t>EKCIND..G</t>
  </si>
  <si>
    <t>EKCGOV..A</t>
  </si>
  <si>
    <t>EKCCUR..B</t>
  </si>
  <si>
    <t>EKCCUR..Q</t>
  </si>
  <si>
    <t>EKCEXP..B</t>
  </si>
  <si>
    <t>EKCIMP..B</t>
  </si>
  <si>
    <t>EKCVIS..B</t>
  </si>
  <si>
    <t>EKCRES..A</t>
  </si>
  <si>
    <t>Finland</t>
  </si>
  <si>
    <t>FN</t>
  </si>
  <si>
    <t>FNCGDP..D</t>
  </si>
  <si>
    <t>FNCGDP..A</t>
  </si>
  <si>
    <t>FNCPCE..D</t>
  </si>
  <si>
    <t>FNCGCE..D</t>
  </si>
  <si>
    <t>FNCGFC..D</t>
  </si>
  <si>
    <t>FNCEXN..D</t>
  </si>
  <si>
    <t>FNCIMN..D</t>
  </si>
  <si>
    <t>FNCMS0..B</t>
  </si>
  <si>
    <t>FNCMS1..B</t>
  </si>
  <si>
    <t>FNCMS2..B</t>
  </si>
  <si>
    <t>FNCMS3..B</t>
  </si>
  <si>
    <t>FNCCPI..E</t>
  </si>
  <si>
    <t>FNCCPI..F</t>
  </si>
  <si>
    <t>FNCPPI..E</t>
  </si>
  <si>
    <t>FNCPPI..F</t>
  </si>
  <si>
    <t>FNCEXI..F</t>
  </si>
  <si>
    <t>FNCIMI..F</t>
  </si>
  <si>
    <t>FNCTRM..F</t>
  </si>
  <si>
    <t>FNCEMP..O</t>
  </si>
  <si>
    <t>FNCEMF..O</t>
  </si>
  <si>
    <t>FNCUNP..Q</t>
  </si>
  <si>
    <t>FNCIND..G</t>
  </si>
  <si>
    <t>FNCGOV..A</t>
  </si>
  <si>
    <t>FNCCUR..B</t>
  </si>
  <si>
    <t>FNCCUR..Q</t>
  </si>
  <si>
    <t>FNCEXP..B</t>
  </si>
  <si>
    <t>FNCIMP..B</t>
  </si>
  <si>
    <t>FNCVIS..B</t>
  </si>
  <si>
    <t>FNCRES..A</t>
  </si>
  <si>
    <t>France</t>
  </si>
  <si>
    <t>FR</t>
  </si>
  <si>
    <t>FRCGDP..D</t>
  </si>
  <si>
    <t>FRCGDP..A</t>
  </si>
  <si>
    <t>FRCPCE..D</t>
  </si>
  <si>
    <t>FRCGCE..D</t>
  </si>
  <si>
    <t>FRCGFC..D</t>
  </si>
  <si>
    <t>FRCEXN..D</t>
  </si>
  <si>
    <t>FRCIMN..D</t>
  </si>
  <si>
    <t>FRCMS1..B</t>
  </si>
  <si>
    <t>FRCMS2..B</t>
  </si>
  <si>
    <t>FRCMS3..B</t>
  </si>
  <si>
    <t>FRCCPI..E</t>
  </si>
  <si>
    <t>FRCCPI..F</t>
  </si>
  <si>
    <t>FRCPPI..E</t>
  </si>
  <si>
    <t>FRCPPI..F</t>
  </si>
  <si>
    <t>FRCCOR..E</t>
  </si>
  <si>
    <t>FRCCOR..F</t>
  </si>
  <si>
    <t>FRCEXI..F</t>
  </si>
  <si>
    <t>FRCIMI..F</t>
  </si>
  <si>
    <t>FRCTRM..F</t>
  </si>
  <si>
    <t>FRCEMF..O</t>
  </si>
  <si>
    <t>FRCUNP..Q</t>
  </si>
  <si>
    <t>FRCIND..G</t>
  </si>
  <si>
    <t>FRCGOV..A</t>
  </si>
  <si>
    <t>FRCCUR..B</t>
  </si>
  <si>
    <t>FRCCUR..Q</t>
  </si>
  <si>
    <t>FRCEXP..B</t>
  </si>
  <si>
    <t>FRCIMP..B</t>
  </si>
  <si>
    <t>FRCVIS..B</t>
  </si>
  <si>
    <t>FRCRES..A</t>
  </si>
  <si>
    <t>Gabon</t>
  </si>
  <si>
    <t>GA</t>
  </si>
  <si>
    <t>GACGDP..D</t>
  </si>
  <si>
    <t>GACGDP..A</t>
  </si>
  <si>
    <t>GACGFC..D</t>
  </si>
  <si>
    <t>GACEXN..D</t>
  </si>
  <si>
    <t>GACIMN..D</t>
  </si>
  <si>
    <t>GACMS1..B</t>
  </si>
  <si>
    <t>GACMS2..B</t>
  </si>
  <si>
    <t>GACCPI..E</t>
  </si>
  <si>
    <t>GACCPI..F</t>
  </si>
  <si>
    <t>GACRES..A</t>
  </si>
  <si>
    <t>Gambia</t>
  </si>
  <si>
    <t>GM</t>
  </si>
  <si>
    <t>GMCGDP..D</t>
  </si>
  <si>
    <t>GMCGDP..A</t>
  </si>
  <si>
    <t>GMCPCE..D</t>
  </si>
  <si>
    <t>GMCGCE..D</t>
  </si>
  <si>
    <t>GMCGFC..D</t>
  </si>
  <si>
    <t>GMCEXN..D</t>
  </si>
  <si>
    <t>GMCIMN..D</t>
  </si>
  <si>
    <t>GMCMS1..B</t>
  </si>
  <si>
    <t>GMCMS2..B</t>
  </si>
  <si>
    <t>GMCCPI..E</t>
  </si>
  <si>
    <t>GMCCPI..F</t>
  </si>
  <si>
    <t>GMCRES..A</t>
  </si>
  <si>
    <t>Georgia</t>
  </si>
  <si>
    <t>GG</t>
  </si>
  <si>
    <t>GGCGDP..A</t>
  </si>
  <si>
    <t>GGCMS0..B</t>
  </si>
  <si>
    <t>GGCMS1..B</t>
  </si>
  <si>
    <t>GGCMS2..B</t>
  </si>
  <si>
    <t>GGCMS3..B</t>
  </si>
  <si>
    <t>GGCCPI..E</t>
  </si>
  <si>
    <t>GGCCPI..F</t>
  </si>
  <si>
    <t>GGCEMF..O</t>
  </si>
  <si>
    <t>GGCRES..A</t>
  </si>
  <si>
    <t>Germany</t>
  </si>
  <si>
    <t>BD</t>
  </si>
  <si>
    <t>BDCGDP..D</t>
  </si>
  <si>
    <t>BDCGDP..A</t>
  </si>
  <si>
    <t>BDCPCE..D</t>
  </si>
  <si>
    <t>BDCGCE..D</t>
  </si>
  <si>
    <t>BDCGFC..D</t>
  </si>
  <si>
    <t>BDCEXN..D</t>
  </si>
  <si>
    <t>BDCIMN..D</t>
  </si>
  <si>
    <t>BDCMS0..B</t>
  </si>
  <si>
    <t>BDCMS1..B</t>
  </si>
  <si>
    <t>BDCMS2..B</t>
  </si>
  <si>
    <t>BDCMS3..B</t>
  </si>
  <si>
    <t>BDCCPI..E</t>
  </si>
  <si>
    <t>BDCCPI..F</t>
  </si>
  <si>
    <t>BDCPPI..E</t>
  </si>
  <si>
    <t>BDCPPI..F</t>
  </si>
  <si>
    <t>BDCCOR..E</t>
  </si>
  <si>
    <t>BDCCOR..F</t>
  </si>
  <si>
    <t>BDCEXI..F</t>
  </si>
  <si>
    <t>BDCIMI..F</t>
  </si>
  <si>
    <t>BDCTRM..F</t>
  </si>
  <si>
    <t>BDCEMF..O</t>
  </si>
  <si>
    <t>BDCUNP..Q</t>
  </si>
  <si>
    <t>BDCRET..E</t>
  </si>
  <si>
    <t>BDCRET..F</t>
  </si>
  <si>
    <t>BDCIND..G</t>
  </si>
  <si>
    <t>BDCGOV..A</t>
  </si>
  <si>
    <t>BDCCUR..B</t>
  </si>
  <si>
    <t>BDCCUR..Q</t>
  </si>
  <si>
    <t>BDCEXP..B</t>
  </si>
  <si>
    <t>BDCIMP..B</t>
  </si>
  <si>
    <t>BDCVIS..B</t>
  </si>
  <si>
    <t>BDCRES..A</t>
  </si>
  <si>
    <t>Ghana</t>
  </si>
  <si>
    <t>GH</t>
  </si>
  <si>
    <t>GHCGDP..A</t>
  </si>
  <si>
    <t>GHCMS1..B</t>
  </si>
  <si>
    <t>GHCMS2..B</t>
  </si>
  <si>
    <t>GHCCPI..E</t>
  </si>
  <si>
    <t>GHCCPI..F</t>
  </si>
  <si>
    <t>GHCPPI..E</t>
  </si>
  <si>
    <t>GHCPPI..F</t>
  </si>
  <si>
    <t>GHCRES..A</t>
  </si>
  <si>
    <t>Greece</t>
  </si>
  <si>
    <t>GR</t>
  </si>
  <si>
    <t>GRCGDP..D</t>
  </si>
  <si>
    <t>GRCGDP..A</t>
  </si>
  <si>
    <t>GRCPCE..D</t>
  </si>
  <si>
    <t>GRCGCE..D</t>
  </si>
  <si>
    <t>GRCGFC..D</t>
  </si>
  <si>
    <t>GRCEXN..D</t>
  </si>
  <si>
    <t>GRCIMN..D</t>
  </si>
  <si>
    <t>GRCMS0..B</t>
  </si>
  <si>
    <t>GRCMS1..B</t>
  </si>
  <si>
    <t>GRCMS2..B</t>
  </si>
  <si>
    <t>GRCMS3..B</t>
  </si>
  <si>
    <t>GRCCPI..E</t>
  </si>
  <si>
    <t>GRCCPI..F</t>
  </si>
  <si>
    <t>GRCPPI..E</t>
  </si>
  <si>
    <t>GRCPPI..F</t>
  </si>
  <si>
    <t>GRCCOR..E</t>
  </si>
  <si>
    <t>GRCCOR..F</t>
  </si>
  <si>
    <t>GRCEXI..F</t>
  </si>
  <si>
    <t>GRCIMI..F</t>
  </si>
  <si>
    <t>GRCTRM..F</t>
  </si>
  <si>
    <t>GRCEMF..O</t>
  </si>
  <si>
    <t>GRCUNP..Q</t>
  </si>
  <si>
    <t>GRCRET..E</t>
  </si>
  <si>
    <t>GRCRET..F</t>
  </si>
  <si>
    <t>GRCIND..G</t>
  </si>
  <si>
    <t>GRCGOV..A</t>
  </si>
  <si>
    <t>GRCCUR..B</t>
  </si>
  <si>
    <t>GRCCUR..Q</t>
  </si>
  <si>
    <t>GRCEXP..B</t>
  </si>
  <si>
    <t>GRCIMP..B</t>
  </si>
  <si>
    <t>GRCVIS..B</t>
  </si>
  <si>
    <t>GRCRES..A</t>
  </si>
  <si>
    <t>Guatemala</t>
  </si>
  <si>
    <t>GW</t>
  </si>
  <si>
    <t>GWCGDP..A</t>
  </si>
  <si>
    <t>GWCMS0..B</t>
  </si>
  <si>
    <t>GWCMS1..B</t>
  </si>
  <si>
    <t>GWCMS2..B</t>
  </si>
  <si>
    <t>GWCMS3..B</t>
  </si>
  <si>
    <t>GWCCPI..E</t>
  </si>
  <si>
    <t>GWCCPI..F</t>
  </si>
  <si>
    <t>GWCCOR..E</t>
  </si>
  <si>
    <t>GWCCOR..F</t>
  </si>
  <si>
    <t>GWCRES..A</t>
  </si>
  <si>
    <t>Guinea</t>
  </si>
  <si>
    <t>GE</t>
  </si>
  <si>
    <t>GECGDP..D</t>
  </si>
  <si>
    <t>GECGDP..A</t>
  </si>
  <si>
    <t>GECPCE..D</t>
  </si>
  <si>
    <t>GECGCE..D</t>
  </si>
  <si>
    <t>GECGFC..D</t>
  </si>
  <si>
    <t>GECEXN..D</t>
  </si>
  <si>
    <t>GECIMN..D</t>
  </si>
  <si>
    <t>GECCPI..E</t>
  </si>
  <si>
    <t>GECCPI..F</t>
  </si>
  <si>
    <t>GECRES..A</t>
  </si>
  <si>
    <t>Guinea-Bissau</t>
  </si>
  <si>
    <t>GI</t>
  </si>
  <si>
    <t>GICGDP..D</t>
  </si>
  <si>
    <t>GICGDP..A</t>
  </si>
  <si>
    <t>GICPCE..D</t>
  </si>
  <si>
    <t>GICGCE..D</t>
  </si>
  <si>
    <t>GICGFC..D</t>
  </si>
  <si>
    <t>GICEXN..D</t>
  </si>
  <si>
    <t>GICIMN..D</t>
  </si>
  <si>
    <t>GICMS2..B</t>
  </si>
  <si>
    <t>GICCPI..E</t>
  </si>
  <si>
    <t>GICCPI..F</t>
  </si>
  <si>
    <t>GICRES..A</t>
  </si>
  <si>
    <t>Honduras</t>
  </si>
  <si>
    <t>HO</t>
  </si>
  <si>
    <t>HOCGDP..A</t>
  </si>
  <si>
    <t>HOCMS0..B</t>
  </si>
  <si>
    <t>HOCMS1..B</t>
  </si>
  <si>
    <t>HOCMS2..B</t>
  </si>
  <si>
    <t>HOCMS3..B</t>
  </si>
  <si>
    <t>HOCCPI..E</t>
  </si>
  <si>
    <t>HOCCPI..F</t>
  </si>
  <si>
    <t>HOCRES..A</t>
  </si>
  <si>
    <t>Hong Kong</t>
  </si>
  <si>
    <t>HK</t>
  </si>
  <si>
    <t>HKCGDP..D</t>
  </si>
  <si>
    <t>HKCGDP..A</t>
  </si>
  <si>
    <t>HKCPCE..D</t>
  </si>
  <si>
    <t>HKCGCE..D</t>
  </si>
  <si>
    <t>HKCGFC..D</t>
  </si>
  <si>
    <t>HKCEXN..D</t>
  </si>
  <si>
    <t>HKCIMN..D</t>
  </si>
  <si>
    <t>HKCMS0..B</t>
  </si>
  <si>
    <t>HKCMS1..B</t>
  </si>
  <si>
    <t>HKCMS2..B</t>
  </si>
  <si>
    <t>HKCMS3..B</t>
  </si>
  <si>
    <t>HKCCPI..E</t>
  </si>
  <si>
    <t>HKCCPI..F</t>
  </si>
  <si>
    <t>HKCPPI..E</t>
  </si>
  <si>
    <t>HKCPPI..F</t>
  </si>
  <si>
    <t>HKCEXI..F</t>
  </si>
  <si>
    <t>HKCIMI..F</t>
  </si>
  <si>
    <t>HKCTRM..F</t>
  </si>
  <si>
    <t>HKCEMP..O</t>
  </si>
  <si>
    <t>HKCEMF..O</t>
  </si>
  <si>
    <t>HKCUNP..Q</t>
  </si>
  <si>
    <t>HKCRET..E</t>
  </si>
  <si>
    <t>HKCRET..F</t>
  </si>
  <si>
    <t>HKCIND..G</t>
  </si>
  <si>
    <t>HKCGOV..A</t>
  </si>
  <si>
    <t>HKCCUR..B</t>
  </si>
  <si>
    <t>HKCCUR..Q</t>
  </si>
  <si>
    <t>HKCEXP..B</t>
  </si>
  <si>
    <t>HKCIMP..B</t>
  </si>
  <si>
    <t>HKCVIS..B</t>
  </si>
  <si>
    <t>HKCRES..A</t>
  </si>
  <si>
    <t>Hungary</t>
  </si>
  <si>
    <t>HN</t>
  </si>
  <si>
    <t>HNCGDP..D</t>
  </si>
  <si>
    <t>HNCGDP..A</t>
  </si>
  <si>
    <t>HNCPCE..D</t>
  </si>
  <si>
    <t>HNCGCE..D</t>
  </si>
  <si>
    <t>HNCGFC..D</t>
  </si>
  <si>
    <t>HNCEXN..D</t>
  </si>
  <si>
    <t>HNCIMN..D</t>
  </si>
  <si>
    <t>HNCMS0..B</t>
  </si>
  <si>
    <t>HNCMS1..B</t>
  </si>
  <si>
    <t>HNCMS2..B</t>
  </si>
  <si>
    <t>HNCMS3..B</t>
  </si>
  <si>
    <t>HNCCPI..E</t>
  </si>
  <si>
    <t>HNCCPI..F</t>
  </si>
  <si>
    <t>HNCPPI..E</t>
  </si>
  <si>
    <t>HNCPPI..F</t>
  </si>
  <si>
    <t>HNCCOR..E</t>
  </si>
  <si>
    <t>HNCCOR..F</t>
  </si>
  <si>
    <t>HNCEMF..O</t>
  </si>
  <si>
    <t>HNCUNP..Q</t>
  </si>
  <si>
    <t>HNCRET..E</t>
  </si>
  <si>
    <t>HNCRET..F</t>
  </si>
  <si>
    <t>HNCIND..G</t>
  </si>
  <si>
    <t>HNCGOV..A</t>
  </si>
  <si>
    <t>HNCCUR..B</t>
  </si>
  <si>
    <t>HNCCUR..Q</t>
  </si>
  <si>
    <t>HNCEXP..B</t>
  </si>
  <si>
    <t>HNCIMP..B</t>
  </si>
  <si>
    <t>HNCVIS..B</t>
  </si>
  <si>
    <t>HNCRES..A</t>
  </si>
  <si>
    <t>Iceland</t>
  </si>
  <si>
    <t>IC</t>
  </si>
  <si>
    <t>ICCGDP..D</t>
  </si>
  <si>
    <t>ICCGDP..A</t>
  </si>
  <si>
    <t>ICCPCE..D</t>
  </si>
  <si>
    <t>ICCGCE..D</t>
  </si>
  <si>
    <t>ICCGFC..D</t>
  </si>
  <si>
    <t>ICCEXN..D</t>
  </si>
  <si>
    <t>ICCIMN..D</t>
  </si>
  <si>
    <t>ICCMS1..B</t>
  </si>
  <si>
    <t>ICCMS2..B</t>
  </si>
  <si>
    <t>ICCMS3..B</t>
  </si>
  <si>
    <t>ICCCPI..E</t>
  </si>
  <si>
    <t>ICCCPI..F</t>
  </si>
  <si>
    <t>ICCPPI..E</t>
  </si>
  <si>
    <t>ICCPPI..F</t>
  </si>
  <si>
    <t>ICCCOR..E</t>
  </si>
  <si>
    <t>ICCCOR..F</t>
  </si>
  <si>
    <t>ICCEXI..F</t>
  </si>
  <si>
    <t>ICCIMI..F</t>
  </si>
  <si>
    <t>ICCTRM..F</t>
  </si>
  <si>
    <t>ICCEMP..O</t>
  </si>
  <si>
    <t>ICCEMF..O</t>
  </si>
  <si>
    <t>ICCUNP..Q</t>
  </si>
  <si>
    <t>ICCRET..E</t>
  </si>
  <si>
    <t>ICCRET..F</t>
  </si>
  <si>
    <t>ICCGOV..A</t>
  </si>
  <si>
    <t>ICCCUR..B</t>
  </si>
  <si>
    <t>ICCCUR..Q</t>
  </si>
  <si>
    <t>ICCEXP..B</t>
  </si>
  <si>
    <t>ICCIMP..B</t>
  </si>
  <si>
    <t>ICCVIS..B</t>
  </si>
  <si>
    <t>ICCRES..A</t>
  </si>
  <si>
    <t>India</t>
  </si>
  <si>
    <t>IN</t>
  </si>
  <si>
    <t>INCGDP..D</t>
  </si>
  <si>
    <t>INCGDP..A</t>
  </si>
  <si>
    <t>INCPCE..D</t>
  </si>
  <si>
    <t>INCGCE..D</t>
  </si>
  <si>
    <t>INCGFC..D</t>
  </si>
  <si>
    <t>INCEXN..D</t>
  </si>
  <si>
    <t>INCIMN..D</t>
  </si>
  <si>
    <t>INCMS1..B</t>
  </si>
  <si>
    <t>INCMS2..B</t>
  </si>
  <si>
    <t>INCMS3..B</t>
  </si>
  <si>
    <t>INCCPI..E</t>
  </si>
  <si>
    <t>INCCPI..F</t>
  </si>
  <si>
    <t>INCPPI..E</t>
  </si>
  <si>
    <t>INCPPI..F</t>
  </si>
  <si>
    <t>INCEXI..F</t>
  </si>
  <si>
    <t>INCIMI..F</t>
  </si>
  <si>
    <t>INCTRM..F</t>
  </si>
  <si>
    <t>INCIND..G</t>
  </si>
  <si>
    <t>INCGOV..A</t>
  </si>
  <si>
    <t>INCCUR..B</t>
  </si>
  <si>
    <t>INCCUR..Q</t>
  </si>
  <si>
    <t>INCEXP..B</t>
  </si>
  <si>
    <t>INCIMP..B</t>
  </si>
  <si>
    <t>INCVIS..B</t>
  </si>
  <si>
    <t>INCRES..A</t>
  </si>
  <si>
    <t>Indonesia</t>
  </si>
  <si>
    <t>ID</t>
  </si>
  <si>
    <t>IDCGDP..D</t>
  </si>
  <si>
    <t>IDCGDP..A</t>
  </si>
  <si>
    <t>IDCPCE..D</t>
  </si>
  <si>
    <t>IDCGCE..D</t>
  </si>
  <si>
    <t>IDCGFC..D</t>
  </si>
  <si>
    <t>IDCEXN..D</t>
  </si>
  <si>
    <t>IDCIMN..D</t>
  </si>
  <si>
    <t>IDCMS0..B</t>
  </si>
  <si>
    <t>IDCMS1..B</t>
  </si>
  <si>
    <t>IDCMS2..B</t>
  </si>
  <si>
    <t>IDCCPI..E</t>
  </si>
  <si>
    <t>IDCCPI..F</t>
  </si>
  <si>
    <t>IDCPPI..E</t>
  </si>
  <si>
    <t>IDCPPI..F</t>
  </si>
  <si>
    <t>IDCCOR..E</t>
  </si>
  <si>
    <t>IDCCOR..F</t>
  </si>
  <si>
    <t>IDCEXI..F</t>
  </si>
  <si>
    <t>IDCIMI..F</t>
  </si>
  <si>
    <t>IDCTRM..F</t>
  </si>
  <si>
    <t>IDCEMP..O</t>
  </si>
  <si>
    <t>IDCEMF..O</t>
  </si>
  <si>
    <t>IDCUNP..Q</t>
  </si>
  <si>
    <t>IDCIND..G</t>
  </si>
  <si>
    <t>IDCGOV..A</t>
  </si>
  <si>
    <t>IDCCUR..B</t>
  </si>
  <si>
    <t>IDCCUR..Q</t>
  </si>
  <si>
    <t>IDCEXP..B</t>
  </si>
  <si>
    <t>IDCIMP..B</t>
  </si>
  <si>
    <t>IDCVIS..B</t>
  </si>
  <si>
    <t>IDCRES..A</t>
  </si>
  <si>
    <t>Iran, Islamic Republic of</t>
  </si>
  <si>
    <t>IA</t>
  </si>
  <si>
    <t>IACGDP..A</t>
  </si>
  <si>
    <t>IACCPI..E</t>
  </si>
  <si>
    <t>IACCPI..F</t>
  </si>
  <si>
    <t>IACPPI..E</t>
  </si>
  <si>
    <t>IACPPI..F</t>
  </si>
  <si>
    <t>Iraq</t>
  </si>
  <si>
    <t>IQ</t>
  </si>
  <si>
    <t>IQCGDP..D</t>
  </si>
  <si>
    <t>IQCGDP..A</t>
  </si>
  <si>
    <t>IQCMS0..B</t>
  </si>
  <si>
    <t>IQCMS1..B</t>
  </si>
  <si>
    <t>IQCMS2..B</t>
  </si>
  <si>
    <t>IQCCPI..E</t>
  </si>
  <si>
    <t>IQCCPI..F</t>
  </si>
  <si>
    <t>IQCRES..A</t>
  </si>
  <si>
    <t>Ireland</t>
  </si>
  <si>
    <t>IR</t>
  </si>
  <si>
    <t>IRCGDP..D</t>
  </si>
  <si>
    <t>IRCGDP..A</t>
  </si>
  <si>
    <t>IRCPCE..D</t>
  </si>
  <si>
    <t>IRCGCE..D</t>
  </si>
  <si>
    <t>IRCGFC..D</t>
  </si>
  <si>
    <t>IRCEXN..D</t>
  </si>
  <si>
    <t>IRCIMN..D</t>
  </si>
  <si>
    <t>IRCMS1..B</t>
  </si>
  <si>
    <t>IRCMS2..B</t>
  </si>
  <si>
    <t>IRCMS3..B</t>
  </si>
  <si>
    <t>IRCCPI..E</t>
  </si>
  <si>
    <t>IRCCPI..F</t>
  </si>
  <si>
    <t>IRCPPI..E</t>
  </si>
  <si>
    <t>IRCPPI..F</t>
  </si>
  <si>
    <t>IRCCOR..E</t>
  </si>
  <si>
    <t>IRCCOR..F</t>
  </si>
  <si>
    <t>IRCEXI..F</t>
  </si>
  <si>
    <t>IRCIMI..F</t>
  </si>
  <si>
    <t>IRCTRM..F</t>
  </si>
  <si>
    <t>IRCEMP..O</t>
  </si>
  <si>
    <t>IRCEMF..O</t>
  </si>
  <si>
    <t>IRCUNP..Q</t>
  </si>
  <si>
    <t>IRCRET..E</t>
  </si>
  <si>
    <t>IRCRET..F</t>
  </si>
  <si>
    <t>IRCIND..G</t>
  </si>
  <si>
    <t>IRCGOV..A</t>
  </si>
  <si>
    <t>IRCCUR..B</t>
  </si>
  <si>
    <t>IRCCUR..Q</t>
  </si>
  <si>
    <t>IRCEXP..B</t>
  </si>
  <si>
    <t>IRCIMP..B</t>
  </si>
  <si>
    <t>IRCVIS..B</t>
  </si>
  <si>
    <t>IRCRES..A</t>
  </si>
  <si>
    <t>Israel</t>
  </si>
  <si>
    <t>IS</t>
  </si>
  <si>
    <t>ISCGDP..D</t>
  </si>
  <si>
    <t>ISCGDP..A</t>
  </si>
  <si>
    <t>ISCPCE..D</t>
  </si>
  <si>
    <t>ISCGCE..D</t>
  </si>
  <si>
    <t>ISCGFC..D</t>
  </si>
  <si>
    <t>ISCEXN..D</t>
  </si>
  <si>
    <t>ISCIMN..D</t>
  </si>
  <si>
    <t>ISCMS1..B</t>
  </si>
  <si>
    <t>ISCMS2..B</t>
  </si>
  <si>
    <t>ISCMS3..B</t>
  </si>
  <si>
    <t>ISCCPI..E</t>
  </si>
  <si>
    <t>ISCCPI..F</t>
  </si>
  <si>
    <t>ISCPPI..E</t>
  </si>
  <si>
    <t>ISCPPI..F</t>
  </si>
  <si>
    <t>ISCCOR..E</t>
  </si>
  <si>
    <t>ISCCOR..F</t>
  </si>
  <si>
    <t>ISCEXI..F</t>
  </si>
  <si>
    <t>ISCIMI..F</t>
  </si>
  <si>
    <t>ISCTRM..F</t>
  </si>
  <si>
    <t>ISCEMP..O</t>
  </si>
  <si>
    <t>ISCEMF..O</t>
  </si>
  <si>
    <t>ISCUNP..Q</t>
  </si>
  <si>
    <t>ISCRET..E</t>
  </si>
  <si>
    <t>ISCRET..F</t>
  </si>
  <si>
    <t>ISCIND..G</t>
  </si>
  <si>
    <t>ISCGOV..A</t>
  </si>
  <si>
    <t>ISCCUR..B</t>
  </si>
  <si>
    <t>ISCCUR..Q</t>
  </si>
  <si>
    <t>ISCEXP..B</t>
  </si>
  <si>
    <t>ISCIMP..B</t>
  </si>
  <si>
    <t>ISCVIS..B</t>
  </si>
  <si>
    <t>ISCRES..A</t>
  </si>
  <si>
    <t>Italy</t>
  </si>
  <si>
    <t>IT</t>
  </si>
  <si>
    <t>ITCGDP..D</t>
  </si>
  <si>
    <t>ITCGDP..A</t>
  </si>
  <si>
    <t>ITCPCE..D</t>
  </si>
  <si>
    <t>ITCGCE..D</t>
  </si>
  <si>
    <t>ITCGFC..D</t>
  </si>
  <si>
    <t>ITCEXN..D</t>
  </si>
  <si>
    <t>ITCIMN..D</t>
  </si>
  <si>
    <t>ITCMS1..B</t>
  </si>
  <si>
    <t>ITCMS2..B</t>
  </si>
  <si>
    <t>ITCMS3..B</t>
  </si>
  <si>
    <t>ITCCPI..E</t>
  </si>
  <si>
    <t>ITCCPI..F</t>
  </si>
  <si>
    <t>ITCPPI..E</t>
  </si>
  <si>
    <t>ITCPPI..F</t>
  </si>
  <si>
    <t>ITCCOR..E</t>
  </si>
  <si>
    <t>ITCCOR..F</t>
  </si>
  <si>
    <t>ITCEXI..F</t>
  </si>
  <si>
    <t>ITCIMI..F</t>
  </si>
  <si>
    <t>ITCTRM..F</t>
  </si>
  <si>
    <t>ITCEMF..O</t>
  </si>
  <si>
    <t>ITCUNP..Q</t>
  </si>
  <si>
    <t>ITCRET..E</t>
  </si>
  <si>
    <t>ITCRET..F</t>
  </si>
  <si>
    <t>ITCIND..G</t>
  </si>
  <si>
    <t>ITCGOV..A</t>
  </si>
  <si>
    <t>ITCCUR..B</t>
  </si>
  <si>
    <t>ITCCUR..Q</t>
  </si>
  <si>
    <t>ITCEXP..B</t>
  </si>
  <si>
    <t>ITCIMP..B</t>
  </si>
  <si>
    <t>ITCVIS..B</t>
  </si>
  <si>
    <t>ITCRES..A</t>
  </si>
  <si>
    <t>Japan</t>
  </si>
  <si>
    <t>JP</t>
  </si>
  <si>
    <t>JPCGDP..D</t>
  </si>
  <si>
    <t>JPCGDP..A</t>
  </si>
  <si>
    <t>JPCPCE..D</t>
  </si>
  <si>
    <t>JPCGCE..D</t>
  </si>
  <si>
    <t>JPCGFC..D</t>
  </si>
  <si>
    <t>JPCEXN..D</t>
  </si>
  <si>
    <t>JPCIMN..D</t>
  </si>
  <si>
    <t>JPCMS0..B</t>
  </si>
  <si>
    <t>JPCMS1..B</t>
  </si>
  <si>
    <t>JPCMS2..B</t>
  </si>
  <si>
    <t>JPCMS3..B</t>
  </si>
  <si>
    <t>JPCCPI..E</t>
  </si>
  <si>
    <t>JPCCPI..F</t>
  </si>
  <si>
    <t>JPCPPI..E</t>
  </si>
  <si>
    <t>JPCPPI..F</t>
  </si>
  <si>
    <t>JPCCOR..E</t>
  </si>
  <si>
    <t>JPCCOR..F</t>
  </si>
  <si>
    <t>JPCEXI..F</t>
  </si>
  <si>
    <t>JPCIMI..F</t>
  </si>
  <si>
    <t>JPCTRM..F</t>
  </si>
  <si>
    <t>JPCEMP..O</t>
  </si>
  <si>
    <t>JPCEMF..O</t>
  </si>
  <si>
    <t>JPCUNP..Q</t>
  </si>
  <si>
    <t>JPCRET..E</t>
  </si>
  <si>
    <t>JPCRET..F</t>
  </si>
  <si>
    <t>JPCIND..G</t>
  </si>
  <si>
    <t>JPCGOV..A</t>
  </si>
  <si>
    <t>JPCCUR..B</t>
  </si>
  <si>
    <t>JPCCUR..Q</t>
  </si>
  <si>
    <t>JPCEXP..B</t>
  </si>
  <si>
    <t>JPCIMP..B</t>
  </si>
  <si>
    <t>JPCVIS..B</t>
  </si>
  <si>
    <t>JPCRES..A</t>
  </si>
  <si>
    <t>Jordan</t>
  </si>
  <si>
    <t>JO</t>
  </si>
  <si>
    <t>JOCGDP..D</t>
  </si>
  <si>
    <t>JOCGDP..A</t>
  </si>
  <si>
    <t>JOCPCE..D</t>
  </si>
  <si>
    <t>JOCGCE..D</t>
  </si>
  <si>
    <t>JOCGFC..D</t>
  </si>
  <si>
    <t>JOCEXN..D</t>
  </si>
  <si>
    <t>JOCIMN..D</t>
  </si>
  <si>
    <t>JOCMS1..B</t>
  </si>
  <si>
    <t>JOCMS2..B</t>
  </si>
  <si>
    <t>JOCCPI..E</t>
  </si>
  <si>
    <t>JOCCPI..F</t>
  </si>
  <si>
    <t>JOCPPI..E</t>
  </si>
  <si>
    <t>JOCPPI..F</t>
  </si>
  <si>
    <t>JOCEXI..F</t>
  </si>
  <si>
    <t>JOCIMI..F</t>
  </si>
  <si>
    <t>JOCTRM..F</t>
  </si>
  <si>
    <t>JOCEMF..O</t>
  </si>
  <si>
    <t>JOCUNP..Q</t>
  </si>
  <si>
    <t>JOCIND..G</t>
  </si>
  <si>
    <t>JOCGOV..A</t>
  </si>
  <si>
    <t>JOCCUR..B</t>
  </si>
  <si>
    <t>JOCCUR..Q</t>
  </si>
  <si>
    <t>JOCEXP..B</t>
  </si>
  <si>
    <t>JOCIMP..B</t>
  </si>
  <si>
    <t>JOCVIS..B</t>
  </si>
  <si>
    <t>JOCRES..A</t>
  </si>
  <si>
    <t>Kazakhstan</t>
  </si>
  <si>
    <t>KZ</t>
  </si>
  <si>
    <t>KZCGDP..D</t>
  </si>
  <si>
    <t>KZCGDP..A</t>
  </si>
  <si>
    <t>KZCPCE..D</t>
  </si>
  <si>
    <t>KZCGCE..D</t>
  </si>
  <si>
    <t>KZCGFC..D</t>
  </si>
  <si>
    <t>KZCEXN..D</t>
  </si>
  <si>
    <t>KZCIMN..D</t>
  </si>
  <si>
    <t>KZCMS0..B</t>
  </si>
  <si>
    <t>KZCMS1..B</t>
  </si>
  <si>
    <t>KZCMS2..B</t>
  </si>
  <si>
    <t>KZCMS3..B</t>
  </si>
  <si>
    <t>KZCCPI..E</t>
  </si>
  <si>
    <t>KZCCPI..F</t>
  </si>
  <si>
    <t>KZCPPI..E</t>
  </si>
  <si>
    <t>KZCPPI..F</t>
  </si>
  <si>
    <t>KZCCOR..E</t>
  </si>
  <si>
    <t>KZCCOR..F</t>
  </si>
  <si>
    <t>KZCEMP..O</t>
  </si>
  <si>
    <t>KZCEMF..O</t>
  </si>
  <si>
    <t>KZCUNP..Q</t>
  </si>
  <si>
    <t>KZCRET..E</t>
  </si>
  <si>
    <t>KZCRET..F</t>
  </si>
  <si>
    <t>KZCIND..G</t>
  </si>
  <si>
    <t>KZCGOV..A</t>
  </si>
  <si>
    <t>KZCCUR..B</t>
  </si>
  <si>
    <t>KZCCUR..Q</t>
  </si>
  <si>
    <t>KZCEXP..B</t>
  </si>
  <si>
    <t>KZCIMP..B</t>
  </si>
  <si>
    <t>KZCVIS..B</t>
  </si>
  <si>
    <t>KZCRES..A</t>
  </si>
  <si>
    <t>Kenya</t>
  </si>
  <si>
    <t>KN</t>
  </si>
  <si>
    <t>KNCGDP..D</t>
  </si>
  <si>
    <t>KNCGDP..A</t>
  </si>
  <si>
    <t>KNCPCE..D</t>
  </si>
  <si>
    <t>KNCGCE..D</t>
  </si>
  <si>
    <t>KNCGFC..D</t>
  </si>
  <si>
    <t>KNCEXN..D</t>
  </si>
  <si>
    <t>KNCIMN..D</t>
  </si>
  <si>
    <t>KNCMS1..B</t>
  </si>
  <si>
    <t>KNCMS2..B</t>
  </si>
  <si>
    <t>KNCMS3..B</t>
  </si>
  <si>
    <t>KNCCPI..E</t>
  </si>
  <si>
    <t>KNCCPI..F</t>
  </si>
  <si>
    <t>KNCGOV..A</t>
  </si>
  <si>
    <t>KNCCUR..B</t>
  </si>
  <si>
    <t>KNCCUR..Q</t>
  </si>
  <si>
    <t>KNCEXP..B</t>
  </si>
  <si>
    <t>KNCIMP..B</t>
  </si>
  <si>
    <t>KNCVIS..B</t>
  </si>
  <si>
    <t>KNCRES..A</t>
  </si>
  <si>
    <t>Kosovo</t>
  </si>
  <si>
    <t>KV</t>
  </si>
  <si>
    <t>KVCGDP..D</t>
  </si>
  <si>
    <t>KVCGDP..A</t>
  </si>
  <si>
    <t>KVCCPI..E</t>
  </si>
  <si>
    <t>KVCCPI..F</t>
  </si>
  <si>
    <t>KVCPPI..E</t>
  </si>
  <si>
    <t>KVCPPI..F</t>
  </si>
  <si>
    <t>KVCRES..A</t>
  </si>
  <si>
    <t>Kuwait</t>
  </si>
  <si>
    <t>KW</t>
  </si>
  <si>
    <t>KWCGDP..D</t>
  </si>
  <si>
    <t>KWCGDP..A</t>
  </si>
  <si>
    <t>KWCPCE..D</t>
  </si>
  <si>
    <t>KWCGCE..D</t>
  </si>
  <si>
    <t>KWCGFC..D</t>
  </si>
  <si>
    <t>KWCEXN..D</t>
  </si>
  <si>
    <t>KWCIMN..D</t>
  </si>
  <si>
    <t>KWCMS1..B</t>
  </si>
  <si>
    <t>KWCMS2..B</t>
  </si>
  <si>
    <t>KWCMS3..B</t>
  </si>
  <si>
    <t>KWCPPI..E</t>
  </si>
  <si>
    <t>KWCPPI..F</t>
  </si>
  <si>
    <t>KWCUNP..Q</t>
  </si>
  <si>
    <t>KWCRES..A</t>
  </si>
  <si>
    <t>Kyrgyz Republic</t>
  </si>
  <si>
    <t>KY</t>
  </si>
  <si>
    <t>KYCGDP..D</t>
  </si>
  <si>
    <t>KYCGDP..A</t>
  </si>
  <si>
    <t>KYCPCE..D</t>
  </si>
  <si>
    <t>KYCGCE..D</t>
  </si>
  <si>
    <t>KYCGFC..D</t>
  </si>
  <si>
    <t>KYCEXN..D</t>
  </si>
  <si>
    <t>KYCIMN..D</t>
  </si>
  <si>
    <t>KYCMS1..B</t>
  </si>
  <si>
    <t>KYCMS2..B</t>
  </si>
  <si>
    <t>KYCCPI..E</t>
  </si>
  <si>
    <t>KYCCPI..F</t>
  </si>
  <si>
    <t>KYCPPI..E</t>
  </si>
  <si>
    <t>KYCPPI..F</t>
  </si>
  <si>
    <t>KYCCOR..E</t>
  </si>
  <si>
    <t>KYCCOR..F</t>
  </si>
  <si>
    <t>KYCEMP..O</t>
  </si>
  <si>
    <t>KYCUNP..Q</t>
  </si>
  <si>
    <t>KYCRES..A</t>
  </si>
  <si>
    <t>Latvia</t>
  </si>
  <si>
    <t>LV</t>
  </si>
  <si>
    <t>LVCGDP..D</t>
  </si>
  <si>
    <t>LVCGDP..A</t>
  </si>
  <si>
    <t>LVCPCE..D</t>
  </si>
  <si>
    <t>LVCGCE..D</t>
  </si>
  <si>
    <t>LVCGFC..D</t>
  </si>
  <si>
    <t>LVCEXN..D</t>
  </si>
  <si>
    <t>LVCIMN..D</t>
  </si>
  <si>
    <t>LVCMS0..B</t>
  </si>
  <si>
    <t>LVCMS1..B</t>
  </si>
  <si>
    <t>LVCMS2..B</t>
  </si>
  <si>
    <t>LVCMS3..B</t>
  </si>
  <si>
    <t>LVCCPI..E</t>
  </si>
  <si>
    <t>LVCCPI..F</t>
  </si>
  <si>
    <t>LVCPPI..E</t>
  </si>
  <si>
    <t>LVCPPI..F</t>
  </si>
  <si>
    <t>LVCEXI..F</t>
  </si>
  <si>
    <t>LVCIMI..F</t>
  </si>
  <si>
    <t>LVCTRM..F</t>
  </si>
  <si>
    <t>LVCEMF..O</t>
  </si>
  <si>
    <t>LVCUNP..Q</t>
  </si>
  <si>
    <t>LVCRET..E</t>
  </si>
  <si>
    <t>LVCRET..F</t>
  </si>
  <si>
    <t>LVCIND..G</t>
  </si>
  <si>
    <t>LVCGOV..A</t>
  </si>
  <si>
    <t>LVCCUR..B</t>
  </si>
  <si>
    <t>LVCCUR..Q</t>
  </si>
  <si>
    <t>LVCEXP..B</t>
  </si>
  <si>
    <t>LVCIMP..B</t>
  </si>
  <si>
    <t>LVCVIS..B</t>
  </si>
  <si>
    <t>LVCRES..A</t>
  </si>
  <si>
    <t>Lebanon</t>
  </si>
  <si>
    <t>LB</t>
  </si>
  <si>
    <t>LBCGDP..A</t>
  </si>
  <si>
    <t>LBCMS0..B</t>
  </si>
  <si>
    <t>LBCMS1..B</t>
  </si>
  <si>
    <t>LBCMS2..B</t>
  </si>
  <si>
    <t>LBCMS3..B</t>
  </si>
  <si>
    <t>LBCCPI..E</t>
  </si>
  <si>
    <t>LBCCPI..F</t>
  </si>
  <si>
    <t>LBCRES..A</t>
  </si>
  <si>
    <t>Lesotho</t>
  </si>
  <si>
    <t>LS</t>
  </si>
  <si>
    <t>LSCGDP..D</t>
  </si>
  <si>
    <t>LSCGDP..A</t>
  </si>
  <si>
    <t>LSCPCE..D</t>
  </si>
  <si>
    <t>LSCGCE..D</t>
  </si>
  <si>
    <t>LSCGFC..D</t>
  </si>
  <si>
    <t>LSCEXN..D</t>
  </si>
  <si>
    <t>LSCIMN..D</t>
  </si>
  <si>
    <t>LSCMS1..B</t>
  </si>
  <si>
    <t>LSCMS2..B</t>
  </si>
  <si>
    <t>LSCCPI..E</t>
  </si>
  <si>
    <t>LSCCPI..F</t>
  </si>
  <si>
    <t>LSCRES..A</t>
  </si>
  <si>
    <t>Liberia</t>
  </si>
  <si>
    <t>LI</t>
  </si>
  <si>
    <t>LICGDP..D</t>
  </si>
  <si>
    <t>LICGDP..A</t>
  </si>
  <si>
    <t>LICPCE..D</t>
  </si>
  <si>
    <t>LICGCE..D</t>
  </si>
  <si>
    <t>LICGFC..D</t>
  </si>
  <si>
    <t>LICEXN..D</t>
  </si>
  <si>
    <t>LICIMN..D</t>
  </si>
  <si>
    <t>LICMS1..B</t>
  </si>
  <si>
    <t>LICMS2..B</t>
  </si>
  <si>
    <t>LICRES..A</t>
  </si>
  <si>
    <t>Libya</t>
  </si>
  <si>
    <t>LY</t>
  </si>
  <si>
    <t>LYCGDP..D</t>
  </si>
  <si>
    <t>LYCGDP..A</t>
  </si>
  <si>
    <t>LYCMS0..B</t>
  </si>
  <si>
    <t>LYCMS1..B</t>
  </si>
  <si>
    <t>LYCMS2..B</t>
  </si>
  <si>
    <t>LYCRES..A</t>
  </si>
  <si>
    <t>Lithuania</t>
  </si>
  <si>
    <t>LN</t>
  </si>
  <si>
    <t>LNCGDP..D</t>
  </si>
  <si>
    <t>LNCGDP..A</t>
  </si>
  <si>
    <t>LNCPCE..D</t>
  </si>
  <si>
    <t>LNCGCE..D</t>
  </si>
  <si>
    <t>LNCGFC..D</t>
  </si>
  <si>
    <t>LNCEXN..D</t>
  </si>
  <si>
    <t>LNCIMN..D</t>
  </si>
  <si>
    <t>LNCMS0..B</t>
  </si>
  <si>
    <t>LNCMS1..B</t>
  </si>
  <si>
    <t>LNCMS2..B</t>
  </si>
  <si>
    <t>LNCMS3..B</t>
  </si>
  <si>
    <t>LNCCPI..E</t>
  </si>
  <si>
    <t>LNCCPI..F</t>
  </si>
  <si>
    <t>LNCPPI..E</t>
  </si>
  <si>
    <t>LNCPPI..F</t>
  </si>
  <si>
    <t>LNCEMF..O</t>
  </si>
  <si>
    <t>LNCUNP..Q</t>
  </si>
  <si>
    <t>LNCRET..E</t>
  </si>
  <si>
    <t>LNCRET..F</t>
  </si>
  <si>
    <t>LNCIND..G</t>
  </si>
  <si>
    <t>LNCGOV..A</t>
  </si>
  <si>
    <t>LNCCUR..B</t>
  </si>
  <si>
    <t>LNCCUR..Q</t>
  </si>
  <si>
    <t>LNCEXP..B</t>
  </si>
  <si>
    <t>LNCIMP..B</t>
  </si>
  <si>
    <t>LNCVIS..B</t>
  </si>
  <si>
    <t>LNCRES..A</t>
  </si>
  <si>
    <t>Luxembourg</t>
  </si>
  <si>
    <t>LX</t>
  </si>
  <si>
    <t>LXCGDP..D</t>
  </si>
  <si>
    <t>LXCGDP..A</t>
  </si>
  <si>
    <t>LXCPCE..D</t>
  </si>
  <si>
    <t>LXCGCE..D</t>
  </si>
  <si>
    <t>LXCGFC..D</t>
  </si>
  <si>
    <t>LXCEXN..D</t>
  </si>
  <si>
    <t>LXCIMN..D</t>
  </si>
  <si>
    <t>LXCMS0..B</t>
  </si>
  <si>
    <t>LXCMS1..B</t>
  </si>
  <si>
    <t>LXCMS2..B</t>
  </si>
  <si>
    <t>LXCMS3..B</t>
  </si>
  <si>
    <t>LXCCPI..E</t>
  </si>
  <si>
    <t>LXCCPI..F</t>
  </si>
  <si>
    <t>LXCPPI..E</t>
  </si>
  <si>
    <t>LXCPPI..F</t>
  </si>
  <si>
    <t>LXCEXI..F</t>
  </si>
  <si>
    <t>LXCIMI..F</t>
  </si>
  <si>
    <t>LXCTRM..F</t>
  </si>
  <si>
    <t>LXCEMF..O</t>
  </si>
  <si>
    <t>LXCUNP..Q</t>
  </si>
  <si>
    <t>LXCRET..E</t>
  </si>
  <si>
    <t>LXCRET..F</t>
  </si>
  <si>
    <t>LXCIND..G</t>
  </si>
  <si>
    <t>LXCGOV..A</t>
  </si>
  <si>
    <t>LXCCUR..B</t>
  </si>
  <si>
    <t>LXCCUR..Q</t>
  </si>
  <si>
    <t>LXCEXP..B</t>
  </si>
  <si>
    <t>LXCIMP..B</t>
  </si>
  <si>
    <t>LXCVIS..B</t>
  </si>
  <si>
    <t>LXCRES..A</t>
  </si>
  <si>
    <t>Macau</t>
  </si>
  <si>
    <t>MO</t>
  </si>
  <si>
    <t>MOCGDP..A</t>
  </si>
  <si>
    <t>MOCMS1..B</t>
  </si>
  <si>
    <t>MOCMS2..B</t>
  </si>
  <si>
    <t>MOCCPI..E</t>
  </si>
  <si>
    <t>MOCCPI..F</t>
  </si>
  <si>
    <t>MOCEMF..O</t>
  </si>
  <si>
    <t>MOCRES..A</t>
  </si>
  <si>
    <t>Macedonia, The Former Yugoslav Republic of</t>
  </si>
  <si>
    <t>MK</t>
  </si>
  <si>
    <t>MKCGDP..A</t>
  </si>
  <si>
    <t>MKCMS1..B</t>
  </si>
  <si>
    <t>MKCMS2..B</t>
  </si>
  <si>
    <t>MKCCPI..E</t>
  </si>
  <si>
    <t>MKCCPI..F</t>
  </si>
  <si>
    <t>MKCPPI..E</t>
  </si>
  <si>
    <t>MKCPPI..F</t>
  </si>
  <si>
    <t>MKCEMF..O</t>
  </si>
  <si>
    <t>MKCUNP..Q</t>
  </si>
  <si>
    <t>MKCRES..A</t>
  </si>
  <si>
    <t>Madagascar</t>
  </si>
  <si>
    <t>MD</t>
  </si>
  <si>
    <t>MDCGDP..D</t>
  </si>
  <si>
    <t>MDCGDP..A</t>
  </si>
  <si>
    <t>MDCPCE..D</t>
  </si>
  <si>
    <t>MDCGCE..D</t>
  </si>
  <si>
    <t>MDCGFC..D</t>
  </si>
  <si>
    <t>MDCEXN..D</t>
  </si>
  <si>
    <t>MDCIMN..D</t>
  </si>
  <si>
    <t>MDCMS0..B</t>
  </si>
  <si>
    <t>MDCMS1..B</t>
  </si>
  <si>
    <t>MDCMS2..B</t>
  </si>
  <si>
    <t>MDCCPI..E</t>
  </si>
  <si>
    <t>MDCCPI..F</t>
  </si>
  <si>
    <t>MDCRES..A</t>
  </si>
  <si>
    <t>Malawi</t>
  </si>
  <si>
    <t>MI</t>
  </si>
  <si>
    <t>MICGDP..D</t>
  </si>
  <si>
    <t>MICGDP..A</t>
  </si>
  <si>
    <t>MICPCE..D</t>
  </si>
  <si>
    <t>MICGCE..D</t>
  </si>
  <si>
    <t>MICGFC..D</t>
  </si>
  <si>
    <t>MICEXN..D</t>
  </si>
  <si>
    <t>MICIMN..D</t>
  </si>
  <si>
    <t>MICMS1..B</t>
  </si>
  <si>
    <t>MICMS2..B</t>
  </si>
  <si>
    <t>MICCPI..E</t>
  </si>
  <si>
    <t>MICCPI..F</t>
  </si>
  <si>
    <t>MICRES..A</t>
  </si>
  <si>
    <t>Malaysia</t>
  </si>
  <si>
    <t>MY</t>
  </si>
  <si>
    <t>MYCGDP..D</t>
  </si>
  <si>
    <t>MYCGDP..A</t>
  </si>
  <si>
    <t>MYCPCE..D</t>
  </si>
  <si>
    <t>MYCGCE..D</t>
  </si>
  <si>
    <t>MYCGFC..D</t>
  </si>
  <si>
    <t>MYCEXN..D</t>
  </si>
  <si>
    <t>MYCIMN..D</t>
  </si>
  <si>
    <t>MYCMS0..B</t>
  </si>
  <si>
    <t>MYCMS1..B</t>
  </si>
  <si>
    <t>MYCMS2..B</t>
  </si>
  <si>
    <t>MYCMS3..B</t>
  </si>
  <si>
    <t>MYCCPI..E</t>
  </si>
  <si>
    <t>MYCCPI..F</t>
  </si>
  <si>
    <t>MYCPPI..E</t>
  </si>
  <si>
    <t>MYCPPI..F</t>
  </si>
  <si>
    <t>MYCEXI..F</t>
  </si>
  <si>
    <t>MYCIMI..F</t>
  </si>
  <si>
    <t>MYCTRM..F</t>
  </si>
  <si>
    <t>MYCEMF..O</t>
  </si>
  <si>
    <t>MYCUNP..Q</t>
  </si>
  <si>
    <t>MYCIND..G</t>
  </si>
  <si>
    <t>MYCGOV..A</t>
  </si>
  <si>
    <t>MYCCUR..B</t>
  </si>
  <si>
    <t>MYCCUR..Q</t>
  </si>
  <si>
    <t>MYCEXP..B</t>
  </si>
  <si>
    <t>MYCIMP..B</t>
  </si>
  <si>
    <t>MYCVIS..B</t>
  </si>
  <si>
    <t>MYCRES..A</t>
  </si>
  <si>
    <t>Mali</t>
  </si>
  <si>
    <t>ML</t>
  </si>
  <si>
    <t>MLCGDP..D</t>
  </si>
  <si>
    <t>MLCGDP..A</t>
  </si>
  <si>
    <t>MLCPCE..D</t>
  </si>
  <si>
    <t>MLCGCE..D</t>
  </si>
  <si>
    <t>MLCGFC..D</t>
  </si>
  <si>
    <t>MLCMS2..B</t>
  </si>
  <si>
    <t>MLCCPI..E</t>
  </si>
  <si>
    <t>MLCCPI..F</t>
  </si>
  <si>
    <t>MLCRES..A</t>
  </si>
  <si>
    <t>Malta</t>
  </si>
  <si>
    <t>MA</t>
  </si>
  <si>
    <t>MACGDP..D</t>
  </si>
  <si>
    <t>MACGDP..A</t>
  </si>
  <si>
    <t>MACPCE..D</t>
  </si>
  <si>
    <t>MACGCE..D</t>
  </si>
  <si>
    <t>MACGFC..D</t>
  </si>
  <si>
    <t>MACEXN..D</t>
  </si>
  <si>
    <t>MACIMN..D</t>
  </si>
  <si>
    <t>MACMS0..B</t>
  </si>
  <si>
    <t>MACMS1..B</t>
  </si>
  <si>
    <t>MACMS2..B</t>
  </si>
  <si>
    <t>MACMS3..B</t>
  </si>
  <si>
    <t>MACCPI..E</t>
  </si>
  <si>
    <t>MACCPI..F</t>
  </si>
  <si>
    <t>MACPPI..E</t>
  </si>
  <si>
    <t>MACPPI..F</t>
  </si>
  <si>
    <t>MACEMF..O</t>
  </si>
  <si>
    <t>MACUNP..Q</t>
  </si>
  <si>
    <t>MACGOV..A</t>
  </si>
  <si>
    <t>MACCUR..B</t>
  </si>
  <si>
    <t>MACCUR..Q</t>
  </si>
  <si>
    <t>MACRES..A</t>
  </si>
  <si>
    <t>Mauritania</t>
  </si>
  <si>
    <t>MR</t>
  </si>
  <si>
    <t>MRCGDP..D</t>
  </si>
  <si>
    <t>MRCGDP..A</t>
  </si>
  <si>
    <t>MRCPCE..D</t>
  </si>
  <si>
    <t>MRCGCE..D</t>
  </si>
  <si>
    <t>MRCGFC..D</t>
  </si>
  <si>
    <t>MRCEXN..D</t>
  </si>
  <si>
    <t>MRCIMN..D</t>
  </si>
  <si>
    <t>MRCMS2..B</t>
  </si>
  <si>
    <t>MRCCPI..E</t>
  </si>
  <si>
    <t>MRCCPI..F</t>
  </si>
  <si>
    <t>Mauritius</t>
  </si>
  <si>
    <t>MU</t>
  </si>
  <si>
    <t>MUCGDP..A</t>
  </si>
  <si>
    <t>MUCMS1..B</t>
  </si>
  <si>
    <t>MUCMS2..B</t>
  </si>
  <si>
    <t>MUCCPI..E</t>
  </si>
  <si>
    <t>MUCCPI..F</t>
  </si>
  <si>
    <t>MUCPPI..E</t>
  </si>
  <si>
    <t>MUCPPI..F</t>
  </si>
  <si>
    <t>MUCEMF..O</t>
  </si>
  <si>
    <t>MUCUNP..Q</t>
  </si>
  <si>
    <t>MUCRES..A</t>
  </si>
  <si>
    <t>Mexico</t>
  </si>
  <si>
    <t>MX</t>
  </si>
  <si>
    <t>MXCGDP..D</t>
  </si>
  <si>
    <t>MXCGDP..A</t>
  </si>
  <si>
    <t>MXCPCE..D</t>
  </si>
  <si>
    <t>MXCGCE..D</t>
  </si>
  <si>
    <t>MXCGFC..D</t>
  </si>
  <si>
    <t>MXCEXN..D</t>
  </si>
  <si>
    <t>MXCIMN..D</t>
  </si>
  <si>
    <t>MXCMS0..B</t>
  </si>
  <si>
    <t>MXCMS1..B</t>
  </si>
  <si>
    <t>MXCMS2..B</t>
  </si>
  <si>
    <t>MXCMS3..B</t>
  </si>
  <si>
    <t>MXCCPI..E</t>
  </si>
  <si>
    <t>MXCCPI..F</t>
  </si>
  <si>
    <t>MXCPPI..E</t>
  </si>
  <si>
    <t>MXCPPI..F</t>
  </si>
  <si>
    <t>MXCCOR..E</t>
  </si>
  <si>
    <t>MXCCOR..F</t>
  </si>
  <si>
    <t>MXCEXI..F</t>
  </si>
  <si>
    <t>MXCIMI..F</t>
  </si>
  <si>
    <t>MXCTRM..F</t>
  </si>
  <si>
    <t>MXCEMF..O</t>
  </si>
  <si>
    <t>MXCUNP..Q</t>
  </si>
  <si>
    <t>MXCIND..G</t>
  </si>
  <si>
    <t>MXCGOV..A</t>
  </si>
  <si>
    <t>MXCCUR..B</t>
  </si>
  <si>
    <t>MXCCUR..Q</t>
  </si>
  <si>
    <t>MXCEXP..B</t>
  </si>
  <si>
    <t>MXCIMP..B</t>
  </si>
  <si>
    <t>MXCVIS..B</t>
  </si>
  <si>
    <t>MXCRES..A</t>
  </si>
  <si>
    <t>Moldova, Republic of</t>
  </si>
  <si>
    <t>MF</t>
  </si>
  <si>
    <t>MFCGDP..D</t>
  </si>
  <si>
    <t>MFCGDP..A</t>
  </si>
  <si>
    <t>MFCPCE..D</t>
  </si>
  <si>
    <t>MFCGCE..D</t>
  </si>
  <si>
    <t>MFCGFC..D</t>
  </si>
  <si>
    <t>MFCEXN..D</t>
  </si>
  <si>
    <t>MFCIMN..D</t>
  </si>
  <si>
    <t>MFCMS0..B</t>
  </si>
  <si>
    <t>MFCMS1..B</t>
  </si>
  <si>
    <t>MFCMS2..B</t>
  </si>
  <si>
    <t>MFCMS3..B</t>
  </si>
  <si>
    <t>MFCCPI..E</t>
  </si>
  <si>
    <t>MFCCPI..F</t>
  </si>
  <si>
    <t>MFCPPI..E</t>
  </si>
  <si>
    <t>MFCPPI..F</t>
  </si>
  <si>
    <t>MFCUNP..Q</t>
  </si>
  <si>
    <t>MFCRES..A</t>
  </si>
  <si>
    <t>Montenegro</t>
  </si>
  <si>
    <t>MN</t>
  </si>
  <si>
    <t>MNCGDP..A</t>
  </si>
  <si>
    <t>MNCCPI..E</t>
  </si>
  <si>
    <t>MNCCPI..F</t>
  </si>
  <si>
    <t>MNCPPI..E</t>
  </si>
  <si>
    <t>MNCPPI..F</t>
  </si>
  <si>
    <t>MNCEXI..F</t>
  </si>
  <si>
    <t>MNCIMI..F</t>
  </si>
  <si>
    <t>MNCTRM..F</t>
  </si>
  <si>
    <t>MNCEMF..O</t>
  </si>
  <si>
    <t>MNCUNP..Q</t>
  </si>
  <si>
    <t>MNCRET..E</t>
  </si>
  <si>
    <t>MNCRET..F</t>
  </si>
  <si>
    <t>MNCRES..A</t>
  </si>
  <si>
    <t>Morocco</t>
  </si>
  <si>
    <t>MC</t>
  </si>
  <si>
    <t>MCCGDP..D</t>
  </si>
  <si>
    <t>MCCGDP..A</t>
  </si>
  <si>
    <t>MCCPCE..D</t>
  </si>
  <si>
    <t>MCCGCE..D</t>
  </si>
  <si>
    <t>MCCGFC..D</t>
  </si>
  <si>
    <t>MCCEXN..D</t>
  </si>
  <si>
    <t>MCCIMN..D</t>
  </si>
  <si>
    <t>MCCMS1..B</t>
  </si>
  <si>
    <t>MCCMS2..B</t>
  </si>
  <si>
    <t>MCCMS3..B</t>
  </si>
  <si>
    <t>MCCCPI..E</t>
  </si>
  <si>
    <t>MCCCPI..F</t>
  </si>
  <si>
    <t>MCCEMF..O</t>
  </si>
  <si>
    <t>MCCUNP..Q</t>
  </si>
  <si>
    <t>MCCIND..G</t>
  </si>
  <si>
    <t>MCCGOV..A</t>
  </si>
  <si>
    <t>MCCCUR..B</t>
  </si>
  <si>
    <t>MCCCUR..Q</t>
  </si>
  <si>
    <t>MCCEXP..B</t>
  </si>
  <si>
    <t>MCCIMP..B</t>
  </si>
  <si>
    <t>MCCVIS..B</t>
  </si>
  <si>
    <t>MCCRES..A</t>
  </si>
  <si>
    <t>Mozambique</t>
  </si>
  <si>
    <t>MZ</t>
  </si>
  <si>
    <t>MZCGDP..A</t>
  </si>
  <si>
    <t>MZCMS1..B</t>
  </si>
  <si>
    <t>MZCMS2..B</t>
  </si>
  <si>
    <t>MZCMS3..B</t>
  </si>
  <si>
    <t>MZCCPI..E</t>
  </si>
  <si>
    <t>MZCCPI..F</t>
  </si>
  <si>
    <t>MZCRES..A</t>
  </si>
  <si>
    <t>Namibia</t>
  </si>
  <si>
    <t>WA</t>
  </si>
  <si>
    <t>WACGDP..D</t>
  </si>
  <si>
    <t>WACGDP..A</t>
  </si>
  <si>
    <t>WACPCE..D</t>
  </si>
  <si>
    <t>WACGCE..D</t>
  </si>
  <si>
    <t>WACGFC..D</t>
  </si>
  <si>
    <t>WACEXN..D</t>
  </si>
  <si>
    <t>WACIMN..D</t>
  </si>
  <si>
    <t>WACMS1..B</t>
  </si>
  <si>
    <t>WACMS2..B</t>
  </si>
  <si>
    <t>WACCPI..E</t>
  </si>
  <si>
    <t>WACCPI..F</t>
  </si>
  <si>
    <t>WACCUR..B</t>
  </si>
  <si>
    <t>WACCUR..Q</t>
  </si>
  <si>
    <t>WACEXP..B</t>
  </si>
  <si>
    <t>WACIMP..B</t>
  </si>
  <si>
    <t>WACVIS..B</t>
  </si>
  <si>
    <t>WACRES..A</t>
  </si>
  <si>
    <t>Netherlands</t>
  </si>
  <si>
    <t>NL</t>
  </si>
  <si>
    <t>NLCGDP..D</t>
  </si>
  <si>
    <t>NLCGDP..A</t>
  </si>
  <si>
    <t>NLCPCE..D</t>
  </si>
  <si>
    <t>NLCGCE..D</t>
  </si>
  <si>
    <t>NLCGFC..D</t>
  </si>
  <si>
    <t>NLCEXN..D</t>
  </si>
  <si>
    <t>NLCIMN..D</t>
  </si>
  <si>
    <t>NLCMS0..B</t>
  </si>
  <si>
    <t>NLCMS1..B</t>
  </si>
  <si>
    <t>NLCMS2..B</t>
  </si>
  <si>
    <t>NLCMS3..B</t>
  </si>
  <si>
    <t>NLCCPI..E</t>
  </si>
  <si>
    <t>NLCCPI..F</t>
  </si>
  <si>
    <t>NLCPPI..E</t>
  </si>
  <si>
    <t>NLCPPI..F</t>
  </si>
  <si>
    <t>NLCCOR..E</t>
  </si>
  <si>
    <t>NLCCOR..F</t>
  </si>
  <si>
    <t>NLCEXI..F</t>
  </si>
  <si>
    <t>NLCIMI..F</t>
  </si>
  <si>
    <t>NLCTRM..F</t>
  </si>
  <si>
    <t>NLCEMP..O</t>
  </si>
  <si>
    <t>NLCEMF..O</t>
  </si>
  <si>
    <t>NLCUNP..Q</t>
  </si>
  <si>
    <t>NLCRET..E</t>
  </si>
  <si>
    <t>NLCRET..F</t>
  </si>
  <si>
    <t>NLCIND..G</t>
  </si>
  <si>
    <t>NLCGOV..A</t>
  </si>
  <si>
    <t>NLCCUR..B</t>
  </si>
  <si>
    <t>NLCCUR..Q</t>
  </si>
  <si>
    <t>NLCEXP..B</t>
  </si>
  <si>
    <t>NLCIMP..B</t>
  </si>
  <si>
    <t>NLCVIS..B</t>
  </si>
  <si>
    <t>NLCRES..A</t>
  </si>
  <si>
    <t>New Zealand</t>
  </si>
  <si>
    <t>NZ</t>
  </si>
  <si>
    <t>NZCGDP..D</t>
  </si>
  <si>
    <t>NZCGDP..A</t>
  </si>
  <si>
    <t>NZCPCE..D</t>
  </si>
  <si>
    <t>NZCGCE..D</t>
  </si>
  <si>
    <t>NZCGFC..D</t>
  </si>
  <si>
    <t>NZCEXN..D</t>
  </si>
  <si>
    <t>NZCIMN..D</t>
  </si>
  <si>
    <t>NZCMS0..B</t>
  </si>
  <si>
    <t>NZCMS1..B</t>
  </si>
  <si>
    <t>NZCMS2..B</t>
  </si>
  <si>
    <t>NZCMS3..B</t>
  </si>
  <si>
    <t>NZCCPI..E</t>
  </si>
  <si>
    <t>NZCCPI..F</t>
  </si>
  <si>
    <t>NZCPPI..E</t>
  </si>
  <si>
    <t>NZCPPI..F</t>
  </si>
  <si>
    <t>NZCCOR..E</t>
  </si>
  <si>
    <t>NZCCOR..F</t>
  </si>
  <si>
    <t>NZCEXI..F</t>
  </si>
  <si>
    <t>NZCIMI..F</t>
  </si>
  <si>
    <t>NZCTRM..F</t>
  </si>
  <si>
    <t>NZCEMF..O</t>
  </si>
  <si>
    <t>NZCUNP..Q</t>
  </si>
  <si>
    <t>NZCRET..E</t>
  </si>
  <si>
    <t>NZCRET..F</t>
  </si>
  <si>
    <t>NZCGOV..A</t>
  </si>
  <si>
    <t>NZCCUR..B</t>
  </si>
  <si>
    <t>NZCCUR..Q</t>
  </si>
  <si>
    <t>NZCEXP..B</t>
  </si>
  <si>
    <t>NZCIMP..B</t>
  </si>
  <si>
    <t>NZCVIS..B</t>
  </si>
  <si>
    <t>NZCRES..A</t>
  </si>
  <si>
    <t>Nicaragua</t>
  </si>
  <si>
    <t>NI</t>
  </si>
  <si>
    <t>NICGDP..A</t>
  </si>
  <si>
    <t>NICMS1..B</t>
  </si>
  <si>
    <t>NICMS2..B</t>
  </si>
  <si>
    <t>NICMS3..B</t>
  </si>
  <si>
    <t>NICCPI..E</t>
  </si>
  <si>
    <t>NICCPI..F</t>
  </si>
  <si>
    <t>NICPPI..E</t>
  </si>
  <si>
    <t>NICPPI..F</t>
  </si>
  <si>
    <t>NICRES..A</t>
  </si>
  <si>
    <t>Niger</t>
  </si>
  <si>
    <t>NR</t>
  </si>
  <si>
    <t>NRCGDP..D</t>
  </si>
  <si>
    <t>NRCGDP..A</t>
  </si>
  <si>
    <t>NRCPCE..D</t>
  </si>
  <si>
    <t>NRCGCE..D</t>
  </si>
  <si>
    <t>NRCGFC..D</t>
  </si>
  <si>
    <t>NRCEXN..D</t>
  </si>
  <si>
    <t>NRCIMN..D</t>
  </si>
  <si>
    <t>NRCMS0..B</t>
  </si>
  <si>
    <t>NRCMS2..B</t>
  </si>
  <si>
    <t>NRCCPI..E</t>
  </si>
  <si>
    <t>NRCCPI..F</t>
  </si>
  <si>
    <t>NRCRES..A</t>
  </si>
  <si>
    <t>Nigeria</t>
  </si>
  <si>
    <t>NG</t>
  </si>
  <si>
    <t>NGCGDP..A</t>
  </si>
  <si>
    <t>NGCMS0..B</t>
  </si>
  <si>
    <t>NGCMS1..B</t>
  </si>
  <si>
    <t>NGCMS2..B</t>
  </si>
  <si>
    <t>NGCCPI..E</t>
  </si>
  <si>
    <t>NGCCPI..F</t>
  </si>
  <si>
    <t>NGCCOR..E</t>
  </si>
  <si>
    <t>NGCCOR..F</t>
  </si>
  <si>
    <t>NGCRES..A</t>
  </si>
  <si>
    <t>Norway</t>
  </si>
  <si>
    <t>NW</t>
  </si>
  <si>
    <t>NWCGDP..D</t>
  </si>
  <si>
    <t>NWCGDP..A</t>
  </si>
  <si>
    <t>NWCPCE..D</t>
  </si>
  <si>
    <t>NWCGCE..D</t>
  </si>
  <si>
    <t>NWCGFC..D</t>
  </si>
  <si>
    <t>NWCEXN..D</t>
  </si>
  <si>
    <t>NWCIMN..D</t>
  </si>
  <si>
    <t>NWCMS0..B</t>
  </si>
  <si>
    <t>NWCMS2..B</t>
  </si>
  <si>
    <t>NWCMS3..B</t>
  </si>
  <si>
    <t>NWCCPI..E</t>
  </si>
  <si>
    <t>NWCCPI..F</t>
  </si>
  <si>
    <t>NWCPPI..E</t>
  </si>
  <si>
    <t>NWCPPI..F</t>
  </si>
  <si>
    <t>NWCCOR..E</t>
  </si>
  <si>
    <t>NWCCOR..F</t>
  </si>
  <si>
    <t>NWCEXI..F</t>
  </si>
  <si>
    <t>NWCIMI..F</t>
  </si>
  <si>
    <t>NWCTRM..F</t>
  </si>
  <si>
    <t>NWCEMP..O</t>
  </si>
  <si>
    <t>NWCEMF..O</t>
  </si>
  <si>
    <t>NWCUNP..Q</t>
  </si>
  <si>
    <t>NWCIND..G</t>
  </si>
  <si>
    <t>NWCGOV..A</t>
  </si>
  <si>
    <t>NWCCUR..B</t>
  </si>
  <si>
    <t>NWCCUR..Q</t>
  </si>
  <si>
    <t>NWCEXP..B</t>
  </si>
  <si>
    <t>NWCIMP..B</t>
  </si>
  <si>
    <t>NWCVIS..B</t>
  </si>
  <si>
    <t>NWCRES..A</t>
  </si>
  <si>
    <t>Oman</t>
  </si>
  <si>
    <t>OM</t>
  </si>
  <si>
    <t>OMCGDP..A</t>
  </si>
  <si>
    <t>OMCMS1..B</t>
  </si>
  <si>
    <t>OMCMS2..B</t>
  </si>
  <si>
    <t>OMCCPI..E</t>
  </si>
  <si>
    <t>OMCCPI..F</t>
  </si>
  <si>
    <t>OMCPPI..E</t>
  </si>
  <si>
    <t>OMCPPI..F</t>
  </si>
  <si>
    <t>OMCRES..A</t>
  </si>
  <si>
    <t>Pakistan</t>
  </si>
  <si>
    <t>PK</t>
  </si>
  <si>
    <t>PKCGDP..D</t>
  </si>
  <si>
    <t>PKCGDP..A</t>
  </si>
  <si>
    <t>PKCPCE..D</t>
  </si>
  <si>
    <t>PKCGCE..D</t>
  </si>
  <si>
    <t>PKCGFC..D</t>
  </si>
  <si>
    <t>PKCEXN..D</t>
  </si>
  <si>
    <t>PKCIMN..D</t>
  </si>
  <si>
    <t>PKCMS0..B</t>
  </si>
  <si>
    <t>PKCMS1..B</t>
  </si>
  <si>
    <t>PKCMS2..B</t>
  </si>
  <si>
    <t>PKCMS3..B</t>
  </si>
  <si>
    <t>PKCCPI..E</t>
  </si>
  <si>
    <t>PKCCPI..F</t>
  </si>
  <si>
    <t>PKCPPI..E</t>
  </si>
  <si>
    <t>PKCPPI..F</t>
  </si>
  <si>
    <t>PKCEXI..F</t>
  </si>
  <si>
    <t>PKCIMI..F</t>
  </si>
  <si>
    <t>PKCTRM..F</t>
  </si>
  <si>
    <t>PKCEMF..O</t>
  </si>
  <si>
    <t>PKCUNP..Q</t>
  </si>
  <si>
    <t>PKCIND..G</t>
  </si>
  <si>
    <t>PKCGOV..A</t>
  </si>
  <si>
    <t>PKCCUR..B</t>
  </si>
  <si>
    <t>PKCCUR..Q</t>
  </si>
  <si>
    <t>PKCEXP..B</t>
  </si>
  <si>
    <t>PKCIMP..B</t>
  </si>
  <si>
    <t>PKCVIS..B</t>
  </si>
  <si>
    <t>PKCRES..A</t>
  </si>
  <si>
    <t>Palestinian Authority</t>
  </si>
  <si>
    <t>PS</t>
  </si>
  <si>
    <t>PSCCPI..E</t>
  </si>
  <si>
    <t>PSCCPI..F</t>
  </si>
  <si>
    <t>Panama</t>
  </si>
  <si>
    <t>PA</t>
  </si>
  <si>
    <t>PACGDP..D</t>
  </si>
  <si>
    <t>PACGDP..A</t>
  </si>
  <si>
    <t>PACPCE..D</t>
  </si>
  <si>
    <t>PACGCE..D</t>
  </si>
  <si>
    <t>PACGFC..D</t>
  </si>
  <si>
    <t>PACEXN..D</t>
  </si>
  <si>
    <t>PACIMN..D</t>
  </si>
  <si>
    <t>PACPPI..E</t>
  </si>
  <si>
    <t>PACPPI..F</t>
  </si>
  <si>
    <t>PACEMP..O</t>
  </si>
  <si>
    <t>PACUNP..Q</t>
  </si>
  <si>
    <t>PACRES..A</t>
  </si>
  <si>
    <t>Peru</t>
  </si>
  <si>
    <t>PE</t>
  </si>
  <si>
    <t>PECGDP..D</t>
  </si>
  <si>
    <t>PECGDP..A</t>
  </si>
  <si>
    <t>PECPCE..D</t>
  </si>
  <si>
    <t>PECGCE..D</t>
  </si>
  <si>
    <t>PECGFC..D</t>
  </si>
  <si>
    <t>PECEXN..D</t>
  </si>
  <si>
    <t>PECIMN..D</t>
  </si>
  <si>
    <t>PECMS0..B</t>
  </si>
  <si>
    <t>PECMS1..B</t>
  </si>
  <si>
    <t>PECMS2..B</t>
  </si>
  <si>
    <t>PECCPI..E</t>
  </si>
  <si>
    <t>PECCPI..F</t>
  </si>
  <si>
    <t>PECPPI..E</t>
  </si>
  <si>
    <t>PECPPI..F</t>
  </si>
  <si>
    <t>PECCOR..E</t>
  </si>
  <si>
    <t>PECCOR..F</t>
  </si>
  <si>
    <t>PECEXI..F</t>
  </si>
  <si>
    <t>PECIMI..F</t>
  </si>
  <si>
    <t>PECTRM..F</t>
  </si>
  <si>
    <t>PECEMF..O</t>
  </si>
  <si>
    <t>PECUNP..Q</t>
  </si>
  <si>
    <t>PECIND..G</t>
  </si>
  <si>
    <t>PECGOV..A</t>
  </si>
  <si>
    <t>PECCUR..B</t>
  </si>
  <si>
    <t>PECCUR..Q</t>
  </si>
  <si>
    <t>PECEXP..B</t>
  </si>
  <si>
    <t>PECIMP..B</t>
  </si>
  <si>
    <t>PECVIS..B</t>
  </si>
  <si>
    <t>PECRES..A</t>
  </si>
  <si>
    <t>Philippines</t>
  </si>
  <si>
    <t>PH</t>
  </si>
  <si>
    <t>PHCGDP..D</t>
  </si>
  <si>
    <t>PHCGDP..A</t>
  </si>
  <si>
    <t>PHCPCE..D</t>
  </si>
  <si>
    <t>PHCGCE..D</t>
  </si>
  <si>
    <t>PHCGFC..D</t>
  </si>
  <si>
    <t>PHCEXN..D</t>
  </si>
  <si>
    <t>PHCIMN..D</t>
  </si>
  <si>
    <t>PHCMS0..B</t>
  </si>
  <si>
    <t>PHCMS1..B</t>
  </si>
  <si>
    <t>PHCMS2..B</t>
  </si>
  <si>
    <t>PHCMS3..B</t>
  </si>
  <si>
    <t>PHCCPI..E</t>
  </si>
  <si>
    <t>PHCCPI..F</t>
  </si>
  <si>
    <t>PHCPPI..E</t>
  </si>
  <si>
    <t>PHCPPI..F</t>
  </si>
  <si>
    <t>PHCCOR..E</t>
  </si>
  <si>
    <t>PHCCOR..F</t>
  </si>
  <si>
    <t>PHCEMF..O</t>
  </si>
  <si>
    <t>PHCUNP..Q</t>
  </si>
  <si>
    <t>PHCRET..E</t>
  </si>
  <si>
    <t>PHCRET..F</t>
  </si>
  <si>
    <t>PHCIND..G</t>
  </si>
  <si>
    <t>PHCGOV..A</t>
  </si>
  <si>
    <t>PHCCUR..B</t>
  </si>
  <si>
    <t>PHCCUR..Q</t>
  </si>
  <si>
    <t>PHCEXP..B</t>
  </si>
  <si>
    <t>PHCIMP..B</t>
  </si>
  <si>
    <t>PHCVIS..B</t>
  </si>
  <si>
    <t>PHCRES..A</t>
  </si>
  <si>
    <t>Poland</t>
  </si>
  <si>
    <t>PO</t>
  </si>
  <si>
    <t>POCGDP..D</t>
  </si>
  <si>
    <t>POCGDP..A</t>
  </si>
  <si>
    <t>POCPCE..D</t>
  </si>
  <si>
    <t>POCGCE..D</t>
  </si>
  <si>
    <t>POCGFC..D</t>
  </si>
  <si>
    <t>POCEXN..D</t>
  </si>
  <si>
    <t>POCIMN..D</t>
  </si>
  <si>
    <t>POCMS0..B</t>
  </si>
  <si>
    <t>POCMS1..B</t>
  </si>
  <si>
    <t>POCMS2..B</t>
  </si>
  <si>
    <t>POCMS3..B</t>
  </si>
  <si>
    <t>POCCPI..E</t>
  </si>
  <si>
    <t>POCCPI..F</t>
  </si>
  <si>
    <t>POCPPI..E</t>
  </si>
  <si>
    <t>POCPPI..F</t>
  </si>
  <si>
    <t>POCCOR..E</t>
  </si>
  <si>
    <t>POCCOR..F</t>
  </si>
  <si>
    <t>POCEMP..O</t>
  </si>
  <si>
    <t>POCEMF..O</t>
  </si>
  <si>
    <t>POCUNP..Q</t>
  </si>
  <si>
    <t>POCIND..G</t>
  </si>
  <si>
    <t>POCGOV..A</t>
  </si>
  <si>
    <t>POCCUR..B</t>
  </si>
  <si>
    <t>POCCUR..Q</t>
  </si>
  <si>
    <t>POCEXP..B</t>
  </si>
  <si>
    <t>POCIMP..B</t>
  </si>
  <si>
    <t>POCVIS..B</t>
  </si>
  <si>
    <t>POCRES..A</t>
  </si>
  <si>
    <t>Portugal</t>
  </si>
  <si>
    <t>PT</t>
  </si>
  <si>
    <t>PTCGDP..D</t>
  </si>
  <si>
    <t>PTCGDP..A</t>
  </si>
  <si>
    <t>PTCPCE..D</t>
  </si>
  <si>
    <t>PTCGCE..D</t>
  </si>
  <si>
    <t>PTCGFC..D</t>
  </si>
  <si>
    <t>PTCEXN..D</t>
  </si>
  <si>
    <t>PTCIMN..D</t>
  </si>
  <si>
    <t>PTCMS0..B</t>
  </si>
  <si>
    <t>PTCMS1..B</t>
  </si>
  <si>
    <t>PTCMS2..B</t>
  </si>
  <si>
    <t>PTCCPI..E</t>
  </si>
  <si>
    <t>PTCCPI..F</t>
  </si>
  <si>
    <t>PTCPPI..E</t>
  </si>
  <si>
    <t>PTCPPI..F</t>
  </si>
  <si>
    <t>PTCCOR..E</t>
  </si>
  <si>
    <t>PTCCOR..F</t>
  </si>
  <si>
    <t>PTCEMF..O</t>
  </si>
  <si>
    <t>PTCUNP..Q</t>
  </si>
  <si>
    <t>PTCRET..E</t>
  </si>
  <si>
    <t>PTCRET..F</t>
  </si>
  <si>
    <t>PTCIND..G</t>
  </si>
  <si>
    <t>PTCGOV..A</t>
  </si>
  <si>
    <t>PTCCUR..B</t>
  </si>
  <si>
    <t>PTCCUR..Q</t>
  </si>
  <si>
    <t>PTCEXP..B</t>
  </si>
  <si>
    <t>PTCIMP..B</t>
  </si>
  <si>
    <t>PTCVIS..B</t>
  </si>
  <si>
    <t>PTCRES..A</t>
  </si>
  <si>
    <t>Qatar</t>
  </si>
  <si>
    <t>QA</t>
  </si>
  <si>
    <t>QACGDP..D</t>
  </si>
  <si>
    <t>QACGDP..A</t>
  </si>
  <si>
    <t>QACMS0..B</t>
  </si>
  <si>
    <t>QACMS1..B</t>
  </si>
  <si>
    <t>QACMS2..B</t>
  </si>
  <si>
    <t>QACMS3..B</t>
  </si>
  <si>
    <t>QACCPI..E</t>
  </si>
  <si>
    <t>QACCPI..F</t>
  </si>
  <si>
    <t>QACRES..A</t>
  </si>
  <si>
    <t>Romania</t>
  </si>
  <si>
    <t>RM</t>
  </si>
  <si>
    <t>RMCGDP..D</t>
  </si>
  <si>
    <t>RMCGDP..A</t>
  </si>
  <si>
    <t>RMCPCE..D</t>
  </si>
  <si>
    <t>RMCGCE..D</t>
  </si>
  <si>
    <t>RMCGFC..D</t>
  </si>
  <si>
    <t>RMCEXN..D</t>
  </si>
  <si>
    <t>RMCIMN..D</t>
  </si>
  <si>
    <t>RMCMS0..B</t>
  </si>
  <si>
    <t>RMCMS1..B</t>
  </si>
  <si>
    <t>RMCMS2..B</t>
  </si>
  <si>
    <t>RMCMS3..B</t>
  </si>
  <si>
    <t>RMCCPI..E</t>
  </si>
  <si>
    <t>RMCCPI..F</t>
  </si>
  <si>
    <t>RMCPPI..E</t>
  </si>
  <si>
    <t>RMCPPI..F</t>
  </si>
  <si>
    <t>RMCCOR..E</t>
  </si>
  <si>
    <t>RMCCOR..F</t>
  </si>
  <si>
    <t>RMCEMF..O</t>
  </si>
  <si>
    <t>RMCUNP..Q</t>
  </si>
  <si>
    <t>RMCIND..G</t>
  </si>
  <si>
    <t>RMCGOV..A</t>
  </si>
  <si>
    <t>RMCCUR..B</t>
  </si>
  <si>
    <t>RMCCUR..Q</t>
  </si>
  <si>
    <t>RMCEXP..B</t>
  </si>
  <si>
    <t>RMCIMP..B</t>
  </si>
  <si>
    <t>RMCVIS..B</t>
  </si>
  <si>
    <t>RMCRES..A</t>
  </si>
  <si>
    <t>Russia</t>
  </si>
  <si>
    <t>RS</t>
  </si>
  <si>
    <t>RSCGDP..D</t>
  </si>
  <si>
    <t>RSCGDP..A</t>
  </si>
  <si>
    <t>RSCPCE..D</t>
  </si>
  <si>
    <t>RSCGCE..D</t>
  </si>
  <si>
    <t>RSCGFC..D</t>
  </si>
  <si>
    <t>RSCEXN..D</t>
  </si>
  <si>
    <t>RSCIMN..D</t>
  </si>
  <si>
    <t>RSCMS0..B</t>
  </si>
  <si>
    <t>RSCMS1..B</t>
  </si>
  <si>
    <t>RSCMS2..B</t>
  </si>
  <si>
    <t>RSCCPI..E</t>
  </si>
  <si>
    <t>RSCCPI..F</t>
  </si>
  <si>
    <t>RSCPPI..E</t>
  </si>
  <si>
    <t>RSCPPI..F</t>
  </si>
  <si>
    <t>RSCCOR..E</t>
  </si>
  <si>
    <t>RSCCOR..F</t>
  </si>
  <si>
    <t>RSCEMF..O</t>
  </si>
  <si>
    <t>RSCUNP..Q</t>
  </si>
  <si>
    <t>RSCRET..E</t>
  </si>
  <si>
    <t>RSCRET..F</t>
  </si>
  <si>
    <t>RSCIND..G</t>
  </si>
  <si>
    <t>RSCGOV..A</t>
  </si>
  <si>
    <t>RSCCUR..B</t>
  </si>
  <si>
    <t>RSCCUR..Q</t>
  </si>
  <si>
    <t>RSCEXP..B</t>
  </si>
  <si>
    <t>RSCIMP..B</t>
  </si>
  <si>
    <t>RSCVIS..B</t>
  </si>
  <si>
    <t>RSCRES..A</t>
  </si>
  <si>
    <t>Rwanda</t>
  </si>
  <si>
    <t>RW</t>
  </si>
  <si>
    <t>RWCCPI..E</t>
  </si>
  <si>
    <t>RWCCPI..F</t>
  </si>
  <si>
    <t>Sao Tome and Principe</t>
  </si>
  <si>
    <t>ST</t>
  </si>
  <si>
    <t>STCGDP..D</t>
  </si>
  <si>
    <t>STCGDP..A</t>
  </si>
  <si>
    <t>STCMS0..B</t>
  </si>
  <si>
    <t>STCMS1..B</t>
  </si>
  <si>
    <t>STCMS2..B</t>
  </si>
  <si>
    <t>STCMS3..B</t>
  </si>
  <si>
    <t>STCCPI..E</t>
  </si>
  <si>
    <t>STCCPI..F</t>
  </si>
  <si>
    <t>STCRES..A</t>
  </si>
  <si>
    <t>Saudi Arabia</t>
  </si>
  <si>
    <t>SI</t>
  </si>
  <si>
    <t>SICGDP..A</t>
  </si>
  <si>
    <t>SICMS0..B</t>
  </si>
  <si>
    <t>SICMS1..B</t>
  </si>
  <si>
    <t>SICMS2..B</t>
  </si>
  <si>
    <t>SICMS3..B</t>
  </si>
  <si>
    <t>SICCPI..E</t>
  </si>
  <si>
    <t>SICCPI..F</t>
  </si>
  <si>
    <t>SICRES..A</t>
  </si>
  <si>
    <t>Senegal</t>
  </si>
  <si>
    <t>SG</t>
  </si>
  <si>
    <t>SGCGDP..D</t>
  </si>
  <si>
    <t>SGCGDP..A</t>
  </si>
  <si>
    <t>SGCPCE..D</t>
  </si>
  <si>
    <t>SGCGCE..D</t>
  </si>
  <si>
    <t>SGCGFC..D</t>
  </si>
  <si>
    <t>SGCEXN..D</t>
  </si>
  <si>
    <t>SGCIMN..D</t>
  </si>
  <si>
    <t>SGCMS0..B</t>
  </si>
  <si>
    <t>SGCMS2..B</t>
  </si>
  <si>
    <t>SGCCPI..E</t>
  </si>
  <si>
    <t>SGCCPI..F</t>
  </si>
  <si>
    <t>SGCPPI..E</t>
  </si>
  <si>
    <t>SGCPPI..F</t>
  </si>
  <si>
    <t>SGCRES..A</t>
  </si>
  <si>
    <t>Serbia</t>
  </si>
  <si>
    <t>SB</t>
  </si>
  <si>
    <t>SBCGDP..D</t>
  </si>
  <si>
    <t>SBCGDP..A</t>
  </si>
  <si>
    <t>SBCMS0..B</t>
  </si>
  <si>
    <t>SBCMS1..B</t>
  </si>
  <si>
    <t>SBCMS2..B</t>
  </si>
  <si>
    <t>SBCMS3..B</t>
  </si>
  <si>
    <t>SBCCPI..E</t>
  </si>
  <si>
    <t>SBCCPI..F</t>
  </si>
  <si>
    <t>SBCEMP..O</t>
  </si>
  <si>
    <t>SBCEMF..O</t>
  </si>
  <si>
    <t>SBCRET..E</t>
  </si>
  <si>
    <t>SBCRET..F</t>
  </si>
  <si>
    <t>SBCRES..A</t>
  </si>
  <si>
    <t>Seychelles</t>
  </si>
  <si>
    <t>SE</t>
  </si>
  <si>
    <t>SECGDP..D</t>
  </si>
  <si>
    <t>SECGDP..A</t>
  </si>
  <si>
    <t>SECPCE..D</t>
  </si>
  <si>
    <t>SECGCE..D</t>
  </si>
  <si>
    <t>SECGFC..D</t>
  </si>
  <si>
    <t>SECEXN..D</t>
  </si>
  <si>
    <t>SECIMN..D</t>
  </si>
  <si>
    <t>SECMS1..B</t>
  </si>
  <si>
    <t>SECMS2..B</t>
  </si>
  <si>
    <t>SECCPI..E</t>
  </si>
  <si>
    <t>SECCPI..F</t>
  </si>
  <si>
    <t>SECEMF..O</t>
  </si>
  <si>
    <t>SECRES..A</t>
  </si>
  <si>
    <t>Sierra Leone</t>
  </si>
  <si>
    <t>SR</t>
  </si>
  <si>
    <t>SRCGDP..D</t>
  </si>
  <si>
    <t>SRCGDP..A</t>
  </si>
  <si>
    <t>SRCPCE..D</t>
  </si>
  <si>
    <t>SRCGCE..D</t>
  </si>
  <si>
    <t>SRCGFC..D</t>
  </si>
  <si>
    <t>SRCEXN..D</t>
  </si>
  <si>
    <t>SRCIMN..D</t>
  </si>
  <si>
    <t>SRCMS0..B</t>
  </si>
  <si>
    <t>SRCMS1..B</t>
  </si>
  <si>
    <t>SRCMS2..B</t>
  </si>
  <si>
    <t>SRCCPI..E</t>
  </si>
  <si>
    <t>SRCCPI..F</t>
  </si>
  <si>
    <t>SRCEMF..O</t>
  </si>
  <si>
    <t>SRCRES..A</t>
  </si>
  <si>
    <t>Singapore</t>
  </si>
  <si>
    <t>SP</t>
  </si>
  <si>
    <t>SPCGDP..D</t>
  </si>
  <si>
    <t>SPCGDP..A</t>
  </si>
  <si>
    <t>SPCPCE..D</t>
  </si>
  <si>
    <t>SPCGCE..D</t>
  </si>
  <si>
    <t>SPCGFC..D</t>
  </si>
  <si>
    <t>SPCEXN..D</t>
  </si>
  <si>
    <t>SPCIMN..D</t>
  </si>
  <si>
    <t>SPCMS0..B</t>
  </si>
  <si>
    <t>SPCMS1..B</t>
  </si>
  <si>
    <t>SPCMS2..B</t>
  </si>
  <si>
    <t>SPCMS3..B</t>
  </si>
  <si>
    <t>SPCCPI..E</t>
  </si>
  <si>
    <t>SPCCPI..F</t>
  </si>
  <si>
    <t>SPCPPI..E</t>
  </si>
  <si>
    <t>SPCPPI..F</t>
  </si>
  <si>
    <t>SPCEXI..F</t>
  </si>
  <si>
    <t>SPCIMI..F</t>
  </si>
  <si>
    <t>SPCTRM..F</t>
  </si>
  <si>
    <t>SPCEMF..O</t>
  </si>
  <si>
    <t>SPCUNP..Q</t>
  </si>
  <si>
    <t>SPCIND..G</t>
  </si>
  <si>
    <t>SPCGOV..A</t>
  </si>
  <si>
    <t>SPCCUR..B</t>
  </si>
  <si>
    <t>SPCCUR..Q</t>
  </si>
  <si>
    <t>SPCEXP..B</t>
  </si>
  <si>
    <t>SPCIMP..B</t>
  </si>
  <si>
    <t>SPCVIS..B</t>
  </si>
  <si>
    <t>SPCRES..A</t>
  </si>
  <si>
    <t>Slovak Republic</t>
  </si>
  <si>
    <t>SX</t>
  </si>
  <si>
    <t>SXCGDP..D</t>
  </si>
  <si>
    <t>SXCGDP..A</t>
  </si>
  <si>
    <t>SXCPCE..D</t>
  </si>
  <si>
    <t>SXCGCE..D</t>
  </si>
  <si>
    <t>SXCGFC..D</t>
  </si>
  <si>
    <t>SXCEXN..D</t>
  </si>
  <si>
    <t>SXCIMN..D</t>
  </si>
  <si>
    <t>SXCMS0..B</t>
  </si>
  <si>
    <t>SXCMS1..B</t>
  </si>
  <si>
    <t>SXCMS2..B</t>
  </si>
  <si>
    <t>SXCMS3..B</t>
  </si>
  <si>
    <t>SXCCPI..E</t>
  </si>
  <si>
    <t>SXCCPI..F</t>
  </si>
  <si>
    <t>SXCPPI..E</t>
  </si>
  <si>
    <t>SXCPPI..F</t>
  </si>
  <si>
    <t>SXCCOR..E</t>
  </si>
  <si>
    <t>SXCCOR..F</t>
  </si>
  <si>
    <t>SXCEXI..F</t>
  </si>
  <si>
    <t>SXCIMI..F</t>
  </si>
  <si>
    <t>SXCTRM..F</t>
  </si>
  <si>
    <t>SXCEMF..O</t>
  </si>
  <si>
    <t>SXCUNP..Q</t>
  </si>
  <si>
    <t>SXCIND..G</t>
  </si>
  <si>
    <t>SXCGOV..A</t>
  </si>
  <si>
    <t>SXCCUR..B</t>
  </si>
  <si>
    <t>SXCCUR..Q</t>
  </si>
  <si>
    <t>SXCEXP..B</t>
  </si>
  <si>
    <t>SXCIMP..B</t>
  </si>
  <si>
    <t>SXCVIS..B</t>
  </si>
  <si>
    <t>SXCRES..A</t>
  </si>
  <si>
    <t>Slovenia</t>
  </si>
  <si>
    <t>SJ</t>
  </si>
  <si>
    <t>SJCGDP..D</t>
  </si>
  <si>
    <t>SJCGDP..A</t>
  </si>
  <si>
    <t>SJCPCE..D</t>
  </si>
  <si>
    <t>SJCGCE..D</t>
  </si>
  <si>
    <t>SJCGFC..D</t>
  </si>
  <si>
    <t>SJCEXN..D</t>
  </si>
  <si>
    <t>SJCIMN..D</t>
  </si>
  <si>
    <t>SJCMS0..B</t>
  </si>
  <si>
    <t>SJCMS1..B</t>
  </si>
  <si>
    <t>SJCMS2..B</t>
  </si>
  <si>
    <t>SJCMS3..B</t>
  </si>
  <si>
    <t>SJCCPI..E</t>
  </si>
  <si>
    <t>SJCCPI..F</t>
  </si>
  <si>
    <t>SJCPPI..E</t>
  </si>
  <si>
    <t>SJCPPI..F</t>
  </si>
  <si>
    <t>SJCCOR..E</t>
  </si>
  <si>
    <t>SJCCOR..F</t>
  </si>
  <si>
    <t>SJCEMF..O</t>
  </si>
  <si>
    <t>SJCUNP..Q</t>
  </si>
  <si>
    <t>SJCIND..G</t>
  </si>
  <si>
    <t>SJCGOV..A</t>
  </si>
  <si>
    <t>SJCCUR..B</t>
  </si>
  <si>
    <t>SJCCUR..Q</t>
  </si>
  <si>
    <t>SJCEXP..B</t>
  </si>
  <si>
    <t>SJCIMP..B</t>
  </si>
  <si>
    <t>SJCVIS..B</t>
  </si>
  <si>
    <t>SJCRES..A</t>
  </si>
  <si>
    <t>South Africa</t>
  </si>
  <si>
    <t>SA</t>
  </si>
  <si>
    <t>SACGDP..D</t>
  </si>
  <si>
    <t>SACGDP..A</t>
  </si>
  <si>
    <t>SACPCE..D</t>
  </si>
  <si>
    <t>SACGCE..D</t>
  </si>
  <si>
    <t>SACGFC..D</t>
  </si>
  <si>
    <t>SACEXN..D</t>
  </si>
  <si>
    <t>SACIMN..D</t>
  </si>
  <si>
    <t>SACMS0..B</t>
  </si>
  <si>
    <t>SACMS1..B</t>
  </si>
  <si>
    <t>SACMS2..B</t>
  </si>
  <si>
    <t>SACMS3..B</t>
  </si>
  <si>
    <t>SACCPI..E</t>
  </si>
  <si>
    <t>SACCPI..F</t>
  </si>
  <si>
    <t>SACCOR..E</t>
  </si>
  <si>
    <t>SACCOR..F</t>
  </si>
  <si>
    <t>SACEMF..O</t>
  </si>
  <si>
    <t>SACUNP..Q</t>
  </si>
  <si>
    <t>SACRET..E</t>
  </si>
  <si>
    <t>SACRET..F</t>
  </si>
  <si>
    <t>SACIND..G</t>
  </si>
  <si>
    <t>SACGOV..A</t>
  </si>
  <si>
    <t>SACCUR..B</t>
  </si>
  <si>
    <t>SACCUR..Q</t>
  </si>
  <si>
    <t>SACEXP..B</t>
  </si>
  <si>
    <t>SACIMP..B</t>
  </si>
  <si>
    <t>SACVIS..B</t>
  </si>
  <si>
    <t>SACRES..A</t>
  </si>
  <si>
    <t>South Korea</t>
  </si>
  <si>
    <t>KO</t>
  </si>
  <si>
    <t>KOCGDP..D</t>
  </si>
  <si>
    <t>KOCGDP..A</t>
  </si>
  <si>
    <t>KOCPCE..D</t>
  </si>
  <si>
    <t>KOCGCE..D</t>
  </si>
  <si>
    <t>KOCGFC..D</t>
  </si>
  <si>
    <t>KOCEXN..D</t>
  </si>
  <si>
    <t>KOCIMN..D</t>
  </si>
  <si>
    <t>KOCMS0..B</t>
  </si>
  <si>
    <t>KOCMS1..B</t>
  </si>
  <si>
    <t>KOCMS2..B</t>
  </si>
  <si>
    <t>KOCMS3..B</t>
  </si>
  <si>
    <t>KOCCPI..E</t>
  </si>
  <si>
    <t>KOCCPI..F</t>
  </si>
  <si>
    <t>KOCPPI..E</t>
  </si>
  <si>
    <t>KOCPPI..F</t>
  </si>
  <si>
    <t>KOCCOR..E</t>
  </si>
  <si>
    <t>KOCCOR..F</t>
  </si>
  <si>
    <t>KOCEXI..F</t>
  </si>
  <si>
    <t>KOCIMI..F</t>
  </si>
  <si>
    <t>KOCTRM..F</t>
  </si>
  <si>
    <t>KOCEMF..O</t>
  </si>
  <si>
    <t>KOCUNP..Q</t>
  </si>
  <si>
    <t>KOCRET..E</t>
  </si>
  <si>
    <t>KOCRET..F</t>
  </si>
  <si>
    <t>KOCIND..G</t>
  </si>
  <si>
    <t>KOCGOV..A</t>
  </si>
  <si>
    <t>KOCCUR..B</t>
  </si>
  <si>
    <t>KOCCUR..Q</t>
  </si>
  <si>
    <t>KOCEXP..B</t>
  </si>
  <si>
    <t>KOCIMP..B</t>
  </si>
  <si>
    <t>KOCVIS..B</t>
  </si>
  <si>
    <t>KOCRES..A</t>
  </si>
  <si>
    <t>Spain</t>
  </si>
  <si>
    <t>ES</t>
  </si>
  <si>
    <t>ESCGDP..D</t>
  </si>
  <si>
    <t>ESCGDP..A</t>
  </si>
  <si>
    <t>ESCPCE..D</t>
  </si>
  <si>
    <t>ESCGCE..D</t>
  </si>
  <si>
    <t>ESCGFC..D</t>
  </si>
  <si>
    <t>ESCEXN..D</t>
  </si>
  <si>
    <t>ESCIMN..D</t>
  </si>
  <si>
    <t>ESCMS1..B</t>
  </si>
  <si>
    <t>ESCMS2..B</t>
  </si>
  <si>
    <t>ESCMS3..B</t>
  </si>
  <si>
    <t>ESCCPI..E</t>
  </si>
  <si>
    <t>ESCCPI..F</t>
  </si>
  <si>
    <t>ESCPPI..E</t>
  </si>
  <si>
    <t>ESCPPI..F</t>
  </si>
  <si>
    <t>ESCCOR..E</t>
  </si>
  <si>
    <t>ESCCOR..F</t>
  </si>
  <si>
    <t>ESCEXI..F</t>
  </si>
  <si>
    <t>ESCIMI..F</t>
  </si>
  <si>
    <t>ESCTRM..F</t>
  </si>
  <si>
    <t>ESCEMF..O</t>
  </si>
  <si>
    <t>ESCUNP..Q</t>
  </si>
  <si>
    <t>ESCRET..E</t>
  </si>
  <si>
    <t>ESCRET..F</t>
  </si>
  <si>
    <t>ESCIND..G</t>
  </si>
  <si>
    <t>ESCGOV..A</t>
  </si>
  <si>
    <t>ESCCUR..B</t>
  </si>
  <si>
    <t>ESCCUR..Q</t>
  </si>
  <si>
    <t>ESCEXP..B</t>
  </si>
  <si>
    <t>ESCIMP..B</t>
  </si>
  <si>
    <t>ESCVIS..B</t>
  </si>
  <si>
    <t>ESCRES..A</t>
  </si>
  <si>
    <t>Sri Lanka</t>
  </si>
  <si>
    <t>LK</t>
  </si>
  <si>
    <t>LKCGDP..D</t>
  </si>
  <si>
    <t>LKCGDP..A</t>
  </si>
  <si>
    <t>LKCPCE..D</t>
  </si>
  <si>
    <t>LKCGCE..D</t>
  </si>
  <si>
    <t>LKCGFC..D</t>
  </si>
  <si>
    <t>LKCEXN..D</t>
  </si>
  <si>
    <t>LKCIMN..D</t>
  </si>
  <si>
    <t>LKCMS0..B</t>
  </si>
  <si>
    <t>LKCMS1..B</t>
  </si>
  <si>
    <t>LKCMS2..B</t>
  </si>
  <si>
    <t>LKCCPI..E</t>
  </si>
  <si>
    <t>LKCCPI..F</t>
  </si>
  <si>
    <t>LKCPPI..E</t>
  </si>
  <si>
    <t>LKCPPI..F</t>
  </si>
  <si>
    <t>LKCCOR..E</t>
  </si>
  <si>
    <t>LKCCOR..F</t>
  </si>
  <si>
    <t>LKCEXI..F</t>
  </si>
  <si>
    <t>LKCIMI..F</t>
  </si>
  <si>
    <t>LKCTRM..F</t>
  </si>
  <si>
    <t>LKCEMF..O</t>
  </si>
  <si>
    <t>LKCUNP..Q</t>
  </si>
  <si>
    <t>LKCIND..G</t>
  </si>
  <si>
    <t>LKCGOV..A</t>
  </si>
  <si>
    <t>LKCCUR..B</t>
  </si>
  <si>
    <t>LKCCUR..Q</t>
  </si>
  <si>
    <t>LKCEXP..B</t>
  </si>
  <si>
    <t>LKCIMP..B</t>
  </si>
  <si>
    <t>LKCVIS..B</t>
  </si>
  <si>
    <t>LKCRES..A</t>
  </si>
  <si>
    <t>Sudan</t>
  </si>
  <si>
    <t>SN</t>
  </si>
  <si>
    <t>SNCGDP..D</t>
  </si>
  <si>
    <t>SNCGDP..A</t>
  </si>
  <si>
    <t>SNCMS1..B</t>
  </si>
  <si>
    <t>SNCMS2..B</t>
  </si>
  <si>
    <t>SNCCPI..E</t>
  </si>
  <si>
    <t>SNCCPI..F</t>
  </si>
  <si>
    <t>Swaziland</t>
  </si>
  <si>
    <t>SZ</t>
  </si>
  <si>
    <t>SZCGDP..D</t>
  </si>
  <si>
    <t>SZCGDP..A</t>
  </si>
  <si>
    <t>SZCPCE..D</t>
  </si>
  <si>
    <t>SZCGCE..D</t>
  </si>
  <si>
    <t>SZCGFC..D</t>
  </si>
  <si>
    <t>SZCEXN..D</t>
  </si>
  <si>
    <t>SZCIMN..D</t>
  </si>
  <si>
    <t>SZCMS1..B</t>
  </si>
  <si>
    <t>SZCMS2..B</t>
  </si>
  <si>
    <t>SZCRES..A</t>
  </si>
  <si>
    <t>Sweden</t>
  </si>
  <si>
    <t>SD</t>
  </si>
  <si>
    <t>SDCGDP..D</t>
  </si>
  <si>
    <t>SDCGDP..A</t>
  </si>
  <si>
    <t>SDCPCE..D</t>
  </si>
  <si>
    <t>SDCGCE..D</t>
  </si>
  <si>
    <t>SDCGFC..D</t>
  </si>
  <si>
    <t>SDCEXN..D</t>
  </si>
  <si>
    <t>SDCIMN..D</t>
  </si>
  <si>
    <t>SDCMS0..B</t>
  </si>
  <si>
    <t>SDCMS1..B</t>
  </si>
  <si>
    <t>SDCMS2..B</t>
  </si>
  <si>
    <t>SDCMS3..B</t>
  </si>
  <si>
    <t>SDCCPI..E</t>
  </si>
  <si>
    <t>SDCCPI..F</t>
  </si>
  <si>
    <t>SDCPPI..E</t>
  </si>
  <si>
    <t>SDCPPI..F</t>
  </si>
  <si>
    <t>SDCCOR..E</t>
  </si>
  <si>
    <t>SDCCOR..F</t>
  </si>
  <si>
    <t>SDCEXI..F</t>
  </si>
  <si>
    <t>SDCIMI..F</t>
  </si>
  <si>
    <t>SDCTRM..F</t>
  </si>
  <si>
    <t>SDCEMF..O</t>
  </si>
  <si>
    <t>SDCUNP..Q</t>
  </si>
  <si>
    <t>SDCRET..E</t>
  </si>
  <si>
    <t>SDCRET..F</t>
  </si>
  <si>
    <t>SDCIND..G</t>
  </si>
  <si>
    <t>SDCGOV..A</t>
  </si>
  <si>
    <t>SDCCUR..B</t>
  </si>
  <si>
    <t>SDCCUR..Q</t>
  </si>
  <si>
    <t>SDCEXP..B</t>
  </si>
  <si>
    <t>SDCIMP..B</t>
  </si>
  <si>
    <t>SDCVIS..B</t>
  </si>
  <si>
    <t>SDCRES..A</t>
  </si>
  <si>
    <t>Switzerland</t>
  </si>
  <si>
    <t>SW</t>
  </si>
  <si>
    <t>SWCGDP..D</t>
  </si>
  <si>
    <t>SWCGDP..A</t>
  </si>
  <si>
    <t>SWCPCE..D</t>
  </si>
  <si>
    <t>SWCGCE..D</t>
  </si>
  <si>
    <t>SWCGFC..D</t>
  </si>
  <si>
    <t>SWCEXN..D</t>
  </si>
  <si>
    <t>SWCIMN..D</t>
  </si>
  <si>
    <t>SWCMS0..B</t>
  </si>
  <si>
    <t>SWCMS1..B</t>
  </si>
  <si>
    <t>SWCMS2..B</t>
  </si>
  <si>
    <t>SWCMS3..B</t>
  </si>
  <si>
    <t>SWCCPI..E</t>
  </si>
  <si>
    <t>SWCCPI..F</t>
  </si>
  <si>
    <t>SWCPPI..E</t>
  </si>
  <si>
    <t>SWCPPI..F</t>
  </si>
  <si>
    <t>SWCCOR..E</t>
  </si>
  <si>
    <t>SWCCOR..F</t>
  </si>
  <si>
    <t>SWCEXI..F</t>
  </si>
  <si>
    <t>SWCIMI..F</t>
  </si>
  <si>
    <t>SWCTRM..F</t>
  </si>
  <si>
    <t>SWCEMP..O</t>
  </si>
  <si>
    <t>SWCEMF..O</t>
  </si>
  <si>
    <t>SWCUNP..Q</t>
  </si>
  <si>
    <t>SWCIND..G</t>
  </si>
  <si>
    <t>SWCGOV..A</t>
  </si>
  <si>
    <t>SWCCUR..B</t>
  </si>
  <si>
    <t>SWCCUR..Q</t>
  </si>
  <si>
    <t>SWCEXP..B</t>
  </si>
  <si>
    <t>SWCIMP..B</t>
  </si>
  <si>
    <t>SWCVIS..B</t>
  </si>
  <si>
    <t>SWCRES..A</t>
  </si>
  <si>
    <t>Taiwan</t>
  </si>
  <si>
    <t>TW</t>
  </si>
  <si>
    <t>TWCGDP..D</t>
  </si>
  <si>
    <t>TWCGDP..A</t>
  </si>
  <si>
    <t>TWCPCE..D</t>
  </si>
  <si>
    <t>TWCGCE..D</t>
  </si>
  <si>
    <t>TWCGFC..D</t>
  </si>
  <si>
    <t>TWCEXN..D</t>
  </si>
  <si>
    <t>TWCIMN..D</t>
  </si>
  <si>
    <t>TWCMS0..B</t>
  </si>
  <si>
    <t>TWCMS1..B</t>
  </si>
  <si>
    <t>TWCMS2..B</t>
  </si>
  <si>
    <t>TWCCPI..E</t>
  </si>
  <si>
    <t>TWCCPI..F</t>
  </si>
  <si>
    <t>TWCPPI..E</t>
  </si>
  <si>
    <t>TWCPPI..F</t>
  </si>
  <si>
    <t>TWCCOR..E</t>
  </si>
  <si>
    <t>TWCCOR..F</t>
  </si>
  <si>
    <t>TWCEXI..F</t>
  </si>
  <si>
    <t>TWCIMI..F</t>
  </si>
  <si>
    <t>TWCTRM..F</t>
  </si>
  <si>
    <t>TWCEMP..O</t>
  </si>
  <si>
    <t>TWCEMF..O</t>
  </si>
  <si>
    <t>TWCUNP..Q</t>
  </si>
  <si>
    <t>TWCRET..E</t>
  </si>
  <si>
    <t>TWCRET..F</t>
  </si>
  <si>
    <t>TWCIND..G</t>
  </si>
  <si>
    <t>TWCGOV..A</t>
  </si>
  <si>
    <t>TWCCUR..B</t>
  </si>
  <si>
    <t>TWCCUR..Q</t>
  </si>
  <si>
    <t>TWCEXP..B</t>
  </si>
  <si>
    <t>TWCIMP..B</t>
  </si>
  <si>
    <t>TWCVIS..B</t>
  </si>
  <si>
    <t>TWCRES..A</t>
  </si>
  <si>
    <t>Tajikistan</t>
  </si>
  <si>
    <t>TJ</t>
  </si>
  <si>
    <t>TJCGDP..A</t>
  </si>
  <si>
    <t>TJCMS0..B</t>
  </si>
  <si>
    <t>TJCMS1..B</t>
  </si>
  <si>
    <t>TJCMS2..B</t>
  </si>
  <si>
    <t>TJCMS3..B</t>
  </si>
  <si>
    <t>TJCCPI..E</t>
  </si>
  <si>
    <t>TJCCPI..F</t>
  </si>
  <si>
    <t>TJCPPI..E</t>
  </si>
  <si>
    <t>TJCPPI..F</t>
  </si>
  <si>
    <t>TJCRES..A</t>
  </si>
  <si>
    <t>Tanzania, United Republic of</t>
  </si>
  <si>
    <t>TN</t>
  </si>
  <si>
    <t>TNCGDP..D</t>
  </si>
  <si>
    <t>TNCGDP..A</t>
  </si>
  <si>
    <t>TNCPCE..D</t>
  </si>
  <si>
    <t>TNCGCE..D</t>
  </si>
  <si>
    <t>TNCGFC..D</t>
  </si>
  <si>
    <t>TNCEXN..D</t>
  </si>
  <si>
    <t>TNCIMN..D</t>
  </si>
  <si>
    <t>TNCMS0..B</t>
  </si>
  <si>
    <t>TNCMS1..B</t>
  </si>
  <si>
    <t>TNCMS2..B</t>
  </si>
  <si>
    <t>TNCMS3..B</t>
  </si>
  <si>
    <t>TNCCPI..E</t>
  </si>
  <si>
    <t>TNCCPI..F</t>
  </si>
  <si>
    <t>TNCRES..A</t>
  </si>
  <si>
    <t>Thailand</t>
  </si>
  <si>
    <t>TH</t>
  </si>
  <si>
    <t>THCGDP..D</t>
  </si>
  <si>
    <t>THCGDP..A</t>
  </si>
  <si>
    <t>THCPCE..D</t>
  </si>
  <si>
    <t>THCGCE..D</t>
  </si>
  <si>
    <t>THCGFC..D</t>
  </si>
  <si>
    <t>THCEXN..D</t>
  </si>
  <si>
    <t>THCIMN..D</t>
  </si>
  <si>
    <t>THCMS0..B</t>
  </si>
  <si>
    <t>THCMS1..B</t>
  </si>
  <si>
    <t>THCMS3..B</t>
  </si>
  <si>
    <t>THCCPI..E</t>
  </si>
  <si>
    <t>THCCPI..F</t>
  </si>
  <si>
    <t>THCPPI..E</t>
  </si>
  <si>
    <t>THCPPI..F</t>
  </si>
  <si>
    <t>THCCOR..E</t>
  </si>
  <si>
    <t>THCCOR..F</t>
  </si>
  <si>
    <t>THCEXI..F</t>
  </si>
  <si>
    <t>THCIMI..F</t>
  </si>
  <si>
    <t>THCTRM..F</t>
  </si>
  <si>
    <t>THCEMF..O</t>
  </si>
  <si>
    <t>THCUNP..Q</t>
  </si>
  <si>
    <t>THCRET..E</t>
  </si>
  <si>
    <t>THCRET..F</t>
  </si>
  <si>
    <t>THCIND..G</t>
  </si>
  <si>
    <t>THCGOV..A</t>
  </si>
  <si>
    <t>THCCUR..B</t>
  </si>
  <si>
    <t>THCCUR..Q</t>
  </si>
  <si>
    <t>THCEXP..B</t>
  </si>
  <si>
    <t>THCIMP..B</t>
  </si>
  <si>
    <t>THCVIS..B</t>
  </si>
  <si>
    <t>THCRES..A</t>
  </si>
  <si>
    <t>Togo</t>
  </si>
  <si>
    <t>TO</t>
  </si>
  <si>
    <t>TOCGDP..D</t>
  </si>
  <si>
    <t>TOCGDP..A</t>
  </si>
  <si>
    <t>TOCPCE..D</t>
  </si>
  <si>
    <t>TOCGCE..D</t>
  </si>
  <si>
    <t>TOCGFC..D</t>
  </si>
  <si>
    <t>TOCEXN..D</t>
  </si>
  <si>
    <t>TOCIMN..D</t>
  </si>
  <si>
    <t>TOCMS0..B</t>
  </si>
  <si>
    <t>TOCMS2..B</t>
  </si>
  <si>
    <t>TOCCPI..E</t>
  </si>
  <si>
    <t>TOCCPI..F</t>
  </si>
  <si>
    <t>TOCRES..A</t>
  </si>
  <si>
    <t>Trinidad and Tobago</t>
  </si>
  <si>
    <t>TT</t>
  </si>
  <si>
    <t>TTCGDP..D</t>
  </si>
  <si>
    <t>TTCGDP..A</t>
  </si>
  <si>
    <t>TTCMS0..B</t>
  </si>
  <si>
    <t>TTCMS2..B</t>
  </si>
  <si>
    <t>TTCMS3..B</t>
  </si>
  <si>
    <t>TTCUNP..Q</t>
  </si>
  <si>
    <t>TTCRES..A</t>
  </si>
  <si>
    <t>Tunisia</t>
  </si>
  <si>
    <t>TU</t>
  </si>
  <si>
    <t>TUCGDP..A</t>
  </si>
  <si>
    <t>TUCMS1..B</t>
  </si>
  <si>
    <t>TUCMS2..B</t>
  </si>
  <si>
    <t>TUCMS3..B</t>
  </si>
  <si>
    <t>TUCCPI..E</t>
  </si>
  <si>
    <t>TUCCPI..F</t>
  </si>
  <si>
    <t>TUCPPI..E</t>
  </si>
  <si>
    <t>TUCPPI..F</t>
  </si>
  <si>
    <t>TUCRES..A</t>
  </si>
  <si>
    <t>Turkey</t>
  </si>
  <si>
    <t>TK</t>
  </si>
  <si>
    <t>TKCGDP..D</t>
  </si>
  <si>
    <t>TKCGDP..A</t>
  </si>
  <si>
    <t>TKCPCE..D</t>
  </si>
  <si>
    <t>TKCGCE..D</t>
  </si>
  <si>
    <t>TKCGFC..D</t>
  </si>
  <si>
    <t>TKCEXN..D</t>
  </si>
  <si>
    <t>TKCIMN..D</t>
  </si>
  <si>
    <t>TKCMS1..B</t>
  </si>
  <si>
    <t>TKCMS2..B</t>
  </si>
  <si>
    <t>TKCMS3..B</t>
  </si>
  <si>
    <t>TKCCPI..E</t>
  </si>
  <si>
    <t>TKCCPI..F</t>
  </si>
  <si>
    <t>TKCPPI..E</t>
  </si>
  <si>
    <t>TKCPPI..F</t>
  </si>
  <si>
    <t>TKCCOR..E</t>
  </si>
  <si>
    <t>TKCCOR..F</t>
  </si>
  <si>
    <t>TKCEXI..F</t>
  </si>
  <si>
    <t>TKCIMI..F</t>
  </si>
  <si>
    <t>TKCTRM..F</t>
  </si>
  <si>
    <t>TKCEMF..O</t>
  </si>
  <si>
    <t>TKCUNP..Q</t>
  </si>
  <si>
    <t>TKCRET..E</t>
  </si>
  <si>
    <t>TKCRET..F</t>
  </si>
  <si>
    <t>TKCIND..G</t>
  </si>
  <si>
    <t>TKCGOV..A</t>
  </si>
  <si>
    <t>TKCCUR..B</t>
  </si>
  <si>
    <t>TKCCUR..Q</t>
  </si>
  <si>
    <t>TKCEXP..B</t>
  </si>
  <si>
    <t>TKCIMP..B</t>
  </si>
  <si>
    <t>TKCVIS..B</t>
  </si>
  <si>
    <t>TKCRES..A</t>
  </si>
  <si>
    <t>Turkmenistan</t>
  </si>
  <si>
    <t>TM</t>
  </si>
  <si>
    <t>TMCGDP..D</t>
  </si>
  <si>
    <t>TMCGDP..A</t>
  </si>
  <si>
    <t>Uganda</t>
  </si>
  <si>
    <t>UG</t>
  </si>
  <si>
    <t>UGCGDP..D</t>
  </si>
  <si>
    <t>UGCGDP..A</t>
  </si>
  <si>
    <t>UGCPCE..D</t>
  </si>
  <si>
    <t>UGCGCE..D</t>
  </si>
  <si>
    <t>UGCGFC..D</t>
  </si>
  <si>
    <t>UGCEXN..D</t>
  </si>
  <si>
    <t>UGCIMN..D</t>
  </si>
  <si>
    <t>UGCMS1..B</t>
  </si>
  <si>
    <t>UGCMS2..B</t>
  </si>
  <si>
    <t>UGCMS3..B</t>
  </si>
  <si>
    <t>UGCCPI..E</t>
  </si>
  <si>
    <t>UGCCPI..F</t>
  </si>
  <si>
    <t>UGCPPI..E</t>
  </si>
  <si>
    <t>UGCPPI..F</t>
  </si>
  <si>
    <t>UGCCOR..E</t>
  </si>
  <si>
    <t>UGCCOR..F</t>
  </si>
  <si>
    <t>UGCEXI..F</t>
  </si>
  <si>
    <t>UGCIMI..F</t>
  </si>
  <si>
    <t>UGCTRM..F</t>
  </si>
  <si>
    <t>UGCRES..A</t>
  </si>
  <si>
    <t>Ukraine</t>
  </si>
  <si>
    <t>UR</t>
  </si>
  <si>
    <t>URCGDP..D</t>
  </si>
  <si>
    <t>URCGDP..A</t>
  </si>
  <si>
    <t>URCPCE..D</t>
  </si>
  <si>
    <t>URCGCE..D</t>
  </si>
  <si>
    <t>URCGFC..D</t>
  </si>
  <si>
    <t>URCEXN..D</t>
  </si>
  <si>
    <t>URCIMN..D</t>
  </si>
  <si>
    <t>URCMS0..B</t>
  </si>
  <si>
    <t>URCMS1..B</t>
  </si>
  <si>
    <t>URCMS2..B</t>
  </si>
  <si>
    <t>URCMS3..B</t>
  </si>
  <si>
    <t>URCCPI..E</t>
  </si>
  <si>
    <t>URCCPI..F</t>
  </si>
  <si>
    <t>URCPPI..E</t>
  </si>
  <si>
    <t>URCPPI..F</t>
  </si>
  <si>
    <t>URCCOR..E</t>
  </si>
  <si>
    <t>URCCOR..F</t>
  </si>
  <si>
    <t>URCEMP..O</t>
  </si>
  <si>
    <t>URCEMF..O</t>
  </si>
  <si>
    <t>URCUNP..Q</t>
  </si>
  <si>
    <t>URCRET..E</t>
  </si>
  <si>
    <t>URCRET..F</t>
  </si>
  <si>
    <t>URCIND..G</t>
  </si>
  <si>
    <t>URCGOV..A</t>
  </si>
  <si>
    <t>URCCUR..B</t>
  </si>
  <si>
    <t>URCCUR..Q</t>
  </si>
  <si>
    <t>URCEXP..B</t>
  </si>
  <si>
    <t>URCIMP..B</t>
  </si>
  <si>
    <t>URCVIS..B</t>
  </si>
  <si>
    <t>URCRES..A</t>
  </si>
  <si>
    <t>United Arab Emirates</t>
  </si>
  <si>
    <t>UA</t>
  </si>
  <si>
    <t>UACGDP..A</t>
  </si>
  <si>
    <t>UACMS0..B</t>
  </si>
  <si>
    <t>UACMS1..B</t>
  </si>
  <si>
    <t>UACMS2..B</t>
  </si>
  <si>
    <t>UACMS3..B</t>
  </si>
  <si>
    <t>UACCPI..E</t>
  </si>
  <si>
    <t>UACCPI..F</t>
  </si>
  <si>
    <t>UACRES..A</t>
  </si>
  <si>
    <t>United Kingdom</t>
  </si>
  <si>
    <t>UK</t>
  </si>
  <si>
    <t>UKCGDP..D</t>
  </si>
  <si>
    <t>UKCGDP..A</t>
  </si>
  <si>
    <t>UKCPCE..D</t>
  </si>
  <si>
    <t>UKCGCE..D</t>
  </si>
  <si>
    <t>UKCGFC..D</t>
  </si>
  <si>
    <t>UKCEXN..D</t>
  </si>
  <si>
    <t>UKCIMN..D</t>
  </si>
  <si>
    <t>UKCMS0..B</t>
  </si>
  <si>
    <t>UKCMS1..B</t>
  </si>
  <si>
    <t>UKCMS2..B</t>
  </si>
  <si>
    <t>UKCMS3..B</t>
  </si>
  <si>
    <t>UKCCPI..E</t>
  </si>
  <si>
    <t>UKCCPI..F</t>
  </si>
  <si>
    <t>UKCPPI..E</t>
  </si>
  <si>
    <t>UKCPPI..F</t>
  </si>
  <si>
    <t>UKCCOR..E</t>
  </si>
  <si>
    <t>UKCCOR..F</t>
  </si>
  <si>
    <t>UKCEXI..F</t>
  </si>
  <si>
    <t>UKCIMI..F</t>
  </si>
  <si>
    <t>UKCTRM..F</t>
  </si>
  <si>
    <t>UKCEMF..O</t>
  </si>
  <si>
    <t>UKCUNP..Q</t>
  </si>
  <si>
    <t>UKCRET..E</t>
  </si>
  <si>
    <t>UKCRET..F</t>
  </si>
  <si>
    <t>UKCIND..G</t>
  </si>
  <si>
    <t>UKCGOV..A</t>
  </si>
  <si>
    <t>UKCCUR..B</t>
  </si>
  <si>
    <t>UKCCUR..Q</t>
  </si>
  <si>
    <t>UKCEXP..B</t>
  </si>
  <si>
    <t>UKCIMP..B</t>
  </si>
  <si>
    <t>UKCVIS..B</t>
  </si>
  <si>
    <t>UKCRES..A</t>
  </si>
  <si>
    <t>United States</t>
  </si>
  <si>
    <t>US</t>
  </si>
  <si>
    <t>USCGDP..D</t>
  </si>
  <si>
    <t>USCGDP..A</t>
  </si>
  <si>
    <t>USCPCE..D</t>
  </si>
  <si>
    <t>USCGCE..D</t>
  </si>
  <si>
    <t>USCGFC..D</t>
  </si>
  <si>
    <t>USCEXN..D</t>
  </si>
  <si>
    <t>USCIMN..D</t>
  </si>
  <si>
    <t>USCMS0..B</t>
  </si>
  <si>
    <t>USCMS1..B</t>
  </si>
  <si>
    <t>USCMS2..B</t>
  </si>
  <si>
    <t>USCCPI..E</t>
  </si>
  <si>
    <t>USCCPI..F</t>
  </si>
  <si>
    <t>USCPPI..E</t>
  </si>
  <si>
    <t>USCPPI..F</t>
  </si>
  <si>
    <t>USCCOR..E</t>
  </si>
  <si>
    <t>USCCOR..F</t>
  </si>
  <si>
    <t>USCEXI..F</t>
  </si>
  <si>
    <t>USCIMI..F</t>
  </si>
  <si>
    <t>USCTRM..F</t>
  </si>
  <si>
    <t>USCEMP..O</t>
  </si>
  <si>
    <t>USCEMF..O</t>
  </si>
  <si>
    <t>USCUNP..Q</t>
  </si>
  <si>
    <t>USCRET..E</t>
  </si>
  <si>
    <t>USCRET..F</t>
  </si>
  <si>
    <t>USCIND..G</t>
  </si>
  <si>
    <t>USCGOV..A</t>
  </si>
  <si>
    <t>USCCUR..B</t>
  </si>
  <si>
    <t>USCCUR..Q</t>
  </si>
  <si>
    <t>USCEXP..B</t>
  </si>
  <si>
    <t>USCIMP..B</t>
  </si>
  <si>
    <t>USCVIS..B</t>
  </si>
  <si>
    <t>USCRES..A</t>
  </si>
  <si>
    <t>Uruguay</t>
  </si>
  <si>
    <t>UY</t>
  </si>
  <si>
    <t>UYCGDP..A</t>
  </si>
  <si>
    <t>UYCMS0..B</t>
  </si>
  <si>
    <t>UYCMS1..B</t>
  </si>
  <si>
    <t>UYCMS2..B</t>
  </si>
  <si>
    <t>UYCCPI..E</t>
  </si>
  <si>
    <t>UYCCPI..F</t>
  </si>
  <si>
    <t>UYCPPI..E</t>
  </si>
  <si>
    <t>UYCPPI..F</t>
  </si>
  <si>
    <t>UYCEMF..O</t>
  </si>
  <si>
    <t>UYCRES..A</t>
  </si>
  <si>
    <t>Uzbekistan</t>
  </si>
  <si>
    <t>UZ</t>
  </si>
  <si>
    <t>UZCGDP..A</t>
  </si>
  <si>
    <t>UZCEMF..O</t>
  </si>
  <si>
    <t>UZCRET..E</t>
  </si>
  <si>
    <t>UZCRET..F</t>
  </si>
  <si>
    <t>Venezuela</t>
  </si>
  <si>
    <t>VE</t>
  </si>
  <si>
    <t>VECGDP..D</t>
  </si>
  <si>
    <t>VECGDP..A</t>
  </si>
  <si>
    <t>VECPCE..D</t>
  </si>
  <si>
    <t>VECGCE..D</t>
  </si>
  <si>
    <t>VECGFC..D</t>
  </si>
  <si>
    <t>VECEXN..D</t>
  </si>
  <si>
    <t>VECIMN..D</t>
  </si>
  <si>
    <t>VECMS0..B</t>
  </si>
  <si>
    <t>VECMS1..B</t>
  </si>
  <si>
    <t>VECMS2..B</t>
  </si>
  <si>
    <t>VECMS3..B</t>
  </si>
  <si>
    <t>VECCPI..E</t>
  </si>
  <si>
    <t>VECCPI..F</t>
  </si>
  <si>
    <t>VECUNP..Q</t>
  </si>
  <si>
    <t>VECCUR..B</t>
  </si>
  <si>
    <t>VECCUR..Q</t>
  </si>
  <si>
    <t>VECRES..A</t>
  </si>
  <si>
    <t>Vietnam</t>
  </si>
  <si>
    <t>VI</t>
  </si>
  <si>
    <t>VICGDP..D</t>
  </si>
  <si>
    <t>VICGDP..A</t>
  </si>
  <si>
    <t>VICPCE..D</t>
  </si>
  <si>
    <t>VICGCE..D</t>
  </si>
  <si>
    <t>VICGFC..D</t>
  </si>
  <si>
    <t>VICEXN..D</t>
  </si>
  <si>
    <t>VICIMN..D</t>
  </si>
  <si>
    <t>VICCPI..E</t>
  </si>
  <si>
    <t>VICCPI..F</t>
  </si>
  <si>
    <t>VICEMF..O</t>
  </si>
  <si>
    <t>VICUNP..Q</t>
  </si>
  <si>
    <t>VICRET..E</t>
  </si>
  <si>
    <t>VICRET..F</t>
  </si>
  <si>
    <t>VICIND..G</t>
  </si>
  <si>
    <t>VICGOV..A</t>
  </si>
  <si>
    <t>VICCUR..B</t>
  </si>
  <si>
    <t>VICCUR..Q</t>
  </si>
  <si>
    <t>VICEXP..B</t>
  </si>
  <si>
    <t>VICIMP..B</t>
  </si>
  <si>
    <t>VICVIS..B</t>
  </si>
  <si>
    <t>Yemen</t>
  </si>
  <si>
    <t>YA</t>
  </si>
  <si>
    <t>YACGDP..D</t>
  </si>
  <si>
    <t>YACGDP..A</t>
  </si>
  <si>
    <t>Zambia</t>
  </si>
  <si>
    <t>ZM</t>
  </si>
  <si>
    <t>ZMCCPI..E</t>
  </si>
  <si>
    <t>ZMCCPI..F</t>
  </si>
  <si>
    <t>Zimbabwe</t>
  </si>
  <si>
    <t>ZI</t>
  </si>
  <si>
    <t>ZICGDP..D</t>
  </si>
  <si>
    <t>ZICGDP..A</t>
  </si>
  <si>
    <t>ZICPCE..D</t>
  </si>
  <si>
    <t>ZICGCE..D</t>
  </si>
  <si>
    <t>ZICGFC..D</t>
  </si>
  <si>
    <t>ZICEXN..D</t>
  </si>
  <si>
    <t>ZICIMN..D</t>
  </si>
  <si>
    <t>ZICMS1..B</t>
  </si>
  <si>
    <t>ZICMS2..B</t>
  </si>
  <si>
    <t>ZICMS3..B</t>
  </si>
  <si>
    <t>ZICCPI..E</t>
  </si>
  <si>
    <t>ZICCPI..F</t>
  </si>
  <si>
    <t>ZICRES..A</t>
  </si>
  <si>
    <t>Express as is, actual or % change</t>
  </si>
  <si>
    <t>TRICE standardized indicator mnemonics &amp; M# Lists</t>
  </si>
  <si>
    <t>Sector</t>
  </si>
  <si>
    <t>Subject</t>
  </si>
  <si>
    <t>List</t>
  </si>
  <si>
    <t>Adjustment</t>
  </si>
  <si>
    <t>DS Mnemonic</t>
  </si>
  <si>
    <t>% Period on Period</t>
  </si>
  <si>
    <t>% Year on Year</t>
  </si>
  <si>
    <t>National Accounts:</t>
  </si>
  <si>
    <t>GDP, Standardized, Constant Prices, SA, USD, 2010 prices</t>
  </si>
  <si>
    <t>M#TRICEGDP</t>
  </si>
  <si>
    <t>Quarterly</t>
  </si>
  <si>
    <t>sa</t>
  </si>
  <si>
    <t>xxCGDP..D</t>
  </si>
  <si>
    <t>xxCGDPP%D</t>
  </si>
  <si>
    <t>xxCGDPY%D</t>
  </si>
  <si>
    <t>GDP, Standardized, USD</t>
  </si>
  <si>
    <t>M#TRICEGDPN</t>
  </si>
  <si>
    <t>unadjusted</t>
  </si>
  <si>
    <t>xxCGDP..A</t>
  </si>
  <si>
    <t>xxCGDPP%A</t>
  </si>
  <si>
    <t>xxCGDPY%A</t>
  </si>
  <si>
    <t>Consumer Spending, Standardized, Constant Prices, SA, USD, 2010 prices</t>
  </si>
  <si>
    <t>M#TRICEPCE</t>
  </si>
  <si>
    <t>xxCPCE..D</t>
  </si>
  <si>
    <t>xxCPCEP%D</t>
  </si>
  <si>
    <t>xxCPCEY%D</t>
  </si>
  <si>
    <t>Government Consumption, Standardized, Constant Prices, SA, USD, 2010 prices</t>
  </si>
  <si>
    <t>M#TRICEGCE</t>
  </si>
  <si>
    <t>xxCGCE..D</t>
  </si>
  <si>
    <t>xxCGCEP%D</t>
  </si>
  <si>
    <t>xxCGCEY%D</t>
  </si>
  <si>
    <t>Gross Fixed Capital Investment, Standardized, Constant Prices, SA, USD, 2010 prices</t>
  </si>
  <si>
    <t>M#TRICEGFC</t>
  </si>
  <si>
    <t>xxCGFC..D</t>
  </si>
  <si>
    <t>xxCGFCP%D</t>
  </si>
  <si>
    <t>xxCGFCY%D</t>
  </si>
  <si>
    <t>Exports - Goods &amp; Services, Standardized, Constant Prices, SA, USD, 2010 prices</t>
  </si>
  <si>
    <t>M#TRICEEXN</t>
  </si>
  <si>
    <t>xxCEXN..D</t>
  </si>
  <si>
    <t>xxCEXNP%D</t>
  </si>
  <si>
    <t>xxCEXNY%D</t>
  </si>
  <si>
    <t>Imports - Goods &amp; Services, Standardized, Constant Prices, SA, USD, 2010 prices</t>
  </si>
  <si>
    <t>M#TRICEIMN</t>
  </si>
  <si>
    <t>xxCIMN..D</t>
  </si>
  <si>
    <t>xxCIMNP%D</t>
  </si>
  <si>
    <t>xxCIMNY%D</t>
  </si>
  <si>
    <t>Money &amp; Finance:</t>
  </si>
  <si>
    <t>Money Supply M0</t>
  </si>
  <si>
    <t>M#TRICEMS0</t>
  </si>
  <si>
    <t>Monthly</t>
  </si>
  <si>
    <t>xxCMS0..B</t>
  </si>
  <si>
    <t>xxCMS0P%B</t>
  </si>
  <si>
    <t>xxCMS0Y%B</t>
  </si>
  <si>
    <t>Money Supply M1</t>
  </si>
  <si>
    <t>M#TRICEMS1</t>
  </si>
  <si>
    <t>xxCMS1..B</t>
  </si>
  <si>
    <t>xxCMS1P%B</t>
  </si>
  <si>
    <t>xxCMS1Y%B</t>
  </si>
  <si>
    <t>Money Supply M2</t>
  </si>
  <si>
    <t>M#TRICEMS2</t>
  </si>
  <si>
    <t>xxCMS2..B</t>
  </si>
  <si>
    <t>xxCMS2P%B</t>
  </si>
  <si>
    <t>xxCMS2Y%B</t>
  </si>
  <si>
    <t>Money Supply M3</t>
  </si>
  <si>
    <t>M#TRICEMS3</t>
  </si>
  <si>
    <t>xxCMS3..B</t>
  </si>
  <si>
    <t>xxCMS3P%B</t>
  </si>
  <si>
    <t>xxCMS3Y%B</t>
  </si>
  <si>
    <t>Prices:</t>
  </si>
  <si>
    <t>CPI, Standardized, SA, Index, 2010=100</t>
  </si>
  <si>
    <t>M#TRICECPI</t>
  </si>
  <si>
    <t>xxCCPI..E</t>
  </si>
  <si>
    <t>xxCCPIP%E</t>
  </si>
  <si>
    <t>xxCCPIY%E</t>
  </si>
  <si>
    <t>CPI, Standardized, Index, 2010=100</t>
  </si>
  <si>
    <t>M#TRICECPIN</t>
  </si>
  <si>
    <t>xxCCPI..F</t>
  </si>
  <si>
    <t>xxCCPIP%F</t>
  </si>
  <si>
    <t>xxCCPIY%F</t>
  </si>
  <si>
    <t>Producer Prices, PPI, Standardized, SA, Index, 2010=100</t>
  </si>
  <si>
    <t>M#TRICEPPI</t>
  </si>
  <si>
    <t>xxCPPI..E</t>
  </si>
  <si>
    <t>xxCPPIP%E</t>
  </si>
  <si>
    <t>xxCPPIY%E</t>
  </si>
  <si>
    <t>Producer Prices, PPI, Standardized, Index, 2010=100</t>
  </si>
  <si>
    <t>M#TRICEPPIN</t>
  </si>
  <si>
    <t>xxCPPI..F</t>
  </si>
  <si>
    <t>xxCPPIP%F</t>
  </si>
  <si>
    <t>xxCPPIY%F</t>
  </si>
  <si>
    <t>Core CPI</t>
  </si>
  <si>
    <t>M#TRICECOR</t>
  </si>
  <si>
    <t>xxCCOR..E</t>
  </si>
  <si>
    <t>xxCCORP%E</t>
  </si>
  <si>
    <t>xxCCORY%E</t>
  </si>
  <si>
    <t>M#TRICECORN</t>
  </si>
  <si>
    <t>xxCCOR..F</t>
  </si>
  <si>
    <t>xxCCORP%F</t>
  </si>
  <si>
    <t>xxCCORY%F</t>
  </si>
  <si>
    <t>Export Prices, Standardized, Index, 2010=100</t>
  </si>
  <si>
    <t>M#TRICEEXI</t>
  </si>
  <si>
    <t>xxCEXI..F</t>
  </si>
  <si>
    <t>xxCEXIP%F</t>
  </si>
  <si>
    <t>xxCEXIY%F</t>
  </si>
  <si>
    <t>Import Prices, Standardized, Index, 2010=100</t>
  </si>
  <si>
    <t>M#TRICEIMI</t>
  </si>
  <si>
    <t>xxCIMI..F</t>
  </si>
  <si>
    <t>xxCIMIP%F</t>
  </si>
  <si>
    <t>xxCIMIY%F</t>
  </si>
  <si>
    <t>Terms of Trade</t>
  </si>
  <si>
    <t>M#TRICETRM</t>
  </si>
  <si>
    <t>xxCTRM..F</t>
  </si>
  <si>
    <t>xxCTRMP%F</t>
  </si>
  <si>
    <t>xxCTRMY%F</t>
  </si>
  <si>
    <t>Labour Market:</t>
  </si>
  <si>
    <t>Employment, Employment, Payroll jobs, Standardized, SA</t>
  </si>
  <si>
    <t>M#TRICEEMP</t>
  </si>
  <si>
    <t>xxCEMP..O</t>
  </si>
  <si>
    <t>xxCEMPP%O</t>
  </si>
  <si>
    <t>xxCEMPY%O</t>
  </si>
  <si>
    <t>Employment, Labour Force Survey, Standardized, SA</t>
  </si>
  <si>
    <t>M#TRICEEMF</t>
  </si>
  <si>
    <t>xxCEMF..O</t>
  </si>
  <si>
    <t>xxCEMFP%O</t>
  </si>
  <si>
    <t>xxCEMFY%O</t>
  </si>
  <si>
    <t>Unemployment rate, Standardized, SA</t>
  </si>
  <si>
    <t>M#TRICEUNP</t>
  </si>
  <si>
    <t>xxCUNP..Q</t>
  </si>
  <si>
    <t>xxCUNPP%Q</t>
  </si>
  <si>
    <t>xxCUNPY%Q</t>
  </si>
  <si>
    <t>Consumer Sector:</t>
  </si>
  <si>
    <t>Retail Sales</t>
  </si>
  <si>
    <t>M#TRICERET</t>
  </si>
  <si>
    <t>xxCRET..E</t>
  </si>
  <si>
    <t>xxCRETP%E</t>
  </si>
  <si>
    <t>xxCRETY%E</t>
  </si>
  <si>
    <t>M#TRICERETN</t>
  </si>
  <si>
    <t>xxCRET..F</t>
  </si>
  <si>
    <t>xxCRETP%F</t>
  </si>
  <si>
    <t>xxCRETY%F</t>
  </si>
  <si>
    <t>Industry Sector:</t>
  </si>
  <si>
    <t>Industrial Production Index, Standardized, SA, Index, 2010=100</t>
  </si>
  <si>
    <t>M#TRICEIND</t>
  </si>
  <si>
    <t>xxCIND..G</t>
  </si>
  <si>
    <t>xxCINDP%G</t>
  </si>
  <si>
    <t>xxCINDY%G</t>
  </si>
  <si>
    <t>Government Sector:</t>
  </si>
  <si>
    <t>Central government Deficit/Surplus, Standardized, USD</t>
  </si>
  <si>
    <t>M#TRICEGOV</t>
  </si>
  <si>
    <t>xxCGOV..A</t>
  </si>
  <si>
    <t>xxCGOVP%A</t>
  </si>
  <si>
    <t>xxCGOVY%A</t>
  </si>
  <si>
    <t>External Sector:</t>
  </si>
  <si>
    <t>Current Account Balance, Standardized, SA, USD</t>
  </si>
  <si>
    <t>M#TRICECUR</t>
  </si>
  <si>
    <t>xxCCUR..B</t>
  </si>
  <si>
    <t>xxCCURP%B</t>
  </si>
  <si>
    <t>xxCCURY%B</t>
  </si>
  <si>
    <t>Current Account Balance as a percentage of GDP, Standardized, SA, % of GDP</t>
  </si>
  <si>
    <t>M#TRICECURP</t>
  </si>
  <si>
    <t>xxCCUR..Q</t>
  </si>
  <si>
    <t>xxCCURP%Q</t>
  </si>
  <si>
    <t>xxCCURY%Q</t>
  </si>
  <si>
    <t>Merchandise Exports, Standardized, SA, USD</t>
  </si>
  <si>
    <t>M#TRICEEXP</t>
  </si>
  <si>
    <t>xxCEXP..B</t>
  </si>
  <si>
    <t>xxCEXPP%B</t>
  </si>
  <si>
    <t>xxCEXPY%B</t>
  </si>
  <si>
    <t>Merchandise Imports, Standardized, SA, USD</t>
  </si>
  <si>
    <t>M#TRICEIMP</t>
  </si>
  <si>
    <t>xxCIMP..B</t>
  </si>
  <si>
    <t>xxCIMPP%B</t>
  </si>
  <si>
    <t>xxCIMPY%B</t>
  </si>
  <si>
    <t>Foreign Trade Balance</t>
  </si>
  <si>
    <t>M#TRICEVIS</t>
  </si>
  <si>
    <t>xxCVIS..B</t>
  </si>
  <si>
    <t>xxCVISP%B</t>
  </si>
  <si>
    <t>xxCVISY%B</t>
  </si>
  <si>
    <t>Official international reserves, Standardized, USD</t>
  </si>
  <si>
    <t>M#TRICERES</t>
  </si>
  <si>
    <t>xxCRES..A</t>
  </si>
  <si>
    <t>xxCRESP%A</t>
  </si>
  <si>
    <t>xxCRESY%A</t>
  </si>
  <si>
    <t>Consumer price index (sa)</t>
  </si>
  <si>
    <t xml:space="preserve">Stem Code </t>
  </si>
  <si>
    <t>Name</t>
  </si>
  <si>
    <t>Expression</t>
  </si>
  <si>
    <t>Q</t>
  </si>
  <si>
    <t>GDP (real 2010 usd, sa)</t>
  </si>
  <si>
    <t>PCH#(X,1Y)</t>
  </si>
  <si>
    <t>HIDE#(DPL#(PCH#(X,1Y),2))</t>
  </si>
  <si>
    <t>GDP (nominal USD, nsa)</t>
  </si>
  <si>
    <t>Consumer spending (real 2010 usd, sa)</t>
  </si>
  <si>
    <t>Government consumption (real 2010 usd, sa)</t>
  </si>
  <si>
    <t>Gross fixed capital investment (real 2010 usd, sa)</t>
  </si>
  <si>
    <t>Exports (real 2010 usd, sa)</t>
  </si>
  <si>
    <t>Imports (real 2010 usd, sa)</t>
  </si>
  <si>
    <t>M</t>
  </si>
  <si>
    <t>Money supply M0 (current usd, nsa)</t>
  </si>
  <si>
    <t>Money supply M1 (current usd, nsa)</t>
  </si>
  <si>
    <t>Money supply M2 (current usd, nsa)</t>
  </si>
  <si>
    <t>Money supply M3 (current usd, nsa)</t>
  </si>
  <si>
    <t>Consumer price index (nsa)</t>
  </si>
  <si>
    <t>Producer price index (sa)</t>
  </si>
  <si>
    <t>Producer price index (nsa)</t>
  </si>
  <si>
    <t>Consumer core price index (sa)</t>
  </si>
  <si>
    <t>Consumer core price index (nsa)</t>
  </si>
  <si>
    <t>Export price index (nsa)</t>
  </si>
  <si>
    <t>Import price index (nsa)</t>
  </si>
  <si>
    <t>Terms of trade index (nsa)</t>
  </si>
  <si>
    <t>Employment (payroll stat sa)</t>
  </si>
  <si>
    <t>HIDE#(DPL#(ACH#(X,1Y),2))</t>
  </si>
  <si>
    <t>Employment (lfs sa)</t>
  </si>
  <si>
    <t>Unemployment rate (percentage, sa)</t>
  </si>
  <si>
    <t>X</t>
  </si>
  <si>
    <t>HIDE#(DPL#(X,2))</t>
  </si>
  <si>
    <t>Retail Sales index (sa)</t>
  </si>
  <si>
    <t>Retail sales index (nsa)</t>
  </si>
  <si>
    <t>Industrial production index (sa)</t>
  </si>
  <si>
    <t>Central government budget balance (usd, nsa)</t>
  </si>
  <si>
    <t>Current account balance (usd, sa)</t>
  </si>
  <si>
    <t>Current account balance gdp ratio(current prices, sa, percentage)</t>
  </si>
  <si>
    <t>Export of goods (usd, sa)</t>
  </si>
  <si>
    <t>Import of goods (usd, sa)</t>
  </si>
  <si>
    <t>Visible trade balance (usd, sa)</t>
  </si>
  <si>
    <t>International reserve assets (usd, nsa)</t>
  </si>
  <si>
    <t>YES</t>
  </si>
  <si>
    <t>TS</t>
  </si>
  <si>
    <t>CTLEF:GEOGN</t>
  </si>
  <si>
    <t>=Output!B8</t>
  </si>
  <si>
    <t>OK</t>
  </si>
  <si>
    <t>CHINA</t>
  </si>
  <si>
    <t>RUSSIAN FEDERATION</t>
  </si>
  <si>
    <t>Q1 2024</t>
  </si>
  <si>
    <t>Q4 2023</t>
  </si>
  <si>
    <t>Q3 2023</t>
  </si>
  <si>
    <t>Q2 2023</t>
  </si>
  <si>
    <t>Q1 2023</t>
  </si>
  <si>
    <t>Q4 2022</t>
  </si>
  <si>
    <t>Q3 2022</t>
  </si>
  <si>
    <t>Q2 2022</t>
  </si>
  <si>
    <t>EURO AREA</t>
  </si>
  <si>
    <t>FINLAND</t>
  </si>
  <si>
    <t>FRANCE</t>
  </si>
  <si>
    <t>INDIA</t>
  </si>
  <si>
    <t>IRAN, I.R. OF</t>
  </si>
  <si>
    <t>IRAQ</t>
  </si>
  <si>
    <t>SAUDI ARABIA</t>
  </si>
  <si>
    <t>SWITZERLAND</t>
  </si>
  <si>
    <t>Q1 2022</t>
  </si>
  <si>
    <t>Q4 2021</t>
  </si>
  <si>
    <t>Q3 2021</t>
  </si>
  <si>
    <t>Q2 2021</t>
  </si>
  <si>
    <t>Q1 2021</t>
  </si>
  <si>
    <t>Q4 2020</t>
  </si>
  <si>
    <t>Q3 2020</t>
  </si>
  <si>
    <t>Q2 2020</t>
  </si>
  <si>
    <t>Q1 2020</t>
  </si>
  <si>
    <t>Q4 2019</t>
  </si>
  <si>
    <t>Q3 2019</t>
  </si>
  <si>
    <t>Q2 2019</t>
  </si>
  <si>
    <t>Q1 2019</t>
  </si>
  <si>
    <t>Q4 2018</t>
  </si>
  <si>
    <t>Q3 2018</t>
  </si>
  <si>
    <t>Q2 2018</t>
  </si>
  <si>
    <t>Q1 2018</t>
  </si>
  <si>
    <t>Q4 2017</t>
  </si>
  <si>
    <t>Q3 2017</t>
  </si>
  <si>
    <t>Q2 2017</t>
  </si>
  <si>
    <t>Q1 2017</t>
  </si>
  <si>
    <t>Q4 2016</t>
  </si>
  <si>
    <t>Q3 2016</t>
  </si>
  <si>
    <t>Q2 2016</t>
  </si>
  <si>
    <t>Q1 2016</t>
  </si>
  <si>
    <t>Q4 2015</t>
  </si>
  <si>
    <t>Q3 2015</t>
  </si>
  <si>
    <t>Q2 2015</t>
  </si>
  <si>
    <t>Q1 2015</t>
  </si>
  <si>
    <t>Q4 2014</t>
  </si>
  <si>
    <t>Q3 2014</t>
  </si>
  <si>
    <t>Q2 2014</t>
  </si>
  <si>
    <t xml:space="preserve"> - MACRO SNAPSHOT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</si>
</sst>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10"/>
      <color rgb="FFFFFFFF"/>
      <name val="Arial"/>
      <family val="2"/>
    </font>
    <font>
      <sz val="10"/>
      <name val="Arial"/>
      <family val="2"/>
    </font>
    <font>
      <sz val="10"/>
      <color indexed="18"/>
      <name val="Arial"/>
      <family val="2"/>
    </font>
    <font>
      <sz val="8"/>
      <color indexed="9"/>
      <name val="MS Sans Serif"/>
      <family val="2"/>
    </font>
    <font>
      <sz val="8"/>
      <color rgb="FFFFFFFF"/>
      <name val="MS Sans Serif"/>
      <family val="2"/>
    </font>
    <font>
      <sz val="11"/>
      <color rgb="FFFFFFFF"/>
      <name val="Calibri"/>
      <family val="2"/>
      <scheme val="minor"/>
    </font>
    <font>
      <sz val="8"/>
      <name val="MS Sans Serif"/>
      <family val="2"/>
    </font>
    <font>
      <sz val="10"/>
      <color indexed="8"/>
      <name val="Arial"/>
      <family val="2"/>
    </font>
    <font>
      <sz val="10"/>
      <color indexed="9"/>
      <name val="Arial"/>
      <family val="2"/>
    </font>
    <font>
      <sz val="12"/>
      <name val="Arial"/>
      <family val="2"/>
    </font>
    <font>
      <sz val="8"/>
      <color indexed="81"/>
      <name val="Tahoma"/>
      <family val="2"/>
    </font>
    <font>
      <b/>
      <sz val="8"/>
      <color indexed="81"/>
      <name val="Tahoma"/>
      <family val="2"/>
    </font>
    <font>
      <sz val="8"/>
      <color rgb="FF000000"/>
      <name val="MS Sans Serif"/>
    </font>
    <font>
      <u/>
      <sz val="8"/>
      <color rgb="FF000000"/>
      <name val="MS Sans Serif"/>
    </font>
    <font>
      <sz val="8"/>
      <color rgb="FF000000"/>
      <name val="Tahoma"/>
      <family val="2"/>
    </font>
    <font>
      <sz val="11"/>
      <color theme="0"/>
      <name val="Calibri"/>
      <family val="2"/>
      <scheme val="minor"/>
    </font>
    <font>
      <sz val="8"/>
      <color rgb="FF000000"/>
      <name val="MS Sans Serif"/>
      <family val="2"/>
    </font>
    <font>
      <sz val="10"/>
      <color rgb="FF000000"/>
      <name val="Arial"/>
      <family val="2"/>
    </font>
    <font>
      <sz val="11"/>
      <color theme="1"/>
      <name val="Calibri"/>
      <family val="2"/>
      <scheme val="minor"/>
    </font>
    <font>
      <sz val="11"/>
      <color theme="1"/>
      <name val="Arial"/>
      <family val="2"/>
    </font>
    <font>
      <sz val="17"/>
      <color theme="0"/>
      <name val="Arial"/>
      <family val="2"/>
    </font>
    <font>
      <sz val="13"/>
      <color rgb="FF151516"/>
      <name val="Arial"/>
      <family val="2"/>
    </font>
    <font>
      <sz val="10"/>
      <color theme="1"/>
      <name val="Arial"/>
      <family val="2"/>
    </font>
    <font>
      <b/>
      <sz val="10"/>
      <color rgb="FF000000"/>
      <name val="Arial"/>
      <family val="2"/>
      <charset val="238"/>
    </font>
    <font>
      <sz val="11"/>
      <color rgb="FF000000"/>
      <name val="Calibri"/>
      <family val="2"/>
      <charset val="238"/>
      <scheme val="minor"/>
    </font>
    <font>
      <b/>
      <sz val="11"/>
      <color rgb="FF000000"/>
      <name val="Calibri"/>
      <family val="2"/>
      <charset val="238"/>
      <scheme val="minor"/>
    </font>
    <font>
      <sz val="10"/>
      <color theme="1"/>
      <name val="Arial"/>
      <family val="2"/>
      <charset val="238"/>
    </font>
    <font>
      <sz val="14"/>
      <color theme="0"/>
      <name val="Arial"/>
      <family val="2"/>
    </font>
    <font>
      <b/>
      <sz val="10"/>
      <color theme="1"/>
      <name val="Arial"/>
      <family val="2"/>
      <charset val="238"/>
    </font>
    <font>
      <sz val="11"/>
      <color theme="0"/>
      <name val="Arial"/>
      <family val="2"/>
    </font>
    <font>
      <sz val="14"/>
      <color theme="4"/>
      <name val="Arial"/>
      <family val="2"/>
    </font>
    <font>
      <sz val="8"/>
      <color theme="0"/>
      <name val="Arial"/>
      <family val="2"/>
    </font>
    <font>
      <b/>
      <sz val="10"/>
      <name val="Arial"/>
      <family val="2"/>
    </font>
    <font>
      <b/>
      <sz val="14"/>
      <color theme="0"/>
      <name val="Arial"/>
      <family val="2"/>
    </font>
    <font>
      <sz val="14"/>
      <color theme="1"/>
      <name val="Arial"/>
      <family val="2"/>
    </font>
    <font>
      <sz val="48"/>
      <color theme="1"/>
      <name val="Arial"/>
      <family val="2"/>
    </font>
    <font>
      <b/>
      <sz val="18"/>
      <color rgb="FF000000"/>
      <name val="MS Sans Serif"/>
    </font>
    <font>
      <b/>
      <i/>
      <sz val="11"/>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rgb="FF969696"/>
        <bgColor theme="0" tint="-0.499984740745262"/>
      </patternFill>
    </fill>
    <fill>
      <patternFill patternType="solid">
        <fgColor rgb="FF001EFF"/>
        <bgColor indexed="64"/>
      </patternFill>
    </fill>
    <fill>
      <patternFill patternType="solid">
        <fgColor indexed="12"/>
        <bgColor indexed="12"/>
      </patternFill>
    </fill>
    <fill>
      <patternFill patternType="solid">
        <fgColor rgb="FFE2E2E2"/>
        <bgColor indexed="64"/>
      </patternFill>
    </fill>
    <fill>
      <patternFill patternType="solid">
        <fgColor theme="1" tint="0.34998626667073579"/>
        <bgColor indexed="64"/>
      </patternFill>
    </fill>
    <fill>
      <patternFill patternType="solid">
        <fgColor theme="9"/>
        <bgColor indexed="64"/>
      </patternFill>
    </fill>
    <fill>
      <patternFill patternType="solid">
        <fgColor theme="6" tint="0.79998168889431442"/>
        <bgColor indexed="64"/>
      </patternFill>
    </fill>
    <fill>
      <patternFill patternType="solid">
        <fgColor rgb="FFEBF1DE"/>
        <bgColor indexed="64"/>
      </patternFill>
    </fill>
    <fill>
      <patternFill patternType="solid">
        <fgColor theme="0" tint="-0.34998626667073579"/>
        <bgColor indexed="64"/>
      </patternFill>
    </fill>
    <fill>
      <patternFill patternType="solid">
        <fgColor theme="0" tint="-0.14999847407452621"/>
        <bgColor indexed="64"/>
      </patternFill>
    </fill>
  </fills>
  <borders count="29">
    <border>
      <left/>
      <right/>
      <top/>
      <bottom/>
      <diagonal/>
    </border>
    <border>
      <left style="thin">
        <color rgb="FF5F5F5F"/>
      </left>
      <right style="thin">
        <color rgb="FF5F5F5F"/>
      </right>
      <top style="thin">
        <color rgb="FF5F5F5F"/>
      </top>
      <bottom style="thin">
        <color rgb="FF5F5F5F"/>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style="thin">
        <color auto="1"/>
      </right>
      <top/>
      <bottom style="thin">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4">
    <xf numFmtId="0" fontId="0" fillId="0" borderId="0"/>
    <xf numFmtId="0" fontId="20" fillId="0" borderId="0"/>
    <xf numFmtId="0" fontId="10" fillId="6" borderId="0" applyBorder="0">
      <alignment horizontal="right"/>
    </xf>
    <xf numFmtId="0" fontId="19" fillId="0" borderId="0"/>
  </cellStyleXfs>
  <cellXfs count="123">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left"/>
    </xf>
    <xf numFmtId="0" fontId="0" fillId="2" borderId="0" xfId="0" applyFill="1" applyAlignment="1">
      <alignment horizontal="center" vertical="center"/>
    </xf>
    <xf numFmtId="49" fontId="0" fillId="2" borderId="0" xfId="0" applyNumberFormat="1" applyFill="1" applyAlignment="1">
      <alignment horizontal="left" vertical="center"/>
    </xf>
    <xf numFmtId="0" fontId="0" fillId="2" borderId="0" xfId="0" applyFill="1" applyAlignment="1">
      <alignment horizontal="left" vertical="center"/>
    </xf>
    <xf numFmtId="0" fontId="1" fillId="2" borderId="0" xfId="0" applyFont="1" applyFill="1"/>
    <xf numFmtId="49" fontId="0" fillId="2" borderId="0" xfId="0" quotePrefix="1" applyNumberFormat="1" applyFill="1" applyAlignment="1">
      <alignment horizontal="left" vertical="center"/>
    </xf>
    <xf numFmtId="49" fontId="0" fillId="2" borderId="0" xfId="0" quotePrefix="1" applyNumberFormat="1" applyFill="1" applyAlignment="1">
      <alignment horizontal="left"/>
    </xf>
    <xf numFmtId="0" fontId="2" fillId="2" borderId="0" xfId="0" applyFont="1" applyFill="1"/>
    <xf numFmtId="49" fontId="0" fillId="2" borderId="0" xfId="0" applyNumberFormat="1" applyFill="1" applyAlignment="1">
      <alignment horizontal="left"/>
    </xf>
    <xf numFmtId="49" fontId="0" fillId="2" borderId="0" xfId="0" applyNumberFormat="1" applyFill="1"/>
    <xf numFmtId="49" fontId="3" fillId="2" borderId="0" xfId="0" applyNumberFormat="1" applyFont="1" applyFill="1" applyAlignment="1">
      <alignment horizontal="left" vertical="center"/>
    </xf>
    <xf numFmtId="0" fontId="0" fillId="2" borderId="0" xfId="0" applyFill="1" applyAlignment="1">
      <alignment vertical="top"/>
    </xf>
    <xf numFmtId="0" fontId="1" fillId="2" borderId="0" xfId="0" applyFont="1" applyFill="1" applyAlignment="1">
      <alignment horizontal="center" vertical="top"/>
    </xf>
    <xf numFmtId="0" fontId="6" fillId="2" borderId="0" xfId="0" applyFont="1" applyFill="1" applyAlignment="1">
      <alignment horizontal="center" vertical="top"/>
    </xf>
    <xf numFmtId="0" fontId="2" fillId="2" borderId="0" xfId="0" applyFont="1" applyFill="1" applyAlignment="1">
      <alignment vertical="top"/>
    </xf>
    <xf numFmtId="0" fontId="0" fillId="2" borderId="0" xfId="0" applyFill="1" applyAlignment="1">
      <alignment horizontal="center" vertical="top"/>
    </xf>
    <xf numFmtId="0" fontId="2" fillId="0" borderId="0" xfId="0" applyFont="1" applyAlignment="1">
      <alignment horizontal="left"/>
    </xf>
    <xf numFmtId="0" fontId="10" fillId="2" borderId="0" xfId="0" applyFont="1" applyFill="1"/>
    <xf numFmtId="0" fontId="2" fillId="0" borderId="0" xfId="0" applyFont="1" applyAlignment="1">
      <alignment vertical="center"/>
    </xf>
    <xf numFmtId="0" fontId="2" fillId="0" borderId="0" xfId="0" applyFont="1" applyAlignment="1">
      <alignment horizontal="center" vertical="center"/>
    </xf>
    <xf numFmtId="0" fontId="2" fillId="0" borderId="0" xfId="0" applyFont="1"/>
    <xf numFmtId="49" fontId="2" fillId="0" borderId="0" xfId="0" applyNumberFormat="1" applyFont="1" applyAlignment="1">
      <alignment horizontal="left" vertical="center"/>
    </xf>
    <xf numFmtId="0" fontId="2" fillId="0" borderId="0" xfId="0" applyFont="1" applyAlignment="1">
      <alignment horizontal="left" vertical="center"/>
    </xf>
    <xf numFmtId="49" fontId="2" fillId="0" borderId="0" xfId="0" applyNumberFormat="1" applyFont="1"/>
    <xf numFmtId="0" fontId="5" fillId="4" borderId="1" xfId="0" applyFont="1" applyFill="1" applyBorder="1" applyAlignment="1">
      <alignment horizontal="center" vertical="top"/>
    </xf>
    <xf numFmtId="49" fontId="5" fillId="4" borderId="1" xfId="0" applyNumberFormat="1" applyFont="1" applyFill="1" applyBorder="1" applyAlignment="1">
      <alignment horizontal="center" vertical="top"/>
    </xf>
    <xf numFmtId="0" fontId="4" fillId="4" borderId="1" xfId="0" applyFont="1" applyFill="1" applyBorder="1" applyAlignment="1">
      <alignment horizontal="left" vertical="top"/>
    </xf>
    <xf numFmtId="49" fontId="2" fillId="0" borderId="1" xfId="0" applyNumberFormat="1" applyFont="1" applyBorder="1" applyAlignment="1">
      <alignment horizontal="center" vertical="center"/>
    </xf>
    <xf numFmtId="49" fontId="2" fillId="0" borderId="1" xfId="0" applyNumberFormat="1" applyFont="1" applyBorder="1" applyAlignment="1">
      <alignment vertical="center"/>
    </xf>
    <xf numFmtId="1" fontId="2" fillId="0" borderId="1" xfId="0" quotePrefix="1" applyNumberFormat="1" applyFont="1" applyBorder="1" applyAlignment="1">
      <alignment horizontal="left"/>
    </xf>
    <xf numFmtId="0" fontId="2" fillId="0" borderId="1" xfId="0" applyFont="1" applyBorder="1"/>
    <xf numFmtId="0" fontId="2" fillId="0" borderId="1" xfId="0" applyFont="1" applyBorder="1" applyAlignment="1">
      <alignment horizontal="center"/>
    </xf>
    <xf numFmtId="49" fontId="8" fillId="0" borderId="1" xfId="0" applyNumberFormat="1" applyFont="1" applyBorder="1" applyAlignment="1">
      <alignment horizontal="left" vertical="center"/>
    </xf>
    <xf numFmtId="0" fontId="7" fillId="2" borderId="0" xfId="0" applyFont="1" applyFill="1"/>
    <xf numFmtId="0" fontId="9" fillId="2" borderId="0" xfId="0" applyFont="1" applyFill="1"/>
    <xf numFmtId="0" fontId="1" fillId="3" borderId="1" xfId="0" applyFont="1" applyFill="1" applyBorder="1" applyAlignment="1">
      <alignment horizontal="center" vertical="top"/>
    </xf>
    <xf numFmtId="49" fontId="6" fillId="3" borderId="1" xfId="0" applyNumberFormat="1" applyFont="1" applyFill="1" applyBorder="1" applyAlignment="1">
      <alignment horizontal="left" vertical="top"/>
    </xf>
    <xf numFmtId="0" fontId="2" fillId="0" borderId="1" xfId="0" applyFont="1" applyBorder="1" applyAlignment="1">
      <alignment vertical="center"/>
    </xf>
    <xf numFmtId="0" fontId="0" fillId="0" borderId="1" xfId="0" applyBorder="1" applyAlignment="1">
      <alignment horizontal="left"/>
    </xf>
    <xf numFmtId="0" fontId="2" fillId="0" borderId="1" xfId="0" applyFont="1" applyBorder="1" applyAlignment="1">
      <alignment horizontal="left"/>
    </xf>
    <xf numFmtId="49" fontId="2" fillId="4" borderId="1" xfId="0" applyNumberFormat="1" applyFont="1" applyFill="1" applyBorder="1" applyAlignment="1">
      <alignment horizontal="center" vertical="center"/>
    </xf>
    <xf numFmtId="49" fontId="2" fillId="0" borderId="1" xfId="0" applyNumberFormat="1" applyFont="1" applyBorder="1" applyAlignment="1">
      <alignment horizontal="left"/>
    </xf>
    <xf numFmtId="0" fontId="4" fillId="4" borderId="1" xfId="0" applyFont="1" applyFill="1" applyBorder="1" applyAlignment="1">
      <alignment horizontal="center" vertical="center"/>
    </xf>
    <xf numFmtId="0" fontId="16" fillId="2" borderId="0" xfId="0" applyFont="1" applyFill="1" applyAlignment="1">
      <alignment horizontal="center" vertical="center"/>
    </xf>
    <xf numFmtId="49" fontId="16" fillId="2" borderId="0" xfId="0" applyNumberFormat="1" applyFont="1" applyFill="1" applyAlignment="1">
      <alignment horizontal="center" vertical="center"/>
    </xf>
    <xf numFmtId="14" fontId="17" fillId="4" borderId="1" xfId="0" applyNumberFormat="1" applyFont="1" applyFill="1" applyBorder="1" applyAlignment="1">
      <alignment horizontal="left" vertical="top"/>
    </xf>
    <xf numFmtId="49" fontId="18" fillId="0" borderId="1" xfId="0" applyNumberFormat="1" applyFont="1" applyBorder="1" applyAlignment="1">
      <alignment vertical="center"/>
    </xf>
    <xf numFmtId="21" fontId="2" fillId="0" borderId="1" xfId="0" applyNumberFormat="1" applyFont="1" applyBorder="1" applyAlignment="1">
      <alignment horizontal="center"/>
    </xf>
    <xf numFmtId="49" fontId="18" fillId="0" borderId="1" xfId="0" applyNumberFormat="1" applyFont="1" applyBorder="1" applyAlignment="1">
      <alignment horizontal="center" vertical="center"/>
    </xf>
    <xf numFmtId="49" fontId="18" fillId="0" borderId="1" xfId="0" applyNumberFormat="1" applyFont="1" applyBorder="1" applyAlignment="1">
      <alignment horizontal="left" vertical="center"/>
    </xf>
    <xf numFmtId="0" fontId="20" fillId="5" borderId="0" xfId="0" applyFont="1" applyFill="1"/>
    <xf numFmtId="0" fontId="21" fillId="5" borderId="0" xfId="0" applyFont="1" applyFill="1" applyAlignment="1">
      <alignment vertical="center"/>
    </xf>
    <xf numFmtId="0" fontId="0" fillId="5" borderId="0" xfId="0" applyFill="1"/>
    <xf numFmtId="0" fontId="20" fillId="0" borderId="0" xfId="1"/>
    <xf numFmtId="0" fontId="22" fillId="7" borderId="0" xfId="2" applyFont="1" applyFill="1" applyBorder="1" applyAlignment="1">
      <alignment vertical="center"/>
    </xf>
    <xf numFmtId="0" fontId="23" fillId="0" borderId="0" xfId="1" applyFont="1"/>
    <xf numFmtId="0" fontId="20" fillId="0" borderId="0" xfId="3" applyFont="1" applyAlignment="1">
      <alignment vertical="top"/>
    </xf>
    <xf numFmtId="0" fontId="20" fillId="0" borderId="0" xfId="3" applyFont="1"/>
    <xf numFmtId="0" fontId="23" fillId="0" borderId="0" xfId="1" applyFont="1" applyAlignment="1">
      <alignment horizontal="left"/>
    </xf>
    <xf numFmtId="0" fontId="24" fillId="0" borderId="0" xfId="3" applyFont="1"/>
    <xf numFmtId="0" fontId="25" fillId="0" borderId="0" xfId="3" applyFont="1"/>
    <xf numFmtId="0" fontId="26" fillId="0" borderId="0" xfId="3" applyFont="1"/>
    <xf numFmtId="0" fontId="20" fillId="0" borderId="0" xfId="1" applyAlignment="1">
      <alignment horizontal="left"/>
    </xf>
    <xf numFmtId="0" fontId="27" fillId="2" borderId="0" xfId="0" applyFont="1" applyFill="1"/>
    <xf numFmtId="0" fontId="28" fillId="5" borderId="2" xfId="0" applyFont="1" applyFill="1" applyBorder="1" applyAlignment="1">
      <alignment horizontal="left" vertical="center"/>
    </xf>
    <xf numFmtId="0" fontId="28" fillId="5" borderId="3" xfId="0" applyFont="1" applyFill="1" applyBorder="1" applyAlignment="1">
      <alignment horizontal="center" vertical="center"/>
    </xf>
    <xf numFmtId="0" fontId="28" fillId="5" borderId="4" xfId="0" applyFont="1" applyFill="1" applyBorder="1" applyAlignment="1">
      <alignment horizontal="center" vertical="center"/>
    </xf>
    <xf numFmtId="0" fontId="29" fillId="2" borderId="0" xfId="0" applyFont="1" applyFill="1"/>
    <xf numFmtId="0" fontId="30" fillId="5" borderId="5" xfId="0" applyFont="1" applyFill="1" applyBorder="1" applyAlignment="1">
      <alignment horizontal="center" vertical="center"/>
    </xf>
    <xf numFmtId="0" fontId="31" fillId="5" borderId="6" xfId="0" applyFont="1" applyFill="1" applyBorder="1" applyAlignment="1">
      <alignment horizontal="left" vertical="center"/>
    </xf>
    <xf numFmtId="0" fontId="31" fillId="5" borderId="7" xfId="0" applyFont="1" applyFill="1" applyBorder="1" applyAlignment="1">
      <alignment horizontal="center" vertical="center"/>
    </xf>
    <xf numFmtId="0" fontId="32" fillId="5" borderId="7" xfId="0" applyFont="1" applyFill="1" applyBorder="1" applyAlignment="1">
      <alignment horizontal="left" vertical="center"/>
    </xf>
    <xf numFmtId="0" fontId="29" fillId="2" borderId="0" xfId="0" quotePrefix="1" applyFont="1" applyFill="1"/>
    <xf numFmtId="0" fontId="2" fillId="0" borderId="8" xfId="0" applyFont="1" applyBorder="1"/>
    <xf numFmtId="0" fontId="2" fillId="0" borderId="9" xfId="0" applyFont="1" applyBorder="1"/>
    <xf numFmtId="0" fontId="2" fillId="0" borderId="10" xfId="0" applyFont="1" applyBorder="1"/>
    <xf numFmtId="0" fontId="27" fillId="2" borderId="0" xfId="0" quotePrefix="1" applyFont="1" applyFill="1"/>
    <xf numFmtId="0" fontId="2" fillId="0" borderId="11" xfId="0" applyFont="1" applyBorder="1"/>
    <xf numFmtId="0" fontId="2" fillId="0" borderId="12" xfId="0" applyFont="1" applyBorder="1"/>
    <xf numFmtId="0" fontId="2" fillId="0" borderId="13" xfId="0" applyFont="1" applyBorder="1"/>
    <xf numFmtId="46" fontId="2" fillId="0" borderId="12" xfId="0" applyNumberFormat="1" applyFont="1" applyBorder="1"/>
    <xf numFmtId="0" fontId="2" fillId="0" borderId="14" xfId="0" applyFont="1" applyBorder="1"/>
    <xf numFmtId="0" fontId="2" fillId="0" borderId="15" xfId="0" applyFont="1" applyBorder="1"/>
    <xf numFmtId="46" fontId="2" fillId="0" borderId="15" xfId="0" applyNumberFormat="1" applyFont="1" applyBorder="1"/>
    <xf numFmtId="0" fontId="2" fillId="0" borderId="16" xfId="0" applyFont="1" applyBorder="1"/>
    <xf numFmtId="0" fontId="33" fillId="0" borderId="11" xfId="0" applyFont="1" applyBorder="1"/>
    <xf numFmtId="0" fontId="33" fillId="0" borderId="5" xfId="0" applyFont="1" applyBorder="1"/>
    <xf numFmtId="0" fontId="2" fillId="0" borderId="20" xfId="0" applyFont="1" applyBorder="1"/>
    <xf numFmtId="0" fontId="2" fillId="10" borderId="12" xfId="0" applyFont="1" applyFill="1" applyBorder="1"/>
    <xf numFmtId="0" fontId="23" fillId="0" borderId="12" xfId="0" applyFont="1" applyBorder="1"/>
    <xf numFmtId="0" fontId="16" fillId="5" borderId="0" xfId="0" applyFont="1" applyFill="1"/>
    <xf numFmtId="0" fontId="2" fillId="0" borderId="21" xfId="0" applyFont="1" applyBorder="1"/>
    <xf numFmtId="0" fontId="2" fillId="0" borderId="22" xfId="0" applyFont="1" applyBorder="1"/>
    <xf numFmtId="0" fontId="2" fillId="10" borderId="11" xfId="0" applyFont="1" applyFill="1" applyBorder="1"/>
    <xf numFmtId="0" fontId="2" fillId="10" borderId="13" xfId="0" applyFont="1" applyFill="1" applyBorder="1"/>
    <xf numFmtId="0" fontId="2" fillId="0" borderId="23" xfId="0" applyFont="1" applyBorder="1"/>
    <xf numFmtId="0" fontId="2" fillId="0" borderId="24" xfId="0" applyFont="1" applyBorder="1"/>
    <xf numFmtId="0" fontId="2" fillId="0" borderId="25" xfId="0" applyFont="1" applyBorder="1"/>
    <xf numFmtId="0" fontId="29" fillId="0" borderId="5" xfId="0" applyFont="1" applyBorder="1"/>
    <xf numFmtId="0" fontId="29" fillId="0" borderId="26" xfId="0" applyFont="1" applyBorder="1"/>
    <xf numFmtId="0" fontId="27" fillId="0" borderId="27" xfId="0" applyFont="1" applyBorder="1"/>
    <xf numFmtId="0" fontId="27" fillId="0" borderId="28" xfId="0" applyFont="1" applyBorder="1"/>
    <xf numFmtId="0" fontId="27" fillId="11" borderId="27" xfId="0" applyFont="1" applyFill="1" applyBorder="1"/>
    <xf numFmtId="0" fontId="27" fillId="11" borderId="28" xfId="0" applyFont="1" applyFill="1" applyBorder="1"/>
    <xf numFmtId="0" fontId="18" fillId="0" borderId="1" xfId="0" applyFont="1" applyBorder="1" applyAlignment="1">
      <alignment vertical="center"/>
    </xf>
    <xf numFmtId="0" fontId="18" fillId="0" borderId="1" xfId="0" applyFont="1" applyBorder="1" applyAlignment="1">
      <alignment horizontal="left" vertical="center"/>
    </xf>
    <xf numFmtId="0" fontId="20" fillId="12" borderId="0" xfId="0" applyFont="1" applyFill="1"/>
    <xf numFmtId="0" fontId="35" fillId="12" borderId="0" xfId="0" quotePrefix="1" applyFont="1" applyFill="1" applyAlignment="1">
      <alignment horizontal="center" vertical="center"/>
    </xf>
    <xf numFmtId="0" fontId="36" fillId="12" borderId="0" xfId="0" quotePrefix="1" applyFont="1" applyFill="1" applyAlignment="1">
      <alignment horizontal="center" vertical="center"/>
    </xf>
    <xf numFmtId="0" fontId="0" fillId="13" borderId="0" xfId="0" applyFill="1"/>
    <xf numFmtId="0" fontId="38" fillId="13" borderId="0" xfId="0" applyFont="1" applyFill="1" applyAlignment="1">
      <alignment horizontal="center" vertical="center"/>
    </xf>
    <xf numFmtId="14" fontId="38" fillId="13" borderId="0" xfId="0" applyNumberFormat="1" applyFont="1" applyFill="1" applyAlignment="1">
      <alignment horizontal="center" vertical="center"/>
    </xf>
    <xf numFmtId="14" fontId="38" fillId="8" borderId="0" xfId="0" applyNumberFormat="1" applyFont="1" applyFill="1" applyAlignment="1">
      <alignment horizontal="center" vertical="center"/>
    </xf>
    <xf numFmtId="14" fontId="39" fillId="8" borderId="0" xfId="0" applyNumberFormat="1" applyFont="1" applyFill="1" applyAlignment="1">
      <alignment horizontal="center" vertical="center"/>
    </xf>
    <xf numFmtId="0" fontId="39" fillId="8" borderId="0" xfId="0" applyFont="1" applyFill="1" applyAlignment="1">
      <alignment horizontal="center" vertical="center"/>
    </xf>
    <xf numFmtId="0" fontId="34" fillId="9" borderId="17" xfId="0" quotePrefix="1" applyFont="1" applyFill="1" applyBorder="1" applyAlignment="1">
      <alignment horizontal="center" vertical="center" wrapText="1"/>
    </xf>
    <xf numFmtId="0" fontId="0" fillId="0" borderId="18" xfId="0" applyBorder="1" applyAlignment="1">
      <alignment wrapText="1"/>
    </xf>
    <xf numFmtId="0" fontId="0" fillId="0" borderId="19" xfId="0" applyBorder="1" applyAlignment="1">
      <alignment wrapText="1"/>
    </xf>
    <xf numFmtId="0" fontId="5" fillId="4" borderId="1" xfId="0" applyFont="1" applyFill="1" applyBorder="1" applyAlignment="1">
      <alignment horizontal="center" vertical="center"/>
    </xf>
    <xf numFmtId="0" fontId="4" fillId="4" borderId="1" xfId="0" applyFont="1" applyFill="1" applyBorder="1" applyAlignment="1">
      <alignment horizontal="center" vertical="center"/>
    </xf>
  </cellXfs>
  <cellStyles count="4">
    <cellStyle name="Normal" xfId="0" builtinId="0"/>
    <cellStyle name="Normal 2" xfId="3" xr:uid="{3410CB46-6AC1-4497-B52C-052F8177469A}"/>
    <cellStyle name="Normal 3" xfId="1" xr:uid="{6AD5B3C1-9061-4453-AC0F-B1A633A5BDD8}"/>
    <cellStyle name="Normal 4" xfId="2" xr:uid="{611A5BAF-D845-4CD4-ACAE-B9113EE3C0EF}"/>
  </cellStyles>
  <dxfs count="0"/>
  <tableStyles count="0" defaultTableStyle="TableStyleMedium9" defaultPivotStyle="PivotStyleLight16"/>
  <colors>
    <mruColors>
      <color rgb="FF969696"/>
      <color rgb="FF5F5F5F"/>
      <color rgb="FF333333"/>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Label" lockText="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Label"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29"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28" Type="http://schemas.openxmlformats.org/officeDocument/2006/relationships/image" Target="../media/image33.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 Id="rId27" Type="http://schemas.openxmlformats.org/officeDocument/2006/relationships/image" Target="../media/image32.emf"/><Relationship Id="rId30"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180974</xdr:rowOff>
    </xdr:from>
    <xdr:to>
      <xdr:col>15</xdr:col>
      <xdr:colOff>38100</xdr:colOff>
      <xdr:row>11</xdr:row>
      <xdr:rowOff>0</xdr:rowOff>
    </xdr:to>
    <xdr:sp macro="" textlink="">
      <xdr:nvSpPr>
        <xdr:cNvPr id="2" name="TextBox 2">
          <a:extLst>
            <a:ext uri="{FF2B5EF4-FFF2-40B4-BE49-F238E27FC236}">
              <a16:creationId xmlns:a16="http://schemas.microsoft.com/office/drawing/2014/main" id="{00000000-0008-0000-0000-000002000000}"/>
            </a:ext>
          </a:extLst>
        </xdr:cNvPr>
        <xdr:cNvSpPr txBox="1"/>
      </xdr:nvSpPr>
      <xdr:spPr>
        <a:xfrm>
          <a:off x="285750" y="619124"/>
          <a:ext cx="9715500" cy="1628776"/>
        </a:xfrm>
        <a:prstGeom prst="rect">
          <a:avLst/>
        </a:prstGeom>
        <a:solidFill>
          <a:srgbClr val="001EFF">
            <a:alpha val="30000"/>
          </a:srgbClr>
        </a:solidFill>
        <a:ln w="9525" cmpd="sng">
          <a:solidFill>
            <a:srgbClr val="32AB6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i="0" u="none">
              <a:solidFill>
                <a:schemeClr val="tx1"/>
              </a:solidFill>
              <a:latin typeface="Arial" panose="020B0604020202020204" pitchFamily="34" charset="0"/>
              <a:cs typeface="Arial" panose="020B0604020202020204" pitchFamily="34" charset="0"/>
            </a:rPr>
            <a:t>How the Model</a:t>
          </a:r>
          <a:r>
            <a:rPr lang="en-US" sz="1000" b="1" i="0" u="none" baseline="0">
              <a:solidFill>
                <a:schemeClr val="tx1"/>
              </a:solidFill>
              <a:latin typeface="Arial" panose="020B0604020202020204" pitchFamily="34" charset="0"/>
              <a:cs typeface="Arial" panose="020B0604020202020204" pitchFamily="34" charset="0"/>
            </a:rPr>
            <a:t> Works</a:t>
          </a:r>
          <a:endParaRPr lang="pl-PL" sz="1000" b="1" i="0" u="none" baseline="0">
            <a:solidFill>
              <a:schemeClr val="tx1"/>
            </a:solidFill>
            <a:latin typeface="Arial" panose="020B0604020202020204" pitchFamily="34" charset="0"/>
            <a:cs typeface="Arial" panose="020B0604020202020204" pitchFamily="34" charset="0"/>
          </a:endParaRPr>
        </a:p>
        <a:p>
          <a:endParaRPr lang="en-US" sz="1000" b="1" i="0" u="none">
            <a:solidFill>
              <a:srgbClr val="32AB60"/>
            </a:solidFill>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u="none">
              <a:latin typeface="Arial" panose="020B0604020202020204" pitchFamily="34" charset="0"/>
              <a:cs typeface="Arial" panose="020B0604020202020204" pitchFamily="34" charset="0"/>
            </a:rPr>
            <a:t>The purpose of the Refinitiv Comparable Economics database is to provide clients with a set of timely headline series that can be compared across countries. Key Indicator concepts have been standardized such that each one is available on same frequency, unit, scale, seasonality, and base period across countries. In addition percent or level changes over previous year and period are provided for each statistic, which are derived from the standardized series. All series are based on nationally sourced headline data. The Thomson Reuters Economics team has selected Key Indicator series, which as far as possible are equivalent in definition across countries. In calculating various statistical versions of series offered here, data from other sources is sometimes used. To reach a consistent frequency set, calculations sometimes required conversion from a higher frequency; or interpolations from lower. For index series, rebasing has been done with Datastream functions.</a:t>
          </a:r>
        </a:p>
      </xdr:txBody>
    </xdr:sp>
    <xdr:clientData/>
  </xdr:twoCellAnchor>
  <xdr:twoCellAnchor>
    <xdr:from>
      <xdr:col>1</xdr:col>
      <xdr:colOff>19050</xdr:colOff>
      <xdr:row>13</xdr:row>
      <xdr:rowOff>95249</xdr:rowOff>
    </xdr:from>
    <xdr:to>
      <xdr:col>11</xdr:col>
      <xdr:colOff>552449</xdr:colOff>
      <xdr:row>25</xdr:row>
      <xdr:rowOff>28574</xdr:rowOff>
    </xdr:to>
    <xdr:sp macro="" textlink="">
      <xdr:nvSpPr>
        <xdr:cNvPr id="3" name="TextBox 3">
          <a:extLst>
            <a:ext uri="{FF2B5EF4-FFF2-40B4-BE49-F238E27FC236}">
              <a16:creationId xmlns:a16="http://schemas.microsoft.com/office/drawing/2014/main" id="{00000000-0008-0000-0000-000003000000}"/>
            </a:ext>
          </a:extLst>
        </xdr:cNvPr>
        <xdr:cNvSpPr txBox="1"/>
      </xdr:nvSpPr>
      <xdr:spPr>
        <a:xfrm>
          <a:off x="304800" y="2733674"/>
          <a:ext cx="7010399" cy="2105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l-PL" sz="1100" b="1"/>
            <a:t>Select the subject</a:t>
          </a:r>
          <a:r>
            <a:rPr lang="en-US" sz="1100" b="1"/>
            <a:t>: </a:t>
          </a:r>
          <a:r>
            <a:rPr lang="pl-PL" sz="1100" b="1"/>
            <a:t> </a:t>
          </a:r>
          <a:r>
            <a:rPr lang="pl-PL" sz="1100">
              <a:solidFill>
                <a:schemeClr val="dk1"/>
              </a:solidFill>
              <a:latin typeface="+mn-lt"/>
              <a:ea typeface="+mn-ea"/>
              <a:cs typeface="+mn-cs"/>
            </a:rPr>
            <a:t>Choose one of the listed key economic indicators and this will be displayed in the table of comparable statistics for the countries covered by </a:t>
          </a:r>
          <a:r>
            <a:rPr lang="en-US" sz="1100">
              <a:solidFill>
                <a:schemeClr val="dk1"/>
              </a:solidFill>
              <a:effectLst/>
              <a:latin typeface="+mn-lt"/>
              <a:ea typeface="+mn-ea"/>
              <a:cs typeface="+mn-cs"/>
            </a:rPr>
            <a:t>Refinitiv Comparable Economics </a:t>
          </a:r>
          <a:r>
            <a:rPr lang="pl-PL" sz="1100">
              <a:solidFill>
                <a:schemeClr val="dk1"/>
              </a:solidFill>
              <a:latin typeface="+mn-lt"/>
              <a:ea typeface="+mn-ea"/>
              <a:cs typeface="+mn-cs"/>
            </a:rPr>
            <a:t>dataset.</a:t>
          </a:r>
          <a:endParaRPr lang="pl-PL" sz="1100"/>
        </a:p>
        <a:p>
          <a:r>
            <a:rPr lang="pl-PL" sz="1100" b="1"/>
            <a:t>Date range: </a:t>
          </a:r>
          <a:r>
            <a:rPr lang="pl-PL" sz="1100" b="0"/>
            <a:t>Select date range</a:t>
          </a:r>
          <a:r>
            <a:rPr lang="pl-PL" sz="1100" b="0" baseline="0"/>
            <a:t> from the drop-down list.</a:t>
          </a:r>
        </a:p>
        <a:p>
          <a:endParaRPr lang="pl-PL" sz="1100" b="0" baseline="0"/>
        </a:p>
        <a:p>
          <a:r>
            <a:rPr lang="en-US" sz="1100">
              <a:solidFill>
                <a:schemeClr val="dk1"/>
              </a:solidFill>
              <a:latin typeface="+mn-lt"/>
              <a:ea typeface="+mn-ea"/>
              <a:cs typeface="+mn-cs"/>
            </a:rPr>
            <a:t>Once Inputs are selected press the </a:t>
          </a:r>
          <a:r>
            <a:rPr lang="pl-PL" sz="1100">
              <a:solidFill>
                <a:schemeClr val="dk1"/>
              </a:solidFill>
              <a:latin typeface="+mn-lt"/>
              <a:ea typeface="+mn-ea"/>
              <a:cs typeface="+mn-cs"/>
            </a:rPr>
            <a:t>"</a:t>
          </a:r>
          <a:r>
            <a:rPr lang="en-US" sz="1100">
              <a:solidFill>
                <a:schemeClr val="dk1"/>
              </a:solidFill>
              <a:latin typeface="+mn-lt"/>
              <a:ea typeface="+mn-ea"/>
              <a:cs typeface="+mn-cs"/>
            </a:rPr>
            <a:t>Update</a:t>
          </a:r>
          <a:r>
            <a:rPr lang="pl-PL" sz="1100">
              <a:solidFill>
                <a:schemeClr val="dk1"/>
              </a:solidFill>
              <a:latin typeface="+mn-lt"/>
              <a:ea typeface="+mn-ea"/>
              <a:cs typeface="+mn-cs"/>
            </a:rPr>
            <a:t>" </a:t>
          </a:r>
          <a:r>
            <a:rPr lang="en-US" sz="1100">
              <a:solidFill>
                <a:schemeClr val="dk1"/>
              </a:solidFill>
              <a:latin typeface="+mn-lt"/>
              <a:ea typeface="+mn-ea"/>
              <a:cs typeface="+mn-cs"/>
            </a:rPr>
            <a:t>button to </a:t>
          </a:r>
          <a:r>
            <a:rPr lang="pl-PL" sz="1100">
              <a:solidFill>
                <a:schemeClr val="dk1"/>
              </a:solidFill>
              <a:latin typeface="+mn-lt"/>
              <a:ea typeface="+mn-ea"/>
              <a:cs typeface="+mn-cs"/>
            </a:rPr>
            <a:t>refresh the data.</a:t>
          </a:r>
          <a:endParaRPr lang="pl-PL" sz="1100" b="0"/>
        </a:p>
        <a:p>
          <a:endParaRPr lang="pl-PL" sz="1100"/>
        </a:p>
        <a:p>
          <a:r>
            <a:rPr lang="en-US" sz="1100" b="0" i="0" u="none" strike="noStrike">
              <a:solidFill>
                <a:schemeClr val="dk1"/>
              </a:solidFill>
              <a:latin typeface="+mn-lt"/>
              <a:ea typeface="+mn-ea"/>
              <a:cs typeface="+mn-cs"/>
            </a:rPr>
            <a:t>More details</a:t>
          </a:r>
          <a:r>
            <a:rPr lang="en-US"/>
            <a:t> </a:t>
          </a:r>
          <a:r>
            <a:rPr lang="en-US" sz="1100" b="0" i="0" u="none" strike="noStrike">
              <a:solidFill>
                <a:schemeClr val="dk1"/>
              </a:solidFill>
              <a:latin typeface="+mn-lt"/>
              <a:ea typeface="+mn-ea"/>
              <a:cs typeface="+mn-cs"/>
            </a:rPr>
            <a:t>https://infobase.thomsonreuters.com/infobase/media/upload/content/economics/TRICE_Methodology_Nov_2017.pdf</a:t>
          </a:r>
          <a:r>
            <a:rPr lang="en-US"/>
            <a:t> </a:t>
          </a:r>
          <a:r>
            <a:rPr lang="en-US" sz="1100" b="0" i="0" u="none" strike="noStrike">
              <a:solidFill>
                <a:schemeClr val="dk1"/>
              </a:solidFill>
              <a:latin typeface="+mn-lt"/>
              <a:ea typeface="+mn-ea"/>
              <a:cs typeface="+mn-cs"/>
            </a:rPr>
            <a:t>https://infobase.thomsonreuters.com/infobase/media/upload/factsheet/TRICE_Factsheet_July2017.pdf</a:t>
          </a:r>
          <a:r>
            <a:rPr lang="en-US"/>
            <a:t> </a:t>
          </a:r>
          <a:endParaRPr lang="en-US" sz="1100"/>
        </a:p>
      </xdr:txBody>
    </xdr:sp>
    <xdr:clientData/>
  </xdr:twoCellAnchor>
  <xdr:oneCellAnchor>
    <xdr:from>
      <xdr:col>3</xdr:col>
      <xdr:colOff>781050</xdr:colOff>
      <xdr:row>22</xdr:row>
      <xdr:rowOff>85725</xdr:rowOff>
    </xdr:from>
    <xdr:ext cx="184731" cy="264560"/>
    <xdr:sp macro="" textlink="">
      <xdr:nvSpPr>
        <xdr:cNvPr id="4" name="TextBox 4">
          <a:extLst>
            <a:ext uri="{FF2B5EF4-FFF2-40B4-BE49-F238E27FC236}">
              <a16:creationId xmlns:a16="http://schemas.microsoft.com/office/drawing/2014/main" id="{00000000-0008-0000-0000-000004000000}"/>
            </a:ext>
          </a:extLst>
        </xdr:cNvPr>
        <xdr:cNvSpPr txBox="1"/>
      </xdr:nvSpPr>
      <xdr:spPr>
        <a:xfrm>
          <a:off x="2305050" y="4352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twoCellAnchor editAs="oneCell">
    <xdr:from>
      <xdr:col>0</xdr:col>
      <xdr:colOff>49530</xdr:colOff>
      <xdr:row>0</xdr:row>
      <xdr:rowOff>129540</xdr:rowOff>
    </xdr:from>
    <xdr:to>
      <xdr:col>2</xdr:col>
      <xdr:colOff>704850</xdr:colOff>
      <xdr:row>0</xdr:row>
      <xdr:rowOff>361471</xdr:rowOff>
    </xdr:to>
    <xdr:pic>
      <xdr:nvPicPr>
        <xdr:cNvPr id="5" name="9C605C68-E37E-48F6-B0D6-328968F14016" descr="939929A8-E4CD-42DA-BF22-DF36397AADB8@t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 y="129540"/>
          <a:ext cx="1436370" cy="2319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133350</xdr:rowOff>
        </xdr:from>
        <xdr:to>
          <xdr:col>1</xdr:col>
          <xdr:colOff>1133475</xdr:colOff>
          <xdr:row>5</xdr:row>
          <xdr:rowOff>19050</xdr:rowOff>
        </xdr:to>
        <xdr:sp macro="" textlink="">
          <xdr:nvSpPr>
            <xdr:cNvPr id="3074" name="ComboBox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152400</xdr:rowOff>
        </xdr:from>
        <xdr:to>
          <xdr:col>6</xdr:col>
          <xdr:colOff>9525</xdr:colOff>
          <xdr:row>3</xdr:row>
          <xdr:rowOff>76200</xdr:rowOff>
        </xdr:to>
        <xdr:sp macro="" textlink="">
          <xdr:nvSpPr>
            <xdr:cNvPr id="3075" name="ComboBox2"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7</xdr:col>
      <xdr:colOff>514350</xdr:colOff>
      <xdr:row>1</xdr:row>
      <xdr:rowOff>19050</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238750" cy="1028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390525</xdr:colOff>
          <xdr:row>1</xdr:row>
          <xdr:rowOff>171450</xdr:rowOff>
        </xdr:from>
        <xdr:to>
          <xdr:col>13</xdr:col>
          <xdr:colOff>228600</xdr:colOff>
          <xdr:row>5</xdr:row>
          <xdr:rowOff>9525</xdr:rowOff>
        </xdr:to>
        <xdr:sp macro="" textlink="">
          <xdr:nvSpPr>
            <xdr:cNvPr id="3076" name="btnProcessTable"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MS Sans Serif"/>
                </a:rPr>
                <a:t>Update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66675</xdr:colOff>
          <xdr:row>1</xdr:row>
          <xdr:rowOff>447675</xdr:rowOff>
        </xdr:from>
        <xdr:to>
          <xdr:col>2</xdr:col>
          <xdr:colOff>180975</xdr:colOff>
          <xdr:row>2</xdr:row>
          <xdr:rowOff>219075</xdr:rowOff>
        </xdr:to>
        <xdr:sp macro="" textlink="">
          <xdr:nvSpPr>
            <xdr:cNvPr id="1027" name="btnProcessTable"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MS Sans Serif"/>
                </a:rPr>
                <a:t>P</a:t>
              </a:r>
              <a:r>
                <a:rPr lang="en-US" sz="800" b="0" i="0" u="sng" strike="noStrike" baseline="0">
                  <a:solidFill>
                    <a:srgbClr val="000000"/>
                  </a:solidFill>
                  <a:latin typeface="MS Sans Serif"/>
                </a:rPr>
                <a:t>r</a:t>
              </a:r>
              <a:r>
                <a:rPr lang="en-US" sz="800" b="0" i="0" u="none" strike="noStrike" baseline="0">
                  <a:solidFill>
                    <a:srgbClr val="000000"/>
                  </a:solidFill>
                  <a:latin typeface="MS Sans Serif"/>
                </a:rPr>
                <a:t>ocess Table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866775</xdr:colOff>
          <xdr:row>2</xdr:row>
          <xdr:rowOff>57150</xdr:rowOff>
        </xdr:from>
        <xdr:to>
          <xdr:col>5</xdr:col>
          <xdr:colOff>2447925</xdr:colOff>
          <xdr:row>3</xdr:row>
          <xdr:rowOff>28575</xdr:rowOff>
        </xdr:to>
        <xdr:sp macro="" textlink="">
          <xdr:nvSpPr>
            <xdr:cNvPr id="1030" name="txtPostMacro"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866775</xdr:colOff>
          <xdr:row>1</xdr:row>
          <xdr:rowOff>266700</xdr:rowOff>
        </xdr:from>
        <xdr:to>
          <xdr:col>5</xdr:col>
          <xdr:colOff>2447925</xdr:colOff>
          <xdr:row>2</xdr:row>
          <xdr:rowOff>19050</xdr:rowOff>
        </xdr:to>
        <xdr:sp macro="" textlink="">
          <xdr:nvSpPr>
            <xdr:cNvPr id="1031" name="txtPreMacro"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76200</xdr:colOff>
          <xdr:row>0</xdr:row>
          <xdr:rowOff>28575</xdr:rowOff>
        </xdr:from>
        <xdr:to>
          <xdr:col>7</xdr:col>
          <xdr:colOff>523875</xdr:colOff>
          <xdr:row>0</xdr:row>
          <xdr:rowOff>228600</xdr:rowOff>
        </xdr:to>
        <xdr:sp macro="" textlink="">
          <xdr:nvSpPr>
            <xdr:cNvPr id="1032" name="chkDisplayDetails"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Details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76200</xdr:colOff>
          <xdr:row>0</xdr:row>
          <xdr:rowOff>228600</xdr:rowOff>
        </xdr:from>
        <xdr:to>
          <xdr:col>7</xdr:col>
          <xdr:colOff>752475</xdr:colOff>
          <xdr:row>1</xdr:row>
          <xdr:rowOff>190500</xdr:rowOff>
        </xdr:to>
        <xdr:sp macro="" textlink="">
          <xdr:nvSpPr>
            <xdr:cNvPr id="1033" name="chkAFOOptions"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Compatible options with AFO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866775</xdr:colOff>
          <xdr:row>0</xdr:row>
          <xdr:rowOff>180975</xdr:rowOff>
        </xdr:from>
        <xdr:to>
          <xdr:col>10</xdr:col>
          <xdr:colOff>1362075</xdr:colOff>
          <xdr:row>1</xdr:row>
          <xdr:rowOff>142875</xdr:rowOff>
        </xdr:to>
        <xdr:sp macro="" textlink="">
          <xdr:nvSpPr>
            <xdr:cNvPr id="1034" name="chkDispExcelDestination"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Destination as an Excel  formula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866775</xdr:colOff>
          <xdr:row>0</xdr:row>
          <xdr:rowOff>0</xdr:rowOff>
        </xdr:from>
        <xdr:to>
          <xdr:col>10</xdr:col>
          <xdr:colOff>1323975</xdr:colOff>
          <xdr:row>0</xdr:row>
          <xdr:rowOff>219075</xdr:rowOff>
        </xdr:to>
        <xdr:sp macro="" textlink="">
          <xdr:nvSpPr>
            <xdr:cNvPr id="1035" name="chkR1C1Ref"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Support R1C1 Reference Style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1</xdr:row>
          <xdr:rowOff>295275</xdr:rowOff>
        </xdr:from>
        <xdr:to>
          <xdr:col>10</xdr:col>
          <xdr:colOff>1781175</xdr:colOff>
          <xdr:row>2</xdr:row>
          <xdr:rowOff>47625</xdr:rowOff>
        </xdr:to>
        <xdr:sp macro="" textlink="">
          <xdr:nvSpPr>
            <xdr:cNvPr id="1038" name="txtNAString"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866775</xdr:colOff>
          <xdr:row>1</xdr:row>
          <xdr:rowOff>104775</xdr:rowOff>
        </xdr:from>
        <xdr:to>
          <xdr:col>10</xdr:col>
          <xdr:colOff>333375</xdr:colOff>
          <xdr:row>1</xdr:row>
          <xdr:rowOff>304800</xdr:rowOff>
        </xdr:to>
        <xdr:sp macro="" textlink="">
          <xdr:nvSpPr>
            <xdr:cNvPr id="1039" name="chkSuppress"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Suppress Comments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828675</xdr:colOff>
          <xdr:row>0</xdr:row>
          <xdr:rowOff>38100</xdr:rowOff>
        </xdr:from>
        <xdr:to>
          <xdr:col>5</xdr:col>
          <xdr:colOff>1781175</xdr:colOff>
          <xdr:row>1</xdr:row>
          <xdr:rowOff>0</xdr:rowOff>
        </xdr:to>
        <xdr:sp macro="" textlink="">
          <xdr:nvSpPr>
            <xdr:cNvPr id="1042" name="chkProcessTbl" descr="Process Table" hidden="1">
              <a:extLst>
                <a:ext uri="{63B3BB69-23CF-44E3-9099-C40C66FF867C}">
                  <a14:compatExt spid="_x0000_s1042"/>
                </a:ext>
                <a:ext uri="{FF2B5EF4-FFF2-40B4-BE49-F238E27FC236}">
                  <a16:creationId xmlns:a16="http://schemas.microsoft.com/office/drawing/2014/main" id="{00000000-0008-0000-05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Process Table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866775</xdr:colOff>
          <xdr:row>1</xdr:row>
          <xdr:rowOff>295275</xdr:rowOff>
        </xdr:from>
        <xdr:to>
          <xdr:col>8</xdr:col>
          <xdr:colOff>295275</xdr:colOff>
          <xdr:row>2</xdr:row>
          <xdr:rowOff>66675</xdr:rowOff>
        </xdr:to>
        <xdr:sp macro="" textlink="">
          <xdr:nvSpPr>
            <xdr:cNvPr id="1045" name="chkNAWrite" hidden="1">
              <a:extLst>
                <a:ext uri="{63B3BB69-23CF-44E3-9099-C40C66FF867C}">
                  <a14:compatExt spid="_x0000_s1045"/>
                </a:ext>
                <a:ext uri="{FF2B5EF4-FFF2-40B4-BE49-F238E27FC236}">
                  <a16:creationId xmlns:a16="http://schemas.microsoft.com/office/drawing/2014/main" id="{00000000-0008-0000-05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0</xdr:row>
          <xdr:rowOff>28575</xdr:rowOff>
        </xdr:from>
        <xdr:to>
          <xdr:col>12</xdr:col>
          <xdr:colOff>1571625</xdr:colOff>
          <xdr:row>0</xdr:row>
          <xdr:rowOff>209550</xdr:rowOff>
        </xdr:to>
        <xdr:sp macro="" textlink="">
          <xdr:nvSpPr>
            <xdr:cNvPr id="1046" name="lblTotalRequest" hidden="1">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495300</xdr:colOff>
          <xdr:row>5</xdr:row>
          <xdr:rowOff>0</xdr:rowOff>
        </xdr:from>
        <xdr:to>
          <xdr:col>2</xdr:col>
          <xdr:colOff>28575</xdr:colOff>
          <xdr:row>6</xdr:row>
          <xdr:rowOff>0</xdr:rowOff>
        </xdr:to>
        <xdr:sp macro="" textlink="">
          <xdr:nvSpPr>
            <xdr:cNvPr id="1048" name="btnNo" hidden="1">
              <a:extLst>
                <a:ext uri="{63B3BB69-23CF-44E3-9099-C40C66FF867C}">
                  <a14:compatExt spid="_x0000_s1048"/>
                </a:ext>
                <a:ext uri="{FF2B5EF4-FFF2-40B4-BE49-F238E27FC236}">
                  <a16:creationId xmlns:a16="http://schemas.microsoft.com/office/drawing/2014/main" id="{00000000-0008-0000-05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5</xdr:row>
          <xdr:rowOff>0</xdr:rowOff>
        </xdr:from>
        <xdr:to>
          <xdr:col>1</xdr:col>
          <xdr:colOff>523875</xdr:colOff>
          <xdr:row>6</xdr:row>
          <xdr:rowOff>0</xdr:rowOff>
        </xdr:to>
        <xdr:sp macro="" textlink="">
          <xdr:nvSpPr>
            <xdr:cNvPr id="1049" name="btnYesNO" hidden="1">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219075</xdr:colOff>
          <xdr:row>5</xdr:row>
          <xdr:rowOff>0</xdr:rowOff>
        </xdr:from>
        <xdr:to>
          <xdr:col>1</xdr:col>
          <xdr:colOff>219075</xdr:colOff>
          <xdr:row>6</xdr:row>
          <xdr:rowOff>0</xdr:rowOff>
        </xdr:to>
        <xdr:sp macro="" textlink="">
          <xdr:nvSpPr>
            <xdr:cNvPr id="1050" name="btnYes" hidden="1">
              <a:extLst>
                <a:ext uri="{63B3BB69-23CF-44E3-9099-C40C66FF867C}">
                  <a14:compatExt spid="_x0000_s1050"/>
                </a:ext>
                <a:ext uri="{FF2B5EF4-FFF2-40B4-BE49-F238E27FC236}">
                  <a16:creationId xmlns:a16="http://schemas.microsoft.com/office/drawing/2014/main" id="{00000000-0008-0000-05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447675</xdr:colOff>
          <xdr:row>5</xdr:row>
          <xdr:rowOff>0</xdr:rowOff>
        </xdr:from>
        <xdr:to>
          <xdr:col>2</xdr:col>
          <xdr:colOff>876300</xdr:colOff>
          <xdr:row>6</xdr:row>
          <xdr:rowOff>0</xdr:rowOff>
        </xdr:to>
        <xdr:sp macro="" textlink="">
          <xdr:nvSpPr>
            <xdr:cNvPr id="1051" name="btnTimeSeries" hidden="1">
              <a:extLst>
                <a:ext uri="{63B3BB69-23CF-44E3-9099-C40C66FF867C}">
                  <a14:compatExt spid="_x0000_s1051"/>
                </a:ext>
                <a:ext uri="{FF2B5EF4-FFF2-40B4-BE49-F238E27FC236}">
                  <a16:creationId xmlns:a16="http://schemas.microsoft.com/office/drawing/2014/main" id="{00000000-0008-0000-05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2</xdr:col>
          <xdr:colOff>447675</xdr:colOff>
          <xdr:row>6</xdr:row>
          <xdr:rowOff>0</xdr:rowOff>
        </xdr:to>
        <xdr:sp macro="" textlink="">
          <xdr:nvSpPr>
            <xdr:cNvPr id="1052" name="btnStatic" hidden="1">
              <a:extLst>
                <a:ext uri="{63B3BB69-23CF-44E3-9099-C40C66FF867C}">
                  <a14:compatExt spid="_x0000_s1052"/>
                </a:ext>
                <a:ext uri="{FF2B5EF4-FFF2-40B4-BE49-F238E27FC236}">
                  <a16:creationId xmlns:a16="http://schemas.microsoft.com/office/drawing/2014/main" id="{00000000-0008-0000-05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1323975</xdr:colOff>
          <xdr:row>5</xdr:row>
          <xdr:rowOff>0</xdr:rowOff>
        </xdr:from>
        <xdr:to>
          <xdr:col>3</xdr:col>
          <xdr:colOff>0</xdr:colOff>
          <xdr:row>6</xdr:row>
          <xdr:rowOff>0</xdr:rowOff>
        </xdr:to>
        <xdr:sp macro="" textlink="">
          <xdr:nvSpPr>
            <xdr:cNvPr id="1053" name="btnList" hidden="1">
              <a:extLst>
                <a:ext uri="{63B3BB69-23CF-44E3-9099-C40C66FF867C}">
                  <a14:compatExt spid="_x0000_s1053"/>
                </a:ext>
                <a:ext uri="{FF2B5EF4-FFF2-40B4-BE49-F238E27FC236}">
                  <a16:creationId xmlns:a16="http://schemas.microsoft.com/office/drawing/2014/main" id="{00000000-0008-0000-05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28575</xdr:colOff>
          <xdr:row>6</xdr:row>
          <xdr:rowOff>0</xdr:rowOff>
        </xdr:to>
        <xdr:sp macro="" textlink="">
          <xdr:nvSpPr>
            <xdr:cNvPr id="1054" name="btnFormatOptions" hidden="1">
              <a:extLst>
                <a:ext uri="{63B3BB69-23CF-44E3-9099-C40C66FF867C}">
                  <a14:compatExt spid="_x0000_s1054"/>
                </a:ext>
                <a:ext uri="{FF2B5EF4-FFF2-40B4-BE49-F238E27FC236}">
                  <a16:creationId xmlns:a16="http://schemas.microsoft.com/office/drawing/2014/main" id="{00000000-0008-0000-05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1104900</xdr:colOff>
          <xdr:row>5</xdr:row>
          <xdr:rowOff>0</xdr:rowOff>
        </xdr:from>
        <xdr:to>
          <xdr:col>4</xdr:col>
          <xdr:colOff>1971675</xdr:colOff>
          <xdr:row>6</xdr:row>
          <xdr:rowOff>0</xdr:rowOff>
        </xdr:to>
        <xdr:sp macro="" textlink="">
          <xdr:nvSpPr>
            <xdr:cNvPr id="1055" name="btnListPicker" hidden="1">
              <a:extLst>
                <a:ext uri="{63B3BB69-23CF-44E3-9099-C40C66FF867C}">
                  <a14:compatExt spid="_x0000_s1055"/>
                </a:ext>
                <a:ext uri="{FF2B5EF4-FFF2-40B4-BE49-F238E27FC236}">
                  <a16:creationId xmlns:a16="http://schemas.microsoft.com/office/drawing/2014/main" id="{00000000-0008-0000-0500-00001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5</xdr:row>
          <xdr:rowOff>0</xdr:rowOff>
        </xdr:from>
        <xdr:to>
          <xdr:col>4</xdr:col>
          <xdr:colOff>1133475</xdr:colOff>
          <xdr:row>6</xdr:row>
          <xdr:rowOff>0</xdr:rowOff>
        </xdr:to>
        <xdr:sp macro="" textlink="">
          <xdr:nvSpPr>
            <xdr:cNvPr id="1056" name="btnSeries"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1971675</xdr:colOff>
          <xdr:row>5</xdr:row>
          <xdr:rowOff>0</xdr:rowOff>
        </xdr:from>
        <xdr:to>
          <xdr:col>5</xdr:col>
          <xdr:colOff>0</xdr:colOff>
          <xdr:row>6</xdr:row>
          <xdr:rowOff>0</xdr:rowOff>
        </xdr:to>
        <xdr:sp macro="" textlink="">
          <xdr:nvSpPr>
            <xdr:cNvPr id="1057" name="btnListCreate" hidden="1">
              <a:extLst>
                <a:ext uri="{63B3BB69-23CF-44E3-9099-C40C66FF867C}">
                  <a14:compatExt spid="_x0000_s1057"/>
                </a:ext>
                <a:ext uri="{FF2B5EF4-FFF2-40B4-BE49-F238E27FC236}">
                  <a16:creationId xmlns:a16="http://schemas.microsoft.com/office/drawing/2014/main" id="{00000000-0008-0000-05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942975</xdr:colOff>
          <xdr:row>5</xdr:row>
          <xdr:rowOff>0</xdr:rowOff>
        </xdr:from>
        <xdr:to>
          <xdr:col>5</xdr:col>
          <xdr:colOff>1781175</xdr:colOff>
          <xdr:row>6</xdr:row>
          <xdr:rowOff>0</xdr:rowOff>
        </xdr:to>
        <xdr:sp macro="" textlink="">
          <xdr:nvSpPr>
            <xdr:cNvPr id="1058" name="btnExpressionPicker" hidden="1">
              <a:extLst>
                <a:ext uri="{63B3BB69-23CF-44E3-9099-C40C66FF867C}">
                  <a14:compatExt spid="_x0000_s1058"/>
                </a:ext>
                <a:ext uri="{FF2B5EF4-FFF2-40B4-BE49-F238E27FC236}">
                  <a16:creationId xmlns:a16="http://schemas.microsoft.com/office/drawing/2014/main" id="{00000000-0008-0000-05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1752600</xdr:colOff>
          <xdr:row>5</xdr:row>
          <xdr:rowOff>0</xdr:rowOff>
        </xdr:from>
        <xdr:to>
          <xdr:col>6</xdr:col>
          <xdr:colOff>0</xdr:colOff>
          <xdr:row>6</xdr:row>
          <xdr:rowOff>0</xdr:rowOff>
        </xdr:to>
        <xdr:sp macro="" textlink="">
          <xdr:nvSpPr>
            <xdr:cNvPr id="1059" name="btnFunctions"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5</xdr:col>
          <xdr:colOff>952500</xdr:colOff>
          <xdr:row>6</xdr:row>
          <xdr:rowOff>0</xdr:rowOff>
        </xdr:to>
        <xdr:sp macro="" textlink="">
          <xdr:nvSpPr>
            <xdr:cNvPr id="1060" name="btnDatatypes"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xdr:row>
          <xdr:rowOff>371475</xdr:rowOff>
        </xdr:from>
        <xdr:to>
          <xdr:col>4</xdr:col>
          <xdr:colOff>371475</xdr:colOff>
          <xdr:row>5</xdr:row>
          <xdr:rowOff>0</xdr:rowOff>
        </xdr:to>
        <xdr:sp macro="" textlink="">
          <xdr:nvSpPr>
            <xdr:cNvPr id="1061" name="btnSeriesEditor" hidden="1">
              <a:extLst>
                <a:ext uri="{63B3BB69-23CF-44E3-9099-C40C66FF867C}">
                  <a14:compatExt spid="_x0000_s1061"/>
                </a:ext>
                <a:ext uri="{FF2B5EF4-FFF2-40B4-BE49-F238E27FC236}">
                  <a16:creationId xmlns:a16="http://schemas.microsoft.com/office/drawing/2014/main" id="{00000000-0008-0000-05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3</xdr:row>
          <xdr:rowOff>371475</xdr:rowOff>
        </xdr:from>
        <xdr:to>
          <xdr:col>5</xdr:col>
          <xdr:colOff>371475</xdr:colOff>
          <xdr:row>5</xdr:row>
          <xdr:rowOff>0</xdr:rowOff>
        </xdr:to>
        <xdr:sp macro="" textlink="">
          <xdr:nvSpPr>
            <xdr:cNvPr id="1062" name="btnDatatypeEditor" hidden="1">
              <a:extLst>
                <a:ext uri="{63B3BB69-23CF-44E3-9099-C40C66FF867C}">
                  <a14:compatExt spid="_x0000_s1062"/>
                </a:ext>
                <a:ext uri="{FF2B5EF4-FFF2-40B4-BE49-F238E27FC236}">
                  <a16:creationId xmlns:a16="http://schemas.microsoft.com/office/drawing/2014/main" id="{00000000-0008-0000-05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xdr:row>
          <xdr:rowOff>371475</xdr:rowOff>
        </xdr:from>
        <xdr:to>
          <xdr:col>11</xdr:col>
          <xdr:colOff>28575</xdr:colOff>
          <xdr:row>6</xdr:row>
          <xdr:rowOff>0</xdr:rowOff>
        </xdr:to>
        <xdr:sp macro="" textlink="">
          <xdr:nvSpPr>
            <xdr:cNvPr id="1063" name="btnDataDestination" hidden="1">
              <a:extLst>
                <a:ext uri="{63B3BB69-23CF-44E3-9099-C40C66FF867C}">
                  <a14:compatExt spid="_x0000_s1063"/>
                </a:ext>
                <a:ext uri="{FF2B5EF4-FFF2-40B4-BE49-F238E27FC236}">
                  <a16:creationId xmlns:a16="http://schemas.microsoft.com/office/drawing/2014/main" id="{00000000-0008-0000-05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28575</xdr:rowOff>
        </xdr:from>
        <xdr:to>
          <xdr:col>10</xdr:col>
          <xdr:colOff>28575</xdr:colOff>
          <xdr:row>6</xdr:row>
          <xdr:rowOff>0</xdr:rowOff>
        </xdr:to>
        <xdr:sp macro="" textlink="">
          <xdr:nvSpPr>
            <xdr:cNvPr id="1064" name="cboFrequency" hidden="1">
              <a:extLst>
                <a:ext uri="{63B3BB69-23CF-44E3-9099-C40C66FF867C}">
                  <a14:compatExt spid="_x0000_s1064"/>
                </a:ext>
                <a:ext uri="{FF2B5EF4-FFF2-40B4-BE49-F238E27FC236}">
                  <a16:creationId xmlns:a16="http://schemas.microsoft.com/office/drawing/2014/main" id="{00000000-0008-0000-05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876300</xdr:colOff>
          <xdr:row>5</xdr:row>
          <xdr:rowOff>0</xdr:rowOff>
        </xdr:from>
        <xdr:to>
          <xdr:col>2</xdr:col>
          <xdr:colOff>1323975</xdr:colOff>
          <xdr:row>6</xdr:row>
          <xdr:rowOff>0</xdr:rowOff>
        </xdr:to>
        <xdr:sp macro="" textlink="">
          <xdr:nvSpPr>
            <xdr:cNvPr id="1066" name="btnTSL" hidden="1">
              <a:extLst>
                <a:ext uri="{63B3BB69-23CF-44E3-9099-C40C66FF867C}">
                  <a14:compatExt spid="_x0000_s1066"/>
                </a:ext>
                <a:ext uri="{FF2B5EF4-FFF2-40B4-BE49-F238E27FC236}">
                  <a16:creationId xmlns:a16="http://schemas.microsoft.com/office/drawing/2014/main" id="{00000000-0008-0000-05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76200</xdr:colOff>
          <xdr:row>1</xdr:row>
          <xdr:rowOff>180975</xdr:rowOff>
        </xdr:from>
        <xdr:to>
          <xdr:col>7</xdr:col>
          <xdr:colOff>114300</xdr:colOff>
          <xdr:row>1</xdr:row>
          <xdr:rowOff>409575</xdr:rowOff>
        </xdr:to>
        <xdr:sp macro="" textlink="">
          <xdr:nvSpPr>
            <xdr:cNvPr id="1067" name="chkSequencing" hidden="1">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Enable Sequencing</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28575</xdr:colOff>
          <xdr:row>2</xdr:row>
          <xdr:rowOff>28575</xdr:rowOff>
        </xdr:from>
        <xdr:to>
          <xdr:col>12</xdr:col>
          <xdr:colOff>1600200</xdr:colOff>
          <xdr:row>2</xdr:row>
          <xdr:rowOff>209550</xdr:rowOff>
        </xdr:to>
        <xdr:sp macro="" textlink="">
          <xdr:nvSpPr>
            <xdr:cNvPr id="1068" name="lblTotalTime" hidden="1">
              <a:extLst>
                <a:ext uri="{63B3BB69-23CF-44E3-9099-C40C66FF867C}">
                  <a14:compatExt spid="_x0000_s1068"/>
                </a:ext>
                <a:ext uri="{FF2B5EF4-FFF2-40B4-BE49-F238E27FC236}">
                  <a16:creationId xmlns:a16="http://schemas.microsoft.com/office/drawing/2014/main" id="{00000000-0008-0000-05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1</xdr:row>
          <xdr:rowOff>419100</xdr:rowOff>
        </xdr:from>
        <xdr:to>
          <xdr:col>4</xdr:col>
          <xdr:colOff>533400</xdr:colOff>
          <xdr:row>2</xdr:row>
          <xdr:rowOff>219075</xdr:rowOff>
        </xdr:to>
        <xdr:sp macro="" textlink="">
          <xdr:nvSpPr>
            <xdr:cNvPr id="1069" name="btnFindSeries0" hidden="1">
              <a:extLst>
                <a:ext uri="{63B3BB69-23CF-44E3-9099-C40C66FF867C}">
                  <a14:compatExt spid="_x0000_s1069"/>
                </a:ext>
                <a:ext uri="{FF2B5EF4-FFF2-40B4-BE49-F238E27FC236}">
                  <a16:creationId xmlns:a16="http://schemas.microsoft.com/office/drawing/2014/main" id="{00000000-0008-0000-05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409575</xdr:colOff>
          <xdr:row>5</xdr:row>
          <xdr:rowOff>28575</xdr:rowOff>
        </xdr:from>
        <xdr:to>
          <xdr:col>20</xdr:col>
          <xdr:colOff>28575</xdr:colOff>
          <xdr:row>6</xdr:row>
          <xdr:rowOff>0</xdr:rowOff>
        </xdr:to>
        <xdr:sp macro="" textlink="">
          <xdr:nvSpPr>
            <xdr:cNvPr id="1083" name="btnSEQoff" hidden="1">
              <a:extLst>
                <a:ext uri="{63B3BB69-23CF-44E3-9099-C40C66FF867C}">
                  <a14:compatExt spid="_x0000_s1083"/>
                </a:ext>
                <a:ext uri="{FF2B5EF4-FFF2-40B4-BE49-F238E27FC236}">
                  <a16:creationId xmlns:a16="http://schemas.microsoft.com/office/drawing/2014/main" id="{00000000-0008-0000-05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28575</xdr:colOff>
          <xdr:row>5</xdr:row>
          <xdr:rowOff>28575</xdr:rowOff>
        </xdr:from>
        <xdr:to>
          <xdr:col>19</xdr:col>
          <xdr:colOff>419100</xdr:colOff>
          <xdr:row>6</xdr:row>
          <xdr:rowOff>0</xdr:rowOff>
        </xdr:to>
        <xdr:sp macro="" textlink="">
          <xdr:nvSpPr>
            <xdr:cNvPr id="1084" name="btnSEQon" hidden="1">
              <a:extLst>
                <a:ext uri="{63B3BB69-23CF-44E3-9099-C40C66FF867C}">
                  <a14:compatExt spid="_x0000_s1084"/>
                </a:ext>
                <a:ext uri="{FF2B5EF4-FFF2-40B4-BE49-F238E27FC236}">
                  <a16:creationId xmlns:a16="http://schemas.microsoft.com/office/drawing/2014/main" id="{00000000-0008-0000-05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4</xdr:row>
          <xdr:rowOff>28575</xdr:rowOff>
        </xdr:from>
        <xdr:to>
          <xdr:col>8</xdr:col>
          <xdr:colOff>723900</xdr:colOff>
          <xdr:row>4</xdr:row>
          <xdr:rowOff>142875</xdr:rowOff>
        </xdr:to>
        <xdr:sp macro="" textlink="">
          <xdr:nvSpPr>
            <xdr:cNvPr id="1085" name="lblFrequency" hidden="1">
              <a:extLst>
                <a:ext uri="{63B3BB69-23CF-44E3-9099-C40C66FF867C}">
                  <a14:compatExt spid="_x0000_s1085"/>
                </a:ext>
                <a:ext uri="{FF2B5EF4-FFF2-40B4-BE49-F238E27FC236}">
                  <a16:creationId xmlns:a16="http://schemas.microsoft.com/office/drawing/2014/main" id="{00000000-0008-0000-0500-00003D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2390775</xdr:colOff>
          <xdr:row>0</xdr:row>
          <xdr:rowOff>104775</xdr:rowOff>
        </xdr:from>
        <xdr:to>
          <xdr:col>5</xdr:col>
          <xdr:colOff>819150</xdr:colOff>
          <xdr:row>1</xdr:row>
          <xdr:rowOff>28575</xdr:rowOff>
        </xdr:to>
        <xdr:sp macro="" textlink="">
          <xdr:nvSpPr>
            <xdr:cNvPr id="1089" name="Label 65" hidden="1">
              <a:extLst>
                <a:ext uri="{63B3BB69-23CF-44E3-9099-C40C66FF867C}">
                  <a14:compatExt spid="_x0000_s1089"/>
                </a:ext>
                <a:ext uri="{FF2B5EF4-FFF2-40B4-BE49-F238E27FC236}">
                  <a16:creationId xmlns:a16="http://schemas.microsoft.com/office/drawing/2014/main" id="{00000000-0008-0000-0500-00004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On Open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2390775</xdr:colOff>
          <xdr:row>1</xdr:row>
          <xdr:rowOff>304800</xdr:rowOff>
        </xdr:from>
        <xdr:to>
          <xdr:col>5</xdr:col>
          <xdr:colOff>800100</xdr:colOff>
          <xdr:row>2</xdr:row>
          <xdr:rowOff>38100</xdr:rowOff>
        </xdr:to>
        <xdr:sp macro="" textlink="">
          <xdr:nvSpPr>
            <xdr:cNvPr id="1091" name="Label 67" hidden="1">
              <a:extLst>
                <a:ext uri="{63B3BB69-23CF-44E3-9099-C40C66FF867C}">
                  <a14:compatExt spid="_x0000_s1091"/>
                </a:ext>
                <a:ext uri="{FF2B5EF4-FFF2-40B4-BE49-F238E27FC236}">
                  <a16:creationId xmlns:a16="http://schemas.microsoft.com/office/drawing/2014/main" id="{00000000-0008-0000-0500-00004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Pre-Request Macro: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2390775</xdr:colOff>
          <xdr:row>2</xdr:row>
          <xdr:rowOff>95250</xdr:rowOff>
        </xdr:from>
        <xdr:to>
          <xdr:col>5</xdr:col>
          <xdr:colOff>790575</xdr:colOff>
          <xdr:row>3</xdr:row>
          <xdr:rowOff>57150</xdr:rowOff>
        </xdr:to>
        <xdr:sp macro="" textlink="">
          <xdr:nvSpPr>
            <xdr:cNvPr id="1093" name="Label 69" hidden="1">
              <a:extLst>
                <a:ext uri="{63B3BB69-23CF-44E3-9099-C40C66FF867C}">
                  <a14:compatExt spid="_x0000_s1093"/>
                </a:ext>
                <a:ext uri="{FF2B5EF4-FFF2-40B4-BE49-F238E27FC236}">
                  <a16:creationId xmlns:a16="http://schemas.microsoft.com/office/drawing/2014/main" id="{00000000-0008-0000-0500-00004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On Completion Macro: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0</xdr:row>
          <xdr:rowOff>76200</xdr:rowOff>
        </xdr:from>
        <xdr:to>
          <xdr:col>4</xdr:col>
          <xdr:colOff>2124075</xdr:colOff>
          <xdr:row>1</xdr:row>
          <xdr:rowOff>28575</xdr:rowOff>
        </xdr:to>
        <xdr:sp macro="" textlink="">
          <xdr:nvSpPr>
            <xdr:cNvPr id="1096" name="Label 72" hidden="1">
              <a:extLst>
                <a:ext uri="{63B3BB69-23CF-44E3-9099-C40C66FF867C}">
                  <a14:compatExt spid="_x0000_s1096"/>
                </a:ext>
                <a:ext uri="{FF2B5EF4-FFF2-40B4-BE49-F238E27FC236}">
                  <a16:creationId xmlns:a16="http://schemas.microsoft.com/office/drawing/2014/main" id="{00000000-0008-0000-0500-000048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DFORequestTable 4.1.24(Sync)</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142875</xdr:colOff>
          <xdr:row>1</xdr:row>
          <xdr:rowOff>333375</xdr:rowOff>
        </xdr:from>
        <xdr:to>
          <xdr:col>10</xdr:col>
          <xdr:colOff>676275</xdr:colOff>
          <xdr:row>2</xdr:row>
          <xdr:rowOff>28575</xdr:rowOff>
        </xdr:to>
        <xdr:sp macro="" textlink="">
          <xdr:nvSpPr>
            <xdr:cNvPr id="1097" name="Label 73" hidden="1">
              <a:extLst>
                <a:ext uri="{63B3BB69-23CF-44E3-9099-C40C66FF867C}">
                  <a14:compatExt spid="_x0000_s1097"/>
                </a:ext>
                <a:ext uri="{FF2B5EF4-FFF2-40B4-BE49-F238E27FC236}">
                  <a16:creationId xmlns:a16="http://schemas.microsoft.com/office/drawing/2014/main" id="{00000000-0008-0000-0500-00004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Use as "not available" string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6</xdr:col>
          <xdr:colOff>1057275</xdr:colOff>
          <xdr:row>6</xdr:row>
          <xdr:rowOff>0</xdr:rowOff>
        </xdr:to>
        <xdr:sp macro="" textlink="">
          <xdr:nvSpPr>
            <xdr:cNvPr id="1103" name="btnLatestValueStatic" hidden="1">
              <a:extLst>
                <a:ext uri="{63B3BB69-23CF-44E3-9099-C40C66FF867C}">
                  <a14:compatExt spid="_x0000_s1103"/>
                </a:ext>
                <a:ext uri="{FF2B5EF4-FFF2-40B4-BE49-F238E27FC236}">
                  <a16:creationId xmlns:a16="http://schemas.microsoft.com/office/drawing/2014/main" id="{00000000-0008-0000-05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1057275</xdr:colOff>
          <xdr:row>5</xdr:row>
          <xdr:rowOff>0</xdr:rowOff>
        </xdr:from>
        <xdr:to>
          <xdr:col>8</xdr:col>
          <xdr:colOff>28575</xdr:colOff>
          <xdr:row>6</xdr:row>
          <xdr:rowOff>0</xdr:rowOff>
        </xdr:to>
        <xdr:sp macro="" textlink="">
          <xdr:nvSpPr>
            <xdr:cNvPr id="1104" name="btnLatestValueTS" hidden="1">
              <a:extLst>
                <a:ext uri="{63B3BB69-23CF-44E3-9099-C40C66FF867C}">
                  <a14:compatExt spid="_x0000_s1104"/>
                </a:ext>
                <a:ext uri="{FF2B5EF4-FFF2-40B4-BE49-F238E27FC236}">
                  <a16:creationId xmlns:a16="http://schemas.microsoft.com/office/drawing/2014/main" id="{00000000-0008-0000-05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371475</xdr:colOff>
          <xdr:row>1</xdr:row>
          <xdr:rowOff>447675</xdr:rowOff>
        </xdr:from>
        <xdr:to>
          <xdr:col>2</xdr:col>
          <xdr:colOff>1295400</xdr:colOff>
          <xdr:row>2</xdr:row>
          <xdr:rowOff>219075</xdr:rowOff>
        </xdr:to>
        <xdr:sp macro="" textlink="">
          <xdr:nvSpPr>
            <xdr:cNvPr id="1105" name="btnAddToIndex" hidden="1">
              <a:extLst>
                <a:ext uri="{63B3BB69-23CF-44E3-9099-C40C66FF867C}">
                  <a14:compatExt spid="_x0000_s1105"/>
                </a:ext>
                <a:ext uri="{FF2B5EF4-FFF2-40B4-BE49-F238E27FC236}">
                  <a16:creationId xmlns:a16="http://schemas.microsoft.com/office/drawing/2014/main" id="{00000000-0008-0000-05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MS Sans Serif"/>
                </a:rPr>
                <a:t>Add to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876300</xdr:colOff>
          <xdr:row>1</xdr:row>
          <xdr:rowOff>19050</xdr:rowOff>
        </xdr:from>
        <xdr:to>
          <xdr:col>5</xdr:col>
          <xdr:colOff>1352550</xdr:colOff>
          <xdr:row>1</xdr:row>
          <xdr:rowOff>209550</xdr:rowOff>
        </xdr:to>
        <xdr:sp macro="" textlink="">
          <xdr:nvSpPr>
            <xdr:cNvPr id="1114" name="txtTimeout" hidden="1">
              <a:extLst>
                <a:ext uri="{63B3BB69-23CF-44E3-9099-C40C66FF867C}">
                  <a14:compatExt spid="_x0000_s1114"/>
                </a:ext>
                <a:ext uri="{FF2B5EF4-FFF2-40B4-BE49-F238E27FC236}">
                  <a16:creationId xmlns:a16="http://schemas.microsoft.com/office/drawing/2014/main" id="{00000000-0008-0000-05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2400300</xdr:colOff>
          <xdr:row>1</xdr:row>
          <xdr:rowOff>57150</xdr:rowOff>
        </xdr:from>
        <xdr:to>
          <xdr:col>5</xdr:col>
          <xdr:colOff>800100</xdr:colOff>
          <xdr:row>1</xdr:row>
          <xdr:rowOff>247650</xdr:rowOff>
        </xdr:to>
        <xdr:sp macro="" textlink="">
          <xdr:nvSpPr>
            <xdr:cNvPr id="1115" name="Label 91" hidden="1">
              <a:extLst>
                <a:ext uri="{63B3BB69-23CF-44E3-9099-C40C66FF867C}">
                  <a14:compatExt spid="_x0000_s1115"/>
                </a:ext>
                <a:ext uri="{FF2B5EF4-FFF2-40B4-BE49-F238E27FC236}">
                  <a16:creationId xmlns:a16="http://schemas.microsoft.com/office/drawing/2014/main" id="{00000000-0008-0000-0500-00005B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Process Timeout (Mins):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xdr:colOff>
          <xdr:row>0</xdr:row>
          <xdr:rowOff>133350</xdr:rowOff>
        </xdr:from>
        <xdr:to>
          <xdr:col>2</xdr:col>
          <xdr:colOff>1181100</xdr:colOff>
          <xdr:row>1</xdr:row>
          <xdr:rowOff>342900</xdr:rowOff>
        </xdr:to>
        <xdr:sp macro="" textlink="">
          <xdr:nvSpPr>
            <xdr:cNvPr id="1116" name="Image2" hidden="1">
              <a:extLst>
                <a:ext uri="{63B3BB69-23CF-44E3-9099-C40C66FF867C}">
                  <a14:compatExt spid="_x0000_s1116"/>
                </a:ext>
                <a:ext uri="{FF2B5EF4-FFF2-40B4-BE49-F238E27FC236}">
                  <a16:creationId xmlns:a16="http://schemas.microsoft.com/office/drawing/2014/main" id="{00000000-0008-0000-05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6" Type="http://schemas.openxmlformats.org/officeDocument/2006/relationships/control" Target="../activeX/activeX14.xml"/><Relationship Id="rId21" Type="http://schemas.openxmlformats.org/officeDocument/2006/relationships/image" Target="../media/image13.emf"/><Relationship Id="rId42" Type="http://schemas.openxmlformats.org/officeDocument/2006/relationships/control" Target="../activeX/activeX22.xml"/><Relationship Id="rId47" Type="http://schemas.openxmlformats.org/officeDocument/2006/relationships/image" Target="../media/image26.emf"/><Relationship Id="rId63" Type="http://schemas.openxmlformats.org/officeDocument/2006/relationships/image" Target="../media/image34.emf"/><Relationship Id="rId68" Type="http://schemas.openxmlformats.org/officeDocument/2006/relationships/ctrlProp" Target="../ctrlProps/ctrlProp6.xml"/><Relationship Id="rId16" Type="http://schemas.openxmlformats.org/officeDocument/2006/relationships/control" Target="../activeX/activeX9.xml"/><Relationship Id="rId11" Type="http://schemas.openxmlformats.org/officeDocument/2006/relationships/image" Target="../media/image8.emf"/><Relationship Id="rId32" Type="http://schemas.openxmlformats.org/officeDocument/2006/relationships/control" Target="../activeX/activeX17.xml"/><Relationship Id="rId37" Type="http://schemas.openxmlformats.org/officeDocument/2006/relationships/image" Target="../media/image21.emf"/><Relationship Id="rId53" Type="http://schemas.openxmlformats.org/officeDocument/2006/relationships/image" Target="../media/image29.emf"/><Relationship Id="rId58" Type="http://schemas.openxmlformats.org/officeDocument/2006/relationships/control" Target="../activeX/activeX30.xml"/><Relationship Id="rId74" Type="http://schemas.openxmlformats.org/officeDocument/2006/relationships/ctrlProp" Target="../ctrlProps/ctrlProp12.xml"/><Relationship Id="rId79" Type="http://schemas.openxmlformats.org/officeDocument/2006/relationships/ctrlProp" Target="../ctrlProps/ctrlProp17.xml"/><Relationship Id="rId5" Type="http://schemas.openxmlformats.org/officeDocument/2006/relationships/image" Target="../media/image5.emf"/><Relationship Id="rId61" Type="http://schemas.openxmlformats.org/officeDocument/2006/relationships/image" Target="../media/image33.emf"/><Relationship Id="rId19" Type="http://schemas.openxmlformats.org/officeDocument/2006/relationships/image" Target="../media/image12.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6.emf"/><Relationship Id="rId30" Type="http://schemas.openxmlformats.org/officeDocument/2006/relationships/control" Target="../activeX/activeX16.xml"/><Relationship Id="rId35" Type="http://schemas.openxmlformats.org/officeDocument/2006/relationships/image" Target="../media/image20.emf"/><Relationship Id="rId43" Type="http://schemas.openxmlformats.org/officeDocument/2006/relationships/image" Target="../media/image24.emf"/><Relationship Id="rId48" Type="http://schemas.openxmlformats.org/officeDocument/2006/relationships/control" Target="../activeX/activeX25.xml"/><Relationship Id="rId56" Type="http://schemas.openxmlformats.org/officeDocument/2006/relationships/control" Target="../activeX/activeX29.xml"/><Relationship Id="rId64" Type="http://schemas.openxmlformats.org/officeDocument/2006/relationships/ctrlProp" Target="../ctrlProps/ctrlProp2.xml"/><Relationship Id="rId69" Type="http://schemas.openxmlformats.org/officeDocument/2006/relationships/ctrlProp" Target="../ctrlProps/ctrlProp7.xml"/><Relationship Id="rId77" Type="http://schemas.openxmlformats.org/officeDocument/2006/relationships/ctrlProp" Target="../ctrlProps/ctrlProp15.xml"/><Relationship Id="rId8" Type="http://schemas.openxmlformats.org/officeDocument/2006/relationships/control" Target="../activeX/activeX5.xml"/><Relationship Id="rId51" Type="http://schemas.openxmlformats.org/officeDocument/2006/relationships/image" Target="../media/image28.emf"/><Relationship Id="rId72" Type="http://schemas.openxmlformats.org/officeDocument/2006/relationships/ctrlProp" Target="../ctrlProps/ctrlProp10.xml"/><Relationship Id="rId80" Type="http://schemas.openxmlformats.org/officeDocument/2006/relationships/ctrlProp" Target="../ctrlProps/ctrlProp18.xml"/><Relationship Id="rId3" Type="http://schemas.openxmlformats.org/officeDocument/2006/relationships/vmlDrawing" Target="../drawings/vmlDrawing2.vml"/><Relationship Id="rId12" Type="http://schemas.openxmlformats.org/officeDocument/2006/relationships/control" Target="../activeX/activeX7.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20.xml"/><Relationship Id="rId46" Type="http://schemas.openxmlformats.org/officeDocument/2006/relationships/control" Target="../activeX/activeX24.xml"/><Relationship Id="rId59" Type="http://schemas.openxmlformats.org/officeDocument/2006/relationships/image" Target="../media/image32.emf"/><Relationship Id="rId67" Type="http://schemas.openxmlformats.org/officeDocument/2006/relationships/ctrlProp" Target="../ctrlProps/ctrlProp5.xml"/><Relationship Id="rId20" Type="http://schemas.openxmlformats.org/officeDocument/2006/relationships/control" Target="../activeX/activeX11.xml"/><Relationship Id="rId41" Type="http://schemas.openxmlformats.org/officeDocument/2006/relationships/image" Target="../media/image23.emf"/><Relationship Id="rId54" Type="http://schemas.openxmlformats.org/officeDocument/2006/relationships/control" Target="../activeX/activeX28.xml"/><Relationship Id="rId62" Type="http://schemas.openxmlformats.org/officeDocument/2006/relationships/control" Target="../activeX/activeX32.xml"/><Relationship Id="rId70" Type="http://schemas.openxmlformats.org/officeDocument/2006/relationships/ctrlProp" Target="../ctrlProps/ctrlProp8.xml"/><Relationship Id="rId75" Type="http://schemas.openxmlformats.org/officeDocument/2006/relationships/ctrlProp" Target="../ctrlProps/ctrlProp13.xml"/><Relationship Id="rId1" Type="http://schemas.openxmlformats.org/officeDocument/2006/relationships/printerSettings" Target="../printerSettings/printerSettings6.bin"/><Relationship Id="rId6" Type="http://schemas.openxmlformats.org/officeDocument/2006/relationships/control" Target="../activeX/activeX4.x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7.emf"/><Relationship Id="rId57" Type="http://schemas.openxmlformats.org/officeDocument/2006/relationships/image" Target="../media/image31.emf"/><Relationship Id="rId10" Type="http://schemas.openxmlformats.org/officeDocument/2006/relationships/control" Target="../activeX/activeX6.xml"/><Relationship Id="rId31" Type="http://schemas.openxmlformats.org/officeDocument/2006/relationships/image" Target="../media/image18.emf"/><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ctrlProp" Target="../ctrlProps/ctrlProp3.xml"/><Relationship Id="rId73" Type="http://schemas.openxmlformats.org/officeDocument/2006/relationships/ctrlProp" Target="../ctrlProps/ctrlProp11.xml"/><Relationship Id="rId78" Type="http://schemas.openxmlformats.org/officeDocument/2006/relationships/ctrlProp" Target="../ctrlProps/ctrlProp16.xml"/><Relationship Id="rId81" Type="http://schemas.openxmlformats.org/officeDocument/2006/relationships/comments" Target="../comments1.xml"/><Relationship Id="rId4" Type="http://schemas.openxmlformats.org/officeDocument/2006/relationships/control" Target="../activeX/activeX3.xml"/><Relationship Id="rId9" Type="http://schemas.openxmlformats.org/officeDocument/2006/relationships/image" Target="../media/image7.emf"/><Relationship Id="rId13" Type="http://schemas.openxmlformats.org/officeDocument/2006/relationships/image" Target="../media/image9.emf"/><Relationship Id="rId18" Type="http://schemas.openxmlformats.org/officeDocument/2006/relationships/control" Target="../activeX/activeX10.xml"/><Relationship Id="rId39" Type="http://schemas.openxmlformats.org/officeDocument/2006/relationships/image" Target="../media/image22.emf"/><Relationship Id="rId34" Type="http://schemas.openxmlformats.org/officeDocument/2006/relationships/control" Target="../activeX/activeX18.xml"/><Relationship Id="rId50" Type="http://schemas.openxmlformats.org/officeDocument/2006/relationships/control" Target="../activeX/activeX26.xml"/><Relationship Id="rId55" Type="http://schemas.openxmlformats.org/officeDocument/2006/relationships/image" Target="../media/image30.emf"/><Relationship Id="rId76" Type="http://schemas.openxmlformats.org/officeDocument/2006/relationships/ctrlProp" Target="../ctrlProps/ctrlProp14.xml"/><Relationship Id="rId7" Type="http://schemas.openxmlformats.org/officeDocument/2006/relationships/image" Target="../media/image6.emf"/><Relationship Id="rId71" Type="http://schemas.openxmlformats.org/officeDocument/2006/relationships/ctrlProp" Target="../ctrlProps/ctrlProp9.xml"/><Relationship Id="rId2" Type="http://schemas.openxmlformats.org/officeDocument/2006/relationships/drawing" Target="../drawings/drawing3.xml"/><Relationship Id="rId29" Type="http://schemas.openxmlformats.org/officeDocument/2006/relationships/image" Target="../media/image17.emf"/><Relationship Id="rId24" Type="http://schemas.openxmlformats.org/officeDocument/2006/relationships/control" Target="../activeX/activeX13.xml"/><Relationship Id="rId40" Type="http://schemas.openxmlformats.org/officeDocument/2006/relationships/control" Target="../activeX/activeX21.xml"/><Relationship Id="rId45" Type="http://schemas.openxmlformats.org/officeDocument/2006/relationships/image" Target="../media/image25.emf"/><Relationship Id="rId66"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BA83D-D5E9-40C5-8B5A-637FEF386CC6}">
  <sheetPr codeName="Sheet2">
    <tabColor rgb="FF3780BF"/>
  </sheetPr>
  <dimension ref="A1:IZ58"/>
  <sheetViews>
    <sheetView showGridLines="0" workbookViewId="0">
      <selection activeCell="K29" sqref="K29"/>
    </sheetView>
  </sheetViews>
  <sheetFormatPr defaultColWidth="9.140625" defaultRowHeight="14.25" x14ac:dyDescent="0.2"/>
  <cols>
    <col min="1" max="1" width="4.28515625" style="56" customWidth="1"/>
    <col min="2" max="2" width="7.42578125" style="56" customWidth="1"/>
    <col min="3" max="3" width="11.140625" style="56" customWidth="1"/>
    <col min="4" max="4" width="14.5703125" style="56" customWidth="1"/>
    <col min="5" max="12" width="9.140625" style="56"/>
    <col min="13" max="14" width="10.28515625" style="56" customWidth="1"/>
    <col min="15" max="15" width="18.28515625" style="56" customWidth="1"/>
    <col min="16" max="16384" width="9.140625" style="56"/>
  </cols>
  <sheetData>
    <row r="1" spans="1:260" s="55" customFormat="1" ht="34.5" customHeight="1" x14ac:dyDescent="0.25">
      <c r="A1" s="53"/>
      <c r="B1" s="54"/>
      <c r="C1" s="53"/>
      <c r="D1" s="54" t="s">
        <v>23</v>
      </c>
      <c r="E1" s="53"/>
      <c r="F1" s="53"/>
      <c r="G1" s="53"/>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row>
    <row r="13" spans="1:260" ht="16.5" x14ac:dyDescent="0.2">
      <c r="B13" s="57" t="s">
        <v>24</v>
      </c>
      <c r="C13" s="57"/>
      <c r="D13" s="57"/>
      <c r="E13" s="57"/>
      <c r="F13" s="57"/>
      <c r="G13" s="57"/>
      <c r="H13" s="57"/>
      <c r="I13" s="57"/>
      <c r="J13" s="57"/>
      <c r="K13" s="57"/>
      <c r="L13" s="57"/>
      <c r="M13" s="57"/>
      <c r="N13" s="57"/>
      <c r="O13" s="57"/>
    </row>
    <row r="14" spans="1:260" x14ac:dyDescent="0.2">
      <c r="B14" s="58"/>
    </row>
    <row r="15" spans="1:260" x14ac:dyDescent="0.2">
      <c r="B15" s="59"/>
      <c r="C15" s="59"/>
      <c r="D15" s="59"/>
      <c r="E15" s="59"/>
      <c r="F15" s="59"/>
      <c r="G15" s="59"/>
      <c r="H15" s="59"/>
      <c r="I15" s="59"/>
      <c r="J15" s="59"/>
      <c r="K15" s="59"/>
      <c r="L15" s="59"/>
      <c r="M15" s="59"/>
      <c r="N15" s="59"/>
      <c r="O15" s="59"/>
      <c r="P15" s="60"/>
      <c r="Q15" s="60"/>
      <c r="R15" s="60"/>
      <c r="S15" s="60"/>
    </row>
    <row r="16" spans="1:260" x14ac:dyDescent="0.2">
      <c r="B16" s="59"/>
      <c r="C16" s="59"/>
      <c r="D16" s="59"/>
      <c r="E16" s="59"/>
      <c r="F16" s="59"/>
      <c r="G16" s="59"/>
      <c r="H16" s="59"/>
      <c r="I16" s="59"/>
      <c r="J16" s="59"/>
      <c r="K16" s="59"/>
      <c r="L16" s="59"/>
      <c r="M16" s="59"/>
      <c r="N16" s="59"/>
      <c r="O16" s="59"/>
    </row>
    <row r="17" spans="2:15" x14ac:dyDescent="0.2">
      <c r="B17" s="59"/>
      <c r="C17" s="59"/>
      <c r="D17" s="59"/>
      <c r="E17" s="59"/>
      <c r="F17" s="59"/>
      <c r="G17" s="59"/>
      <c r="H17" s="59"/>
      <c r="I17" s="59"/>
      <c r="J17" s="59"/>
      <c r="K17" s="59"/>
      <c r="L17" s="59"/>
      <c r="M17" s="59"/>
      <c r="N17" s="59"/>
      <c r="O17" s="59"/>
    </row>
    <row r="18" spans="2:15" x14ac:dyDescent="0.2">
      <c r="B18" s="59"/>
      <c r="C18" s="59"/>
      <c r="D18" s="59"/>
      <c r="E18" s="59"/>
      <c r="F18" s="59"/>
      <c r="G18" s="59"/>
      <c r="H18" s="59"/>
      <c r="I18" s="59"/>
      <c r="J18" s="59"/>
      <c r="K18" s="59"/>
      <c r="L18" s="59"/>
      <c r="M18" s="59"/>
      <c r="N18" s="59"/>
      <c r="O18" s="59"/>
    </row>
    <row r="19" spans="2:15" x14ac:dyDescent="0.2">
      <c r="B19" s="59"/>
      <c r="C19" s="59"/>
      <c r="D19" s="59"/>
      <c r="E19" s="59"/>
      <c r="F19" s="59"/>
      <c r="G19" s="59"/>
      <c r="H19" s="59"/>
      <c r="I19" s="59"/>
      <c r="J19" s="59"/>
      <c r="K19" s="59"/>
      <c r="L19" s="59"/>
      <c r="M19" s="59"/>
      <c r="N19" s="59"/>
      <c r="O19" s="59"/>
    </row>
    <row r="20" spans="2:15" x14ac:dyDescent="0.2">
      <c r="B20" s="59"/>
      <c r="C20" s="59"/>
      <c r="D20" s="59"/>
      <c r="E20" s="59"/>
      <c r="F20" s="59"/>
      <c r="G20" s="59"/>
      <c r="H20" s="59"/>
      <c r="I20" s="59"/>
      <c r="J20" s="59"/>
      <c r="K20" s="59"/>
      <c r="L20" s="59"/>
      <c r="M20" s="59"/>
      <c r="N20" s="59"/>
      <c r="O20" s="59"/>
    </row>
    <row r="21" spans="2:15" x14ac:dyDescent="0.2">
      <c r="B21" s="59"/>
      <c r="C21" s="59"/>
      <c r="D21" s="59"/>
      <c r="E21" s="59"/>
      <c r="F21" s="59"/>
      <c r="G21" s="59"/>
      <c r="H21" s="59"/>
      <c r="I21" s="59"/>
      <c r="J21" s="59"/>
      <c r="K21" s="59"/>
      <c r="L21" s="59"/>
      <c r="M21" s="59"/>
      <c r="N21" s="59"/>
      <c r="O21" s="59"/>
    </row>
    <row r="22" spans="2:15" x14ac:dyDescent="0.2">
      <c r="B22" s="61"/>
      <c r="C22" s="61"/>
      <c r="D22" s="61"/>
      <c r="E22" s="61"/>
      <c r="F22" s="61"/>
      <c r="G22" s="61"/>
      <c r="H22" s="61"/>
      <c r="I22" s="61"/>
      <c r="J22" s="61"/>
      <c r="K22" s="61"/>
      <c r="L22" s="61"/>
      <c r="M22" s="61"/>
      <c r="N22" s="61"/>
      <c r="O22" s="61"/>
    </row>
    <row r="23" spans="2:15" x14ac:dyDescent="0.2">
      <c r="B23" s="61"/>
      <c r="C23" s="62"/>
      <c r="D23" s="61"/>
      <c r="E23" s="61"/>
      <c r="F23" s="61"/>
      <c r="G23" s="61"/>
      <c r="H23" s="61"/>
      <c r="I23" s="61"/>
      <c r="J23" s="61"/>
      <c r="K23" s="61"/>
      <c r="L23" s="61"/>
      <c r="M23" s="61"/>
      <c r="N23" s="61"/>
      <c r="O23" s="61"/>
    </row>
    <row r="24" spans="2:15" x14ac:dyDescent="0.2">
      <c r="B24" s="61"/>
      <c r="C24" s="62"/>
      <c r="D24" s="61"/>
      <c r="E24" s="61"/>
      <c r="F24" s="61"/>
      <c r="G24" s="61"/>
      <c r="H24" s="61"/>
      <c r="I24" s="61"/>
      <c r="J24" s="61"/>
      <c r="K24" s="61"/>
      <c r="L24" s="61"/>
      <c r="M24" s="61"/>
      <c r="N24" s="61"/>
      <c r="O24" s="61"/>
    </row>
    <row r="25" spans="2:15" x14ac:dyDescent="0.2">
      <c r="B25" s="61"/>
      <c r="C25" s="62"/>
      <c r="D25" s="61"/>
      <c r="E25" s="61"/>
      <c r="F25" s="61"/>
      <c r="G25" s="61"/>
      <c r="H25" s="61"/>
      <c r="I25" s="61"/>
      <c r="J25" s="61"/>
      <c r="K25" s="61"/>
      <c r="L25" s="61"/>
      <c r="M25" s="61"/>
      <c r="N25" s="61"/>
      <c r="O25" s="61"/>
    </row>
    <row r="26" spans="2:15" ht="15" x14ac:dyDescent="0.25">
      <c r="B26" s="61"/>
      <c r="C26" s="63"/>
      <c r="D26" s="61"/>
      <c r="E26" s="61"/>
      <c r="F26" s="61"/>
      <c r="G26" s="61"/>
      <c r="H26" s="61"/>
      <c r="I26" s="61"/>
      <c r="J26" s="61"/>
      <c r="K26" s="61"/>
      <c r="L26" s="61"/>
      <c r="M26" s="61"/>
      <c r="N26" s="61"/>
      <c r="O26" s="61"/>
    </row>
    <row r="27" spans="2:15" ht="15" x14ac:dyDescent="0.25">
      <c r="B27" s="61"/>
      <c r="C27" s="64"/>
      <c r="D27" s="61"/>
      <c r="E27" s="61"/>
      <c r="F27" s="61"/>
      <c r="G27" s="61"/>
      <c r="H27" s="61"/>
      <c r="I27" s="61"/>
      <c r="J27" s="61"/>
      <c r="K27" s="61"/>
      <c r="L27" s="61"/>
      <c r="M27" s="61"/>
      <c r="N27" s="61"/>
      <c r="O27" s="61"/>
    </row>
    <row r="28" spans="2:15" ht="15" x14ac:dyDescent="0.25">
      <c r="B28" s="61"/>
      <c r="C28" s="64"/>
      <c r="D28" s="61"/>
      <c r="E28" s="61"/>
      <c r="F28" s="61"/>
      <c r="G28" s="61"/>
      <c r="H28" s="61"/>
      <c r="I28" s="61"/>
      <c r="J28" s="61"/>
      <c r="K28" s="61"/>
      <c r="L28" s="61"/>
      <c r="M28" s="61"/>
      <c r="N28" s="61"/>
      <c r="O28" s="61"/>
    </row>
    <row r="29" spans="2:15" ht="15" x14ac:dyDescent="0.25">
      <c r="B29" s="61"/>
      <c r="C29" s="64"/>
      <c r="D29" s="61"/>
      <c r="E29" s="61"/>
      <c r="F29" s="61"/>
      <c r="G29" s="61"/>
      <c r="H29" s="61"/>
      <c r="I29" s="61"/>
      <c r="J29" s="61"/>
      <c r="K29" s="61"/>
      <c r="L29" s="61"/>
      <c r="M29" s="61"/>
      <c r="N29" s="61"/>
      <c r="O29" s="61"/>
    </row>
    <row r="30" spans="2:15" ht="15" x14ac:dyDescent="0.25">
      <c r="B30" s="61"/>
      <c r="C30" s="64"/>
      <c r="D30" s="61"/>
      <c r="E30" s="61"/>
      <c r="F30" s="61"/>
      <c r="G30" s="61"/>
      <c r="H30" s="61"/>
      <c r="I30" s="61"/>
      <c r="J30" s="61"/>
      <c r="K30" s="61"/>
      <c r="L30" s="61"/>
      <c r="M30" s="61"/>
      <c r="N30" s="61"/>
      <c r="O30" s="61"/>
    </row>
    <row r="31" spans="2:15" x14ac:dyDescent="0.2">
      <c r="B31" s="61"/>
      <c r="C31" s="61"/>
      <c r="D31" s="61"/>
      <c r="E31" s="61"/>
      <c r="F31" s="61"/>
      <c r="G31" s="61"/>
      <c r="H31" s="61"/>
      <c r="I31" s="61"/>
      <c r="J31" s="61"/>
      <c r="K31" s="61"/>
      <c r="L31" s="61"/>
      <c r="M31" s="61"/>
      <c r="N31" s="61"/>
      <c r="O31" s="61"/>
    </row>
    <row r="32" spans="2:15" x14ac:dyDescent="0.2">
      <c r="B32" s="61"/>
      <c r="C32" s="61"/>
      <c r="D32" s="61"/>
      <c r="E32" s="61"/>
      <c r="F32" s="61"/>
      <c r="G32" s="61"/>
      <c r="H32" s="61"/>
      <c r="I32" s="61"/>
      <c r="J32" s="61"/>
      <c r="K32" s="61"/>
      <c r="L32" s="61"/>
      <c r="M32" s="61"/>
      <c r="N32" s="61"/>
      <c r="O32" s="61"/>
    </row>
    <row r="33" spans="2:15" x14ac:dyDescent="0.2">
      <c r="B33" s="61"/>
      <c r="C33" s="61"/>
      <c r="D33" s="61"/>
      <c r="E33" s="61"/>
      <c r="F33" s="61"/>
      <c r="G33" s="61"/>
      <c r="H33" s="61"/>
      <c r="I33" s="61"/>
      <c r="J33" s="61"/>
      <c r="K33" s="61"/>
      <c r="L33" s="61"/>
      <c r="M33" s="61"/>
      <c r="N33" s="61"/>
      <c r="O33" s="61"/>
    </row>
    <row r="34" spans="2:15" x14ac:dyDescent="0.2">
      <c r="B34" s="61"/>
      <c r="C34" s="61"/>
      <c r="D34" s="61"/>
      <c r="E34" s="61"/>
      <c r="F34" s="61"/>
      <c r="G34" s="61"/>
      <c r="H34" s="61"/>
      <c r="I34" s="61"/>
      <c r="J34" s="61"/>
      <c r="K34" s="61"/>
      <c r="L34" s="61"/>
      <c r="M34" s="61"/>
      <c r="N34" s="61"/>
      <c r="O34" s="61"/>
    </row>
    <row r="35" spans="2:15" x14ac:dyDescent="0.2">
      <c r="B35" s="61"/>
      <c r="C35" s="61"/>
      <c r="D35" s="61"/>
      <c r="E35" s="61"/>
      <c r="F35" s="61"/>
      <c r="G35" s="61"/>
      <c r="H35" s="61"/>
      <c r="I35" s="61"/>
      <c r="J35" s="61"/>
      <c r="K35" s="61"/>
      <c r="L35" s="61"/>
      <c r="M35" s="61"/>
      <c r="N35" s="61"/>
      <c r="O35" s="61"/>
    </row>
    <row r="36" spans="2:15" x14ac:dyDescent="0.2">
      <c r="B36" s="61"/>
      <c r="C36" s="61"/>
      <c r="D36" s="61"/>
      <c r="E36" s="61"/>
      <c r="F36" s="61"/>
      <c r="G36" s="61"/>
      <c r="H36" s="61"/>
      <c r="I36" s="61"/>
      <c r="J36" s="61"/>
      <c r="K36" s="61"/>
      <c r="L36" s="61"/>
      <c r="M36" s="61"/>
      <c r="N36" s="61"/>
      <c r="O36" s="61"/>
    </row>
    <row r="37" spans="2:15" x14ac:dyDescent="0.2">
      <c r="B37" s="61"/>
      <c r="C37" s="61"/>
      <c r="D37" s="61"/>
      <c r="E37" s="61"/>
      <c r="F37" s="61"/>
      <c r="G37" s="61"/>
      <c r="H37" s="61"/>
      <c r="I37" s="61"/>
      <c r="J37" s="61"/>
      <c r="K37" s="61"/>
      <c r="L37" s="61"/>
      <c r="M37" s="61"/>
      <c r="N37" s="61"/>
      <c r="O37" s="61"/>
    </row>
    <row r="38" spans="2:15" x14ac:dyDescent="0.2">
      <c r="B38" s="61"/>
      <c r="C38" s="61"/>
      <c r="D38" s="61"/>
      <c r="E38" s="61"/>
      <c r="F38" s="61"/>
      <c r="G38" s="61"/>
      <c r="H38" s="61"/>
      <c r="I38" s="61"/>
      <c r="J38" s="61"/>
      <c r="K38" s="61"/>
      <c r="L38" s="61"/>
      <c r="M38" s="61"/>
      <c r="N38" s="61"/>
      <c r="O38" s="61"/>
    </row>
    <row r="39" spans="2:15" x14ac:dyDescent="0.2">
      <c r="B39" s="61"/>
      <c r="C39" s="61"/>
      <c r="D39" s="61"/>
      <c r="E39" s="61"/>
      <c r="F39" s="61"/>
      <c r="G39" s="61"/>
      <c r="H39" s="61"/>
      <c r="I39" s="61"/>
      <c r="J39" s="61"/>
      <c r="K39" s="61"/>
      <c r="L39" s="61"/>
      <c r="M39" s="61"/>
      <c r="N39" s="61"/>
      <c r="O39" s="61"/>
    </row>
    <row r="40" spans="2:15" x14ac:dyDescent="0.2">
      <c r="B40" s="61"/>
      <c r="C40" s="61"/>
      <c r="D40" s="61"/>
      <c r="E40" s="61"/>
      <c r="F40" s="61"/>
      <c r="G40" s="61"/>
      <c r="H40" s="61"/>
      <c r="I40" s="61"/>
      <c r="J40" s="61"/>
      <c r="K40" s="61"/>
      <c r="L40" s="61"/>
      <c r="M40" s="61"/>
      <c r="N40" s="61"/>
      <c r="O40" s="61"/>
    </row>
    <row r="41" spans="2:15" x14ac:dyDescent="0.2">
      <c r="B41" s="61"/>
      <c r="C41" s="61"/>
      <c r="D41" s="61"/>
      <c r="E41" s="61"/>
      <c r="F41" s="61"/>
      <c r="G41" s="61"/>
      <c r="H41" s="61"/>
      <c r="I41" s="61"/>
      <c r="J41" s="61"/>
      <c r="K41" s="61"/>
      <c r="L41" s="61"/>
      <c r="M41" s="61"/>
      <c r="N41" s="61"/>
      <c r="O41" s="61"/>
    </row>
    <row r="42" spans="2:15" x14ac:dyDescent="0.2">
      <c r="B42" s="61"/>
      <c r="C42" s="61"/>
      <c r="D42" s="61"/>
      <c r="E42" s="61"/>
      <c r="F42" s="61"/>
      <c r="G42" s="61"/>
      <c r="H42" s="61"/>
      <c r="I42" s="61"/>
      <c r="J42" s="61"/>
      <c r="K42" s="61"/>
      <c r="L42" s="61"/>
      <c r="M42" s="61"/>
      <c r="N42" s="61"/>
      <c r="O42" s="61"/>
    </row>
    <row r="43" spans="2:15" x14ac:dyDescent="0.2">
      <c r="B43" s="61"/>
      <c r="C43" s="61"/>
      <c r="D43" s="61"/>
      <c r="E43" s="61"/>
      <c r="F43" s="61"/>
      <c r="G43" s="61"/>
      <c r="H43" s="61"/>
      <c r="I43" s="61"/>
      <c r="J43" s="61"/>
      <c r="K43" s="61"/>
      <c r="L43" s="61"/>
      <c r="M43" s="61"/>
      <c r="N43" s="61"/>
      <c r="O43" s="61"/>
    </row>
    <row r="44" spans="2:15" x14ac:dyDescent="0.2">
      <c r="B44" s="61"/>
      <c r="C44" s="61"/>
      <c r="D44" s="61"/>
      <c r="E44" s="61"/>
      <c r="F44" s="61"/>
      <c r="G44" s="61"/>
      <c r="H44" s="61"/>
      <c r="I44" s="61"/>
      <c r="J44" s="61"/>
      <c r="K44" s="61"/>
      <c r="L44" s="61"/>
      <c r="M44" s="61"/>
      <c r="N44" s="61"/>
      <c r="O44" s="61"/>
    </row>
    <row r="45" spans="2:15" x14ac:dyDescent="0.2">
      <c r="B45" s="61"/>
      <c r="C45" s="61"/>
      <c r="D45" s="61"/>
      <c r="E45" s="61"/>
      <c r="F45" s="61"/>
      <c r="G45" s="61"/>
      <c r="H45" s="61"/>
      <c r="I45" s="61"/>
      <c r="J45" s="61"/>
      <c r="K45" s="61"/>
      <c r="L45" s="61"/>
      <c r="M45" s="61"/>
      <c r="N45" s="61"/>
      <c r="O45" s="61"/>
    </row>
    <row r="46" spans="2:15" x14ac:dyDescent="0.2">
      <c r="B46" s="61"/>
      <c r="C46" s="61"/>
      <c r="D46" s="61"/>
      <c r="E46" s="61"/>
      <c r="F46" s="61"/>
      <c r="G46" s="61"/>
      <c r="H46" s="61"/>
      <c r="I46" s="61"/>
      <c r="J46" s="61"/>
      <c r="K46" s="61"/>
      <c r="L46" s="61"/>
      <c r="M46" s="61"/>
      <c r="N46" s="61"/>
      <c r="O46" s="61"/>
    </row>
    <row r="47" spans="2:15" x14ac:dyDescent="0.2">
      <c r="B47" s="65"/>
      <c r="C47" s="65"/>
      <c r="D47" s="65"/>
      <c r="E47" s="65"/>
      <c r="F47" s="65"/>
      <c r="G47" s="65"/>
      <c r="H47" s="65"/>
      <c r="I47" s="65"/>
      <c r="J47" s="65"/>
      <c r="K47" s="65"/>
      <c r="L47" s="65"/>
      <c r="M47" s="65"/>
      <c r="N47" s="65"/>
      <c r="O47" s="65"/>
    </row>
    <row r="48" spans="2:15" x14ac:dyDescent="0.2">
      <c r="B48" s="65"/>
      <c r="C48" s="65"/>
      <c r="D48" s="65"/>
      <c r="E48" s="65"/>
      <c r="F48" s="65"/>
      <c r="G48" s="65"/>
      <c r="H48" s="65"/>
      <c r="I48" s="65"/>
      <c r="J48" s="65"/>
      <c r="K48" s="65"/>
      <c r="L48" s="65"/>
      <c r="M48" s="65"/>
      <c r="N48" s="65"/>
      <c r="O48" s="65"/>
    </row>
    <row r="49" spans="2:15" x14ac:dyDescent="0.2">
      <c r="B49" s="65"/>
      <c r="C49" s="65"/>
      <c r="D49" s="65"/>
      <c r="E49" s="65"/>
      <c r="F49" s="65"/>
      <c r="G49" s="65"/>
      <c r="H49" s="65"/>
      <c r="I49" s="65"/>
      <c r="J49" s="65"/>
      <c r="K49" s="65"/>
      <c r="L49" s="65"/>
      <c r="M49" s="65"/>
      <c r="N49" s="65"/>
      <c r="O49" s="65"/>
    </row>
    <row r="50" spans="2:15" x14ac:dyDescent="0.2">
      <c r="B50" s="65"/>
      <c r="C50" s="65"/>
      <c r="D50" s="65"/>
      <c r="E50" s="65"/>
      <c r="F50" s="65"/>
      <c r="G50" s="65"/>
      <c r="H50" s="65"/>
      <c r="I50" s="65"/>
      <c r="J50" s="65"/>
      <c r="K50" s="65"/>
      <c r="L50" s="65"/>
      <c r="M50" s="65"/>
      <c r="N50" s="65"/>
      <c r="O50" s="65"/>
    </row>
    <row r="51" spans="2:15" x14ac:dyDescent="0.2">
      <c r="B51" s="65"/>
      <c r="C51" s="65"/>
      <c r="D51" s="65"/>
      <c r="E51" s="65"/>
      <c r="F51" s="65"/>
      <c r="G51" s="65"/>
      <c r="H51" s="65"/>
      <c r="I51" s="65"/>
      <c r="J51" s="65"/>
      <c r="K51" s="65"/>
      <c r="L51" s="65"/>
      <c r="M51" s="65"/>
      <c r="N51" s="65"/>
      <c r="O51" s="65"/>
    </row>
    <row r="52" spans="2:15" x14ac:dyDescent="0.2">
      <c r="B52" s="65"/>
      <c r="C52" s="65"/>
      <c r="D52" s="65"/>
      <c r="E52" s="65"/>
      <c r="F52" s="65"/>
      <c r="G52" s="65"/>
      <c r="H52" s="65"/>
      <c r="I52" s="65"/>
      <c r="J52" s="65"/>
      <c r="K52" s="65"/>
      <c r="L52" s="65"/>
      <c r="M52" s="65"/>
      <c r="N52" s="65"/>
      <c r="O52" s="65"/>
    </row>
    <row r="53" spans="2:15" x14ac:dyDescent="0.2">
      <c r="B53" s="65"/>
      <c r="C53" s="65"/>
      <c r="D53" s="65"/>
      <c r="E53" s="65"/>
      <c r="F53" s="65"/>
      <c r="G53" s="65"/>
      <c r="H53" s="65"/>
      <c r="I53" s="65"/>
      <c r="J53" s="65"/>
      <c r="K53" s="65"/>
      <c r="L53" s="65"/>
      <c r="M53" s="65"/>
      <c r="N53" s="65"/>
      <c r="O53" s="65"/>
    </row>
    <row r="54" spans="2:15" x14ac:dyDescent="0.2">
      <c r="B54" s="65"/>
      <c r="C54" s="65"/>
      <c r="D54" s="65"/>
      <c r="E54" s="65"/>
      <c r="F54" s="65"/>
      <c r="G54" s="65"/>
      <c r="H54" s="65"/>
      <c r="I54" s="65"/>
      <c r="J54" s="65"/>
      <c r="K54" s="65"/>
      <c r="L54" s="65"/>
      <c r="M54" s="65"/>
      <c r="N54" s="65"/>
      <c r="O54" s="65"/>
    </row>
    <row r="55" spans="2:15" x14ac:dyDescent="0.2">
      <c r="B55" s="65"/>
      <c r="C55" s="65"/>
      <c r="D55" s="65"/>
      <c r="E55" s="65"/>
      <c r="F55" s="65"/>
      <c r="G55" s="65"/>
      <c r="H55" s="65"/>
      <c r="I55" s="65"/>
      <c r="J55" s="65"/>
      <c r="K55" s="65"/>
      <c r="L55" s="65"/>
      <c r="M55" s="65"/>
      <c r="N55" s="65"/>
      <c r="O55" s="65"/>
    </row>
    <row r="56" spans="2:15" x14ac:dyDescent="0.2">
      <c r="B56" s="65"/>
      <c r="C56" s="65"/>
      <c r="D56" s="65"/>
      <c r="E56" s="65"/>
      <c r="F56" s="65"/>
      <c r="G56" s="65"/>
      <c r="H56" s="65"/>
      <c r="I56" s="65"/>
      <c r="J56" s="65"/>
      <c r="K56" s="65"/>
      <c r="L56" s="65"/>
      <c r="M56" s="65"/>
      <c r="N56" s="65"/>
      <c r="O56" s="65"/>
    </row>
    <row r="57" spans="2:15" x14ac:dyDescent="0.2">
      <c r="B57" s="65"/>
      <c r="C57" s="65"/>
      <c r="D57" s="65"/>
      <c r="E57" s="65"/>
      <c r="F57" s="65"/>
      <c r="G57" s="65"/>
      <c r="H57" s="65"/>
      <c r="I57" s="65"/>
      <c r="J57" s="65"/>
      <c r="K57" s="65"/>
      <c r="L57" s="65"/>
      <c r="M57" s="65"/>
      <c r="N57" s="65"/>
      <c r="O57" s="65"/>
    </row>
    <row r="58" spans="2:15" x14ac:dyDescent="0.2">
      <c r="B58" s="65"/>
      <c r="C58" s="65"/>
      <c r="D58" s="65"/>
      <c r="E58" s="65"/>
      <c r="F58" s="65"/>
      <c r="G58" s="65"/>
      <c r="H58" s="65"/>
      <c r="I58" s="65"/>
      <c r="J58" s="65"/>
      <c r="K58" s="65"/>
      <c r="L58" s="65"/>
      <c r="M58" s="65"/>
      <c r="N58" s="65"/>
      <c r="O58" s="6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39185-5295-4D52-B6DB-E4D6CB6C9964}">
  <sheetPr codeName="Sheet3"/>
  <dimension ref="A1:II249"/>
  <sheetViews>
    <sheetView showGridLines="0" tabSelected="1" workbookViewId="0">
      <pane ySplit="7" topLeftCell="A8" activePane="bottomLeft" state="frozen"/>
      <selection activeCell="K29" sqref="K29"/>
      <selection pane="bottomLeft" activeCell="N10" sqref="N10"/>
    </sheetView>
  </sheetViews>
  <sheetFormatPr defaultRowHeight="15" x14ac:dyDescent="0.25"/>
  <cols>
    <col min="1" max="1" width="1.42578125" customWidth="1"/>
    <col min="2" max="2" width="23" customWidth="1"/>
    <col min="3" max="23" width="9.28515625" customWidth="1"/>
    <col min="24" max="243" width="10.7109375" bestFit="1" customWidth="1"/>
  </cols>
  <sheetData>
    <row r="1" spans="1:243" s="109" customFormat="1" ht="79.5" customHeight="1" x14ac:dyDescent="0.25">
      <c r="A1"/>
      <c r="I1" s="110"/>
      <c r="J1" s="110"/>
      <c r="S1" s="111" t="s">
        <v>3486</v>
      </c>
      <c r="W1" s="110"/>
    </row>
    <row r="2" spans="1:243" x14ac:dyDescent="0.25">
      <c r="A2" s="112"/>
      <c r="B2" s="112"/>
      <c r="C2" s="112"/>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c r="BG2" s="112"/>
      <c r="BH2" s="112"/>
      <c r="BI2" s="112"/>
      <c r="BJ2" s="112"/>
      <c r="BK2" s="112"/>
      <c r="BL2" s="112"/>
      <c r="BM2" s="112"/>
      <c r="BN2" s="112"/>
      <c r="BO2" s="112"/>
      <c r="BP2" s="112"/>
      <c r="BQ2" s="112"/>
      <c r="BR2" s="112"/>
      <c r="BS2" s="112"/>
      <c r="BT2" s="112"/>
      <c r="BU2" s="112"/>
      <c r="BV2" s="112"/>
      <c r="BW2" s="112"/>
      <c r="BX2" s="112"/>
      <c r="BY2" s="112"/>
      <c r="BZ2" s="112"/>
      <c r="CA2" s="112"/>
      <c r="CB2" s="112"/>
      <c r="CC2" s="112"/>
      <c r="CD2" s="112"/>
      <c r="CE2" s="112"/>
      <c r="CF2" s="112"/>
      <c r="CG2" s="112"/>
      <c r="CH2" s="112"/>
      <c r="CI2" s="112"/>
      <c r="CJ2" s="112"/>
      <c r="CK2" s="112"/>
      <c r="CL2" s="112"/>
      <c r="CM2" s="112"/>
      <c r="CN2" s="112"/>
      <c r="CO2" s="112"/>
      <c r="CP2" s="112"/>
      <c r="CQ2" s="112"/>
      <c r="CR2" s="112"/>
      <c r="CS2" s="112"/>
      <c r="CT2" s="112"/>
      <c r="CU2" s="112"/>
      <c r="CV2" s="112"/>
      <c r="CW2" s="112"/>
      <c r="CX2" s="112"/>
      <c r="CY2" s="112"/>
      <c r="CZ2" s="112"/>
      <c r="DA2" s="112"/>
      <c r="DB2" s="112"/>
      <c r="DC2" s="112"/>
      <c r="DD2" s="112"/>
      <c r="DE2" s="112"/>
      <c r="DF2" s="112"/>
      <c r="DG2" s="112"/>
      <c r="DH2" s="112"/>
      <c r="DI2" s="112"/>
      <c r="DJ2" s="112"/>
      <c r="DK2" s="112"/>
      <c r="DL2" s="112"/>
      <c r="DM2" s="112"/>
      <c r="DN2" s="112"/>
    </row>
    <row r="3" spans="1:243" x14ac:dyDescent="0.25">
      <c r="A3" s="112"/>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2"/>
      <c r="DN3" s="112"/>
    </row>
    <row r="4" spans="1:243" x14ac:dyDescent="0.25">
      <c r="A4" s="112"/>
      <c r="B4" s="112"/>
      <c r="C4" s="112"/>
      <c r="D4" s="112"/>
      <c r="E4" s="112"/>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row>
    <row r="5" spans="1:243" x14ac:dyDescent="0.25">
      <c r="A5" s="112"/>
      <c r="B5" s="112"/>
      <c r="C5" s="112"/>
      <c r="D5" s="112"/>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c r="CU5" s="112"/>
      <c r="CV5" s="112"/>
      <c r="CW5" s="112"/>
      <c r="CX5" s="112"/>
      <c r="CY5" s="112"/>
      <c r="CZ5" s="112"/>
      <c r="DA5" s="112"/>
      <c r="DB5" s="112"/>
      <c r="DC5" s="112"/>
      <c r="DD5" s="112"/>
      <c r="DE5" s="112"/>
      <c r="DF5" s="112"/>
      <c r="DG5" s="112"/>
      <c r="DH5" s="112"/>
      <c r="DI5" s="112"/>
      <c r="DJ5" s="112"/>
      <c r="DK5" s="112"/>
      <c r="DL5" s="112"/>
      <c r="DM5" s="112"/>
      <c r="DN5" s="112"/>
    </row>
    <row r="6" spans="1:243" x14ac:dyDescent="0.25">
      <c r="A6" s="112"/>
      <c r="B6" s="112"/>
      <c r="C6" s="112"/>
      <c r="D6" s="112"/>
      <c r="E6" s="112"/>
      <c r="F6" s="1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c r="DA6" s="112"/>
      <c r="DB6" s="112"/>
      <c r="DC6" s="112"/>
      <c r="DD6" s="112"/>
      <c r="DE6" s="112"/>
      <c r="DF6" s="112"/>
      <c r="DG6" s="112"/>
      <c r="DH6" s="112"/>
      <c r="DI6" s="112"/>
      <c r="DJ6" s="112"/>
      <c r="DK6" s="112"/>
      <c r="DL6" s="112"/>
      <c r="DM6" s="112"/>
      <c r="DN6" s="112"/>
    </row>
    <row r="7" spans="1:243" s="117" customFormat="1" ht="31.5" customHeight="1" x14ac:dyDescent="0.25">
      <c r="A7" s="112"/>
      <c r="B7" s="113" t="s">
        <v>25</v>
      </c>
      <c r="C7" s="113" t="s">
        <v>25</v>
      </c>
      <c r="D7" s="113" t="s">
        <v>3438</v>
      </c>
      <c r="E7" s="113" t="s">
        <v>3439</v>
      </c>
      <c r="F7" s="113" t="s">
        <v>3440</v>
      </c>
      <c r="G7" s="113" t="s">
        <v>3441</v>
      </c>
      <c r="H7" s="113" t="s">
        <v>3442</v>
      </c>
      <c r="I7" s="113" t="s">
        <v>3443</v>
      </c>
      <c r="J7" s="113" t="s">
        <v>3444</v>
      </c>
      <c r="K7" s="113" t="s">
        <v>3445</v>
      </c>
      <c r="L7" s="113" t="s">
        <v>3454</v>
      </c>
      <c r="M7" s="113" t="s">
        <v>3455</v>
      </c>
      <c r="N7" s="113" t="s">
        <v>3456</v>
      </c>
      <c r="O7" s="113" t="s">
        <v>3457</v>
      </c>
      <c r="P7" s="113" t="s">
        <v>3458</v>
      </c>
      <c r="Q7" s="113" t="s">
        <v>3459</v>
      </c>
      <c r="R7" s="113" t="s">
        <v>3460</v>
      </c>
      <c r="S7" s="113" t="s">
        <v>3461</v>
      </c>
      <c r="T7" s="113" t="s">
        <v>3462</v>
      </c>
      <c r="U7" s="113" t="s">
        <v>3463</v>
      </c>
      <c r="V7" s="113" t="s">
        <v>3464</v>
      </c>
      <c r="W7" s="113" t="s">
        <v>3465</v>
      </c>
      <c r="X7" s="113" t="s">
        <v>3466</v>
      </c>
      <c r="Y7" s="113" t="s">
        <v>3467</v>
      </c>
      <c r="Z7" s="113" t="s">
        <v>3468</v>
      </c>
      <c r="AA7" s="113" t="s">
        <v>3469</v>
      </c>
      <c r="AB7" s="113" t="s">
        <v>3470</v>
      </c>
      <c r="AC7" s="113" t="s">
        <v>3471</v>
      </c>
      <c r="AD7" s="113" t="s">
        <v>3472</v>
      </c>
      <c r="AE7" s="113" t="s">
        <v>3473</v>
      </c>
      <c r="AF7" s="113" t="s">
        <v>3474</v>
      </c>
      <c r="AG7" s="113" t="s">
        <v>3475</v>
      </c>
      <c r="AH7" s="113" t="s">
        <v>3476</v>
      </c>
      <c r="AI7" s="113" t="s">
        <v>3477</v>
      </c>
      <c r="AJ7" s="113" t="s">
        <v>3478</v>
      </c>
      <c r="AK7" s="113" t="s">
        <v>3479</v>
      </c>
      <c r="AL7" s="113" t="s">
        <v>3480</v>
      </c>
      <c r="AM7" s="113" t="s">
        <v>3481</v>
      </c>
      <c r="AN7" s="113" t="s">
        <v>3482</v>
      </c>
      <c r="AO7" s="113" t="s">
        <v>3483</v>
      </c>
      <c r="AP7" s="113" t="s">
        <v>3484</v>
      </c>
      <c r="AQ7" s="113" t="s">
        <v>3485</v>
      </c>
      <c r="AR7" s="113"/>
      <c r="AS7" s="113"/>
      <c r="AT7" s="113"/>
      <c r="AU7" s="113"/>
      <c r="AV7" s="113"/>
      <c r="AW7" s="113"/>
      <c r="AX7" s="113"/>
      <c r="AY7" s="113"/>
      <c r="AZ7" s="113"/>
      <c r="BA7" s="113"/>
      <c r="BB7" s="113"/>
      <c r="BC7" s="113"/>
      <c r="BD7" s="113"/>
      <c r="BE7" s="113"/>
      <c r="BF7" s="113"/>
      <c r="BG7" s="113"/>
      <c r="BH7" s="113"/>
      <c r="BI7" s="113"/>
      <c r="BJ7" s="113"/>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4"/>
      <c r="CQ7" s="114"/>
      <c r="CR7" s="114"/>
      <c r="CS7" s="114"/>
      <c r="CT7" s="114"/>
      <c r="CU7" s="114"/>
      <c r="CV7" s="114"/>
      <c r="CW7" s="114"/>
      <c r="CX7" s="114"/>
      <c r="CY7" s="114"/>
      <c r="CZ7" s="114"/>
      <c r="DA7" s="114"/>
      <c r="DB7" s="114"/>
      <c r="DC7" s="114"/>
      <c r="DD7" s="114"/>
      <c r="DE7" s="114"/>
      <c r="DF7" s="114"/>
      <c r="DG7" s="114"/>
      <c r="DH7" s="114"/>
      <c r="DI7" s="114"/>
      <c r="DJ7" s="114"/>
      <c r="DK7" s="114"/>
      <c r="DL7" s="114"/>
      <c r="DM7" s="114"/>
      <c r="DN7" s="114"/>
      <c r="DO7" s="115"/>
      <c r="DP7" s="115"/>
      <c r="DQ7" s="115"/>
      <c r="DR7" s="115"/>
      <c r="DS7" s="115"/>
      <c r="DT7" s="115"/>
      <c r="DU7" s="115"/>
      <c r="DV7" s="115"/>
      <c r="DW7" s="115"/>
      <c r="DX7" s="115"/>
      <c r="DY7" s="115"/>
      <c r="DZ7" s="115"/>
      <c r="EA7" s="115"/>
      <c r="EB7" s="115"/>
      <c r="EC7" s="115"/>
      <c r="ED7" s="115"/>
      <c r="EE7" s="115"/>
      <c r="EF7" s="115"/>
      <c r="EG7" s="115"/>
      <c r="EH7" s="115"/>
      <c r="EI7" s="115"/>
      <c r="EJ7" s="115"/>
      <c r="EK7" s="115"/>
      <c r="EL7" s="115"/>
      <c r="EM7" s="115"/>
      <c r="EN7" s="115"/>
      <c r="EO7" s="115"/>
      <c r="EP7" s="115"/>
      <c r="EQ7" s="115"/>
      <c r="ER7" s="115"/>
      <c r="ES7" s="115"/>
      <c r="ET7" s="115"/>
      <c r="EU7" s="115"/>
      <c r="EV7" s="115"/>
      <c r="EW7" s="115"/>
      <c r="EX7" s="115"/>
      <c r="EY7" s="115"/>
      <c r="EZ7" s="115"/>
      <c r="FA7" s="115"/>
      <c r="FB7" s="115"/>
      <c r="FC7" s="115"/>
      <c r="FD7" s="115"/>
      <c r="FE7" s="115"/>
      <c r="FF7" s="115"/>
      <c r="FG7" s="115"/>
      <c r="FH7" s="115"/>
      <c r="FI7" s="115"/>
      <c r="FJ7" s="115"/>
      <c r="FK7" s="115"/>
      <c r="FL7" s="115"/>
      <c r="FM7" s="115"/>
      <c r="FN7" s="115"/>
      <c r="FO7" s="115"/>
      <c r="FP7" s="115"/>
      <c r="FQ7" s="115"/>
      <c r="FR7" s="115"/>
      <c r="FS7" s="115"/>
      <c r="FT7" s="115"/>
      <c r="FU7" s="115"/>
      <c r="FV7" s="115"/>
      <c r="FW7" s="115"/>
      <c r="FX7" s="115"/>
      <c r="FY7" s="115"/>
      <c r="FZ7" s="115"/>
      <c r="GA7" s="115"/>
      <c r="GB7" s="115"/>
      <c r="GC7" s="115"/>
      <c r="GD7" s="115"/>
      <c r="GE7" s="115"/>
      <c r="GF7" s="115"/>
      <c r="GG7" s="115"/>
      <c r="GH7" s="115"/>
      <c r="GI7" s="115"/>
      <c r="GJ7" s="115"/>
      <c r="GK7" s="115"/>
      <c r="GL7" s="115"/>
      <c r="GM7" s="115"/>
      <c r="GN7" s="115"/>
      <c r="GO7" s="115"/>
      <c r="GP7" s="115"/>
      <c r="GQ7" s="115"/>
      <c r="GR7" s="115"/>
      <c r="GS7" s="115"/>
      <c r="GT7" s="115"/>
      <c r="GU7" s="115"/>
      <c r="GV7" s="115"/>
      <c r="GW7" s="115"/>
      <c r="GX7" s="115"/>
      <c r="GY7" s="115"/>
      <c r="GZ7" s="115"/>
      <c r="HA7" s="115"/>
      <c r="HB7" s="115"/>
      <c r="HC7" s="115"/>
      <c r="HD7" s="115"/>
      <c r="HE7" s="115"/>
      <c r="HF7" s="115"/>
      <c r="HG7" s="115"/>
      <c r="HH7" s="115"/>
      <c r="HI7" s="115"/>
      <c r="HJ7" s="115"/>
      <c r="HK7" s="115"/>
      <c r="HL7" s="115"/>
      <c r="HM7" s="115"/>
      <c r="HN7" s="115"/>
      <c r="HO7" s="115"/>
      <c r="HP7" s="115"/>
      <c r="HQ7" s="115"/>
      <c r="HR7" s="115"/>
      <c r="HS7" s="115"/>
      <c r="HT7" s="115"/>
      <c r="HU7" s="115"/>
      <c r="HV7" s="115"/>
      <c r="HW7" s="115"/>
      <c r="HX7" s="115"/>
      <c r="HY7" s="115"/>
      <c r="HZ7" s="115"/>
      <c r="IA7" s="115"/>
      <c r="IB7" s="115"/>
      <c r="IC7" s="115"/>
      <c r="ID7" s="115"/>
      <c r="IE7" s="115"/>
      <c r="IF7" s="115"/>
      <c r="IG7" s="115"/>
      <c r="IH7" s="115"/>
      <c r="II7" s="116"/>
    </row>
    <row r="8" spans="1:243" x14ac:dyDescent="0.25">
      <c r="A8" s="112"/>
      <c r="B8" s="112" t="s">
        <v>26</v>
      </c>
      <c r="C8" s="112" t="s">
        <v>26</v>
      </c>
      <c r="D8" s="112"/>
      <c r="E8" s="112">
        <v>3.25</v>
      </c>
      <c r="F8" s="112">
        <v>0.34</v>
      </c>
      <c r="G8" s="112">
        <v>-2.44</v>
      </c>
      <c r="H8" s="112">
        <v>3.34</v>
      </c>
      <c r="I8" s="112">
        <v>1.3</v>
      </c>
      <c r="J8" s="112">
        <v>6.06</v>
      </c>
      <c r="K8" s="112">
        <v>4.0999999999999996</v>
      </c>
      <c r="L8" s="112">
        <v>4.5199999999999996</v>
      </c>
      <c r="M8" s="112">
        <v>10.53</v>
      </c>
      <c r="N8" s="112">
        <v>15.16</v>
      </c>
      <c r="O8" s="112">
        <v>38.11</v>
      </c>
      <c r="P8" s="112">
        <v>23.43</v>
      </c>
      <c r="Q8" s="112">
        <v>8.98</v>
      </c>
      <c r="R8" s="112">
        <v>1.22</v>
      </c>
      <c r="S8" s="112">
        <v>-11.59</v>
      </c>
      <c r="T8" s="112">
        <v>-4.42</v>
      </c>
      <c r="U8" s="112">
        <v>-0.63</v>
      </c>
      <c r="V8" s="112">
        <v>-1.0900000000000001</v>
      </c>
      <c r="W8" s="112">
        <v>-2.2599999999999998</v>
      </c>
      <c r="X8" s="112">
        <v>-4.26</v>
      </c>
      <c r="Y8" s="112">
        <v>-1</v>
      </c>
      <c r="Z8" s="112">
        <v>-2.2799999999999998</v>
      </c>
      <c r="AA8" s="112">
        <v>6.16</v>
      </c>
      <c r="AB8" s="112">
        <v>7.76</v>
      </c>
      <c r="AC8" s="112">
        <v>6.2</v>
      </c>
      <c r="AD8" s="112">
        <v>11.07</v>
      </c>
      <c r="AE8" s="112">
        <v>7.29</v>
      </c>
      <c r="AF8" s="112">
        <v>13.21</v>
      </c>
      <c r="AG8" s="112">
        <v>10.95</v>
      </c>
      <c r="AH8" s="112">
        <v>7.7</v>
      </c>
      <c r="AI8" s="112">
        <v>-1.08</v>
      </c>
      <c r="AJ8" s="112">
        <v>-6.73</v>
      </c>
      <c r="AK8" s="112">
        <v>-14.47</v>
      </c>
      <c r="AL8" s="112">
        <v>-19.79</v>
      </c>
      <c r="AM8" s="112">
        <v>-15.58</v>
      </c>
      <c r="AN8" s="112">
        <v>-11.06</v>
      </c>
      <c r="AO8" s="112">
        <v>-6.62</v>
      </c>
      <c r="AP8" s="112">
        <v>3.3</v>
      </c>
      <c r="AQ8" s="112">
        <v>-2.9</v>
      </c>
      <c r="AR8" s="112"/>
      <c r="AS8" s="112"/>
      <c r="AT8" s="112"/>
      <c r="AU8" s="112"/>
      <c r="AV8" s="112"/>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c r="CU8" s="112"/>
      <c r="CV8" s="112"/>
      <c r="CW8" s="112"/>
      <c r="CX8" s="112"/>
      <c r="CY8" s="112"/>
      <c r="CZ8" s="112"/>
      <c r="DA8" s="112"/>
      <c r="DB8" s="112"/>
      <c r="DC8" s="112"/>
      <c r="DD8" s="112"/>
      <c r="DE8" s="112"/>
      <c r="DF8" s="112"/>
      <c r="DG8" s="112"/>
      <c r="DH8" s="112"/>
      <c r="DI8" s="112"/>
      <c r="DJ8" s="112"/>
      <c r="DK8" s="112"/>
      <c r="DL8" s="112"/>
      <c r="DM8" s="112"/>
      <c r="DN8" s="112"/>
    </row>
    <row r="9" spans="1:243" x14ac:dyDescent="0.25">
      <c r="A9" s="112"/>
      <c r="B9" s="112" t="s">
        <v>28</v>
      </c>
      <c r="C9" s="112" t="s">
        <v>28</v>
      </c>
      <c r="D9" s="112"/>
      <c r="E9" s="112">
        <v>3.84</v>
      </c>
      <c r="F9" s="112">
        <v>-0.98</v>
      </c>
      <c r="G9" s="112">
        <v>-4.07</v>
      </c>
      <c r="H9" s="112">
        <v>-2.4700000000000002</v>
      </c>
      <c r="I9" s="112">
        <v>-0.33</v>
      </c>
      <c r="J9" s="112">
        <v>9.01</v>
      </c>
      <c r="K9" s="112">
        <v>9.9600000000000009</v>
      </c>
      <c r="L9" s="112">
        <v>12.76</v>
      </c>
      <c r="M9" s="112">
        <v>16.739999999999998</v>
      </c>
      <c r="N9" s="112">
        <v>19.010000000000002</v>
      </c>
      <c r="O9" s="112">
        <v>39.6</v>
      </c>
      <c r="P9" s="112">
        <v>11.75</v>
      </c>
      <c r="Q9" s="112">
        <v>0.59</v>
      </c>
      <c r="R9" s="112">
        <v>-3.56</v>
      </c>
      <c r="S9" s="112">
        <v>-16.66</v>
      </c>
      <c r="T9" s="112">
        <v>-0.04</v>
      </c>
      <c r="U9" s="112">
        <v>5</v>
      </c>
      <c r="V9" s="112">
        <v>1.1599999999999999</v>
      </c>
      <c r="W9" s="112">
        <v>-0.04</v>
      </c>
      <c r="X9" s="112">
        <v>-1.74</v>
      </c>
      <c r="Y9" s="112">
        <v>-1.24</v>
      </c>
      <c r="Z9" s="112">
        <v>0.98</v>
      </c>
      <c r="AA9" s="112">
        <v>9.49</v>
      </c>
      <c r="AB9" s="112">
        <v>9.61</v>
      </c>
      <c r="AC9" s="112">
        <v>10.54</v>
      </c>
      <c r="AD9" s="112">
        <v>9.6999999999999993</v>
      </c>
      <c r="AE9" s="112">
        <v>2.48</v>
      </c>
      <c r="AF9" s="112">
        <v>9</v>
      </c>
      <c r="AG9" s="112">
        <v>4.0599999999999996</v>
      </c>
      <c r="AH9" s="112">
        <v>1.98</v>
      </c>
      <c r="AI9" s="112">
        <v>-3.93</v>
      </c>
      <c r="AJ9" s="112">
        <v>-9.0500000000000007</v>
      </c>
      <c r="AK9" s="112">
        <v>-15.71</v>
      </c>
      <c r="AL9" s="112">
        <v>-17.25</v>
      </c>
      <c r="AM9" s="112">
        <v>-11.66</v>
      </c>
      <c r="AN9" s="112">
        <v>-10.130000000000001</v>
      </c>
      <c r="AO9" s="112">
        <v>-4.62</v>
      </c>
      <c r="AP9" s="112">
        <v>-0.1</v>
      </c>
      <c r="AQ9" s="112">
        <v>-0.32</v>
      </c>
      <c r="AR9" s="112"/>
      <c r="AS9" s="112"/>
      <c r="AT9" s="112"/>
      <c r="AU9" s="112"/>
      <c r="AV9" s="112"/>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c r="CU9" s="112"/>
      <c r="CV9" s="112"/>
      <c r="CW9" s="112"/>
      <c r="CX9" s="112"/>
      <c r="CY9" s="112"/>
      <c r="CZ9" s="112"/>
      <c r="DA9" s="112"/>
      <c r="DB9" s="112"/>
      <c r="DC9" s="112"/>
      <c r="DD9" s="112"/>
      <c r="DE9" s="112"/>
      <c r="DF9" s="112"/>
      <c r="DG9" s="112"/>
      <c r="DH9" s="112"/>
      <c r="DI9" s="112"/>
      <c r="DJ9" s="112"/>
      <c r="DK9" s="112"/>
      <c r="DL9" s="112"/>
      <c r="DM9" s="112"/>
      <c r="DN9" s="112"/>
    </row>
    <row r="10" spans="1:243" x14ac:dyDescent="0.25">
      <c r="A10" s="112"/>
      <c r="B10" s="112" t="s">
        <v>29</v>
      </c>
      <c r="C10" s="112" t="s">
        <v>29</v>
      </c>
      <c r="D10" s="112">
        <v>-1.76</v>
      </c>
      <c r="E10" s="112">
        <v>2.83</v>
      </c>
      <c r="F10" s="112">
        <v>0.93</v>
      </c>
      <c r="G10" s="112">
        <v>-0.12</v>
      </c>
      <c r="H10" s="112">
        <v>0.21</v>
      </c>
      <c r="I10" s="112">
        <v>-4.6399999999999997</v>
      </c>
      <c r="J10" s="112">
        <v>-3.55</v>
      </c>
      <c r="K10" s="112">
        <v>-0.54</v>
      </c>
      <c r="L10" s="112">
        <v>4.3099999999999996</v>
      </c>
      <c r="M10" s="112">
        <v>7.98</v>
      </c>
      <c r="N10" s="112">
        <v>10.64</v>
      </c>
      <c r="O10" s="112">
        <v>25.36</v>
      </c>
      <c r="P10" s="112">
        <v>13.2</v>
      </c>
      <c r="Q10" s="112">
        <v>11.06</v>
      </c>
      <c r="R10" s="112">
        <v>6.63</v>
      </c>
      <c r="S10" s="112">
        <v>-6.52</v>
      </c>
      <c r="T10" s="112">
        <v>-0.46</v>
      </c>
      <c r="U10" s="112">
        <v>-1</v>
      </c>
      <c r="V10" s="112">
        <v>-2.0699999999999998</v>
      </c>
      <c r="W10" s="112">
        <v>-3.61</v>
      </c>
      <c r="X10" s="112">
        <v>-4.83</v>
      </c>
      <c r="Y10" s="112">
        <v>0.44</v>
      </c>
      <c r="Z10" s="112">
        <v>2.2000000000000002</v>
      </c>
      <c r="AA10" s="112">
        <v>10.16</v>
      </c>
      <c r="AB10" s="112">
        <v>16.89</v>
      </c>
      <c r="AC10" s="112">
        <v>12.34</v>
      </c>
      <c r="AD10" s="112">
        <v>9.3000000000000007</v>
      </c>
      <c r="AE10" s="112">
        <v>1.94</v>
      </c>
      <c r="AF10" s="112">
        <v>1.79</v>
      </c>
      <c r="AG10" s="112">
        <v>3.7</v>
      </c>
      <c r="AH10" s="112">
        <v>3.74</v>
      </c>
      <c r="AI10" s="112">
        <v>6.48</v>
      </c>
      <c r="AJ10" s="112">
        <v>-0.31</v>
      </c>
      <c r="AK10" s="112">
        <v>-11.11</v>
      </c>
      <c r="AL10" s="112">
        <v>-14.08</v>
      </c>
      <c r="AM10" s="112">
        <v>-16.350000000000001</v>
      </c>
      <c r="AN10" s="112">
        <v>-14.93</v>
      </c>
      <c r="AO10" s="112">
        <v>-4.93</v>
      </c>
      <c r="AP10" s="112">
        <v>2.42</v>
      </c>
      <c r="AQ10" s="112">
        <v>6.57</v>
      </c>
      <c r="AR10" s="112"/>
      <c r="AS10" s="112"/>
      <c r="AT10" s="112"/>
      <c r="AU10" s="112"/>
      <c r="AV10" s="112"/>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c r="CU10" s="112"/>
      <c r="CV10" s="112"/>
      <c r="CW10" s="112"/>
      <c r="CX10" s="112"/>
      <c r="CY10" s="112"/>
      <c r="CZ10" s="112"/>
      <c r="DA10" s="112"/>
      <c r="DB10" s="112"/>
      <c r="DC10" s="112"/>
      <c r="DD10" s="112"/>
      <c r="DE10" s="112"/>
      <c r="DF10" s="112"/>
      <c r="DG10" s="112"/>
      <c r="DH10" s="112"/>
      <c r="DI10" s="112"/>
      <c r="DJ10" s="112"/>
      <c r="DK10" s="112"/>
      <c r="DL10" s="112"/>
      <c r="DM10" s="112"/>
      <c r="DN10" s="112"/>
    </row>
    <row r="11" spans="1:243" x14ac:dyDescent="0.25">
      <c r="A11" s="112"/>
      <c r="B11" s="112" t="s">
        <v>3446</v>
      </c>
      <c r="C11" s="112" t="s">
        <v>3446</v>
      </c>
      <c r="D11" s="112"/>
      <c r="E11" s="112">
        <v>10.81</v>
      </c>
      <c r="F11" s="112">
        <v>14.2</v>
      </c>
      <c r="G11" s="112">
        <v>9.1</v>
      </c>
      <c r="H11" s="112">
        <v>3.51</v>
      </c>
      <c r="I11" s="112">
        <v>-4.12</v>
      </c>
      <c r="J11" s="112">
        <v>-8.2899999999999991</v>
      </c>
      <c r="K11" s="112">
        <v>-3.76</v>
      </c>
      <c r="L11" s="112">
        <v>1.98</v>
      </c>
      <c r="M11" s="112">
        <v>3.78</v>
      </c>
      <c r="N11" s="112">
        <v>8.74</v>
      </c>
      <c r="O11" s="112">
        <v>27.07</v>
      </c>
      <c r="P11" s="112">
        <v>10.91</v>
      </c>
      <c r="Q11" s="112">
        <v>5.47</v>
      </c>
      <c r="R11" s="112">
        <v>2.23</v>
      </c>
      <c r="S11" s="112">
        <v>-13.43</v>
      </c>
      <c r="T11" s="112">
        <v>-3.68</v>
      </c>
      <c r="U11" s="112">
        <v>-0.05</v>
      </c>
      <c r="V11" s="112">
        <v>-0.68</v>
      </c>
      <c r="W11" s="112">
        <v>-2.79</v>
      </c>
      <c r="X11" s="112">
        <v>-4.41</v>
      </c>
      <c r="Y11" s="112">
        <v>-7.0000000000000007E-2</v>
      </c>
      <c r="Z11" s="112">
        <v>1.9</v>
      </c>
      <c r="AA11" s="112">
        <v>12.14</v>
      </c>
      <c r="AB11" s="112">
        <v>19.440000000000001</v>
      </c>
      <c r="AC11" s="112">
        <v>13.89</v>
      </c>
      <c r="AD11" s="112">
        <v>9.4700000000000006</v>
      </c>
      <c r="AE11" s="112">
        <v>0.56999999999999995</v>
      </c>
      <c r="AF11" s="112">
        <v>0.11</v>
      </c>
      <c r="AG11" s="112">
        <v>0.89</v>
      </c>
      <c r="AH11" s="112">
        <v>2.72</v>
      </c>
      <c r="AI11" s="112">
        <v>5.46</v>
      </c>
      <c r="AJ11" s="112">
        <v>0.83</v>
      </c>
      <c r="AK11" s="112">
        <v>-8.9600000000000009</v>
      </c>
      <c r="AL11" s="112">
        <v>-13.06</v>
      </c>
      <c r="AM11" s="112">
        <v>-16.48</v>
      </c>
      <c r="AN11" s="112">
        <v>-15.3</v>
      </c>
      <c r="AO11" s="112">
        <v>-5.94</v>
      </c>
      <c r="AP11" s="112">
        <v>2.23</v>
      </c>
      <c r="AQ11" s="112">
        <v>7</v>
      </c>
      <c r="AR11" s="112"/>
      <c r="AS11" s="112"/>
      <c r="AT11" s="112"/>
      <c r="AU11" s="112"/>
      <c r="AV11" s="112"/>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c r="CU11" s="112"/>
      <c r="CV11" s="112"/>
      <c r="CW11" s="112"/>
      <c r="CX11" s="112"/>
      <c r="CY11" s="112"/>
      <c r="CZ11" s="112"/>
      <c r="DA11" s="112"/>
      <c r="DB11" s="112"/>
      <c r="DC11" s="112"/>
      <c r="DD11" s="112"/>
      <c r="DE11" s="112"/>
      <c r="DF11" s="112"/>
      <c r="DG11" s="112"/>
      <c r="DH11" s="112"/>
      <c r="DI11" s="112"/>
      <c r="DJ11" s="112"/>
      <c r="DK11" s="112"/>
      <c r="DL11" s="112"/>
      <c r="DM11" s="112"/>
      <c r="DN11" s="112"/>
    </row>
    <row r="12" spans="1:243" x14ac:dyDescent="0.25">
      <c r="A12" s="112"/>
      <c r="B12" s="112" t="s">
        <v>3447</v>
      </c>
      <c r="C12" s="112" t="s">
        <v>3447</v>
      </c>
      <c r="D12" s="112"/>
      <c r="E12" s="112">
        <v>6.25</v>
      </c>
      <c r="F12" s="112">
        <v>11.52</v>
      </c>
      <c r="G12" s="112">
        <v>7.21</v>
      </c>
      <c r="H12" s="112">
        <v>1.68</v>
      </c>
      <c r="I12" s="112">
        <v>-5.94</v>
      </c>
      <c r="J12" s="112">
        <v>-8.83</v>
      </c>
      <c r="K12" s="112">
        <v>-5.51</v>
      </c>
      <c r="L12" s="112">
        <v>1</v>
      </c>
      <c r="M12" s="112">
        <v>3.26</v>
      </c>
      <c r="N12" s="112">
        <v>6.75</v>
      </c>
      <c r="O12" s="112">
        <v>18.940000000000001</v>
      </c>
      <c r="P12" s="112">
        <v>7.88</v>
      </c>
      <c r="Q12" s="112">
        <v>7.91</v>
      </c>
      <c r="R12" s="112">
        <v>4.2300000000000004</v>
      </c>
      <c r="S12" s="112">
        <v>-6.53</v>
      </c>
      <c r="T12" s="112">
        <v>-0.48</v>
      </c>
      <c r="U12" s="112">
        <v>-0.27</v>
      </c>
      <c r="V12" s="112">
        <v>-1.33</v>
      </c>
      <c r="W12" s="112">
        <v>-3.12</v>
      </c>
      <c r="X12" s="112">
        <v>-5.49</v>
      </c>
      <c r="Y12" s="112">
        <v>-0.76</v>
      </c>
      <c r="Z12" s="112">
        <v>2</v>
      </c>
      <c r="AA12" s="112">
        <v>11.94</v>
      </c>
      <c r="AB12" s="112">
        <v>19.600000000000001</v>
      </c>
      <c r="AC12" s="112">
        <v>14.21</v>
      </c>
      <c r="AD12" s="112">
        <v>9.01</v>
      </c>
      <c r="AE12" s="112">
        <v>1.2</v>
      </c>
      <c r="AF12" s="112">
        <v>0.66</v>
      </c>
      <c r="AG12" s="112">
        <v>0.95</v>
      </c>
      <c r="AH12" s="112">
        <v>3.57</v>
      </c>
      <c r="AI12" s="112">
        <v>4.8</v>
      </c>
      <c r="AJ12" s="112">
        <v>1.06</v>
      </c>
      <c r="AK12" s="112">
        <v>-9.82</v>
      </c>
      <c r="AL12" s="112">
        <v>-14.46</v>
      </c>
      <c r="AM12" s="112">
        <v>-17.25</v>
      </c>
      <c r="AN12" s="112">
        <v>-16.68</v>
      </c>
      <c r="AO12" s="112">
        <v>-7.11</v>
      </c>
      <c r="AP12" s="112">
        <v>1.25</v>
      </c>
      <c r="AQ12" s="112">
        <v>5.92</v>
      </c>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c r="CU12" s="112"/>
      <c r="CV12" s="112"/>
      <c r="CW12" s="112"/>
      <c r="CX12" s="112"/>
      <c r="CY12" s="112"/>
      <c r="CZ12" s="112"/>
      <c r="DA12" s="112"/>
      <c r="DB12" s="112"/>
      <c r="DC12" s="112"/>
      <c r="DD12" s="112"/>
      <c r="DE12" s="112"/>
      <c r="DF12" s="112"/>
      <c r="DG12" s="112"/>
      <c r="DH12" s="112"/>
      <c r="DI12" s="112"/>
      <c r="DJ12" s="112"/>
      <c r="DK12" s="112"/>
      <c r="DL12" s="112"/>
      <c r="DM12" s="112"/>
      <c r="DN12" s="112"/>
    </row>
    <row r="13" spans="1:243" x14ac:dyDescent="0.25">
      <c r="A13" s="112"/>
      <c r="B13" s="112" t="s">
        <v>3448</v>
      </c>
      <c r="C13" s="112" t="s">
        <v>3448</v>
      </c>
      <c r="D13" s="112"/>
      <c r="E13" s="112">
        <v>11.44</v>
      </c>
      <c r="F13" s="112">
        <v>14.13</v>
      </c>
      <c r="G13" s="112">
        <v>9.0500000000000007</v>
      </c>
      <c r="H13" s="112">
        <v>2.23</v>
      </c>
      <c r="I13" s="112">
        <v>-6.05</v>
      </c>
      <c r="J13" s="112">
        <v>-10.44</v>
      </c>
      <c r="K13" s="112">
        <v>-6.13</v>
      </c>
      <c r="L13" s="112">
        <v>-1.59</v>
      </c>
      <c r="M13" s="112">
        <v>1.1100000000000001</v>
      </c>
      <c r="N13" s="112">
        <v>7.02</v>
      </c>
      <c r="O13" s="112">
        <v>28.34</v>
      </c>
      <c r="P13" s="112">
        <v>13.53</v>
      </c>
      <c r="Q13" s="112">
        <v>6.7</v>
      </c>
      <c r="R13" s="112">
        <v>2.58</v>
      </c>
      <c r="S13" s="112">
        <v>-15.08</v>
      </c>
      <c r="T13" s="112">
        <v>-5.75</v>
      </c>
      <c r="U13" s="112">
        <v>-0.8</v>
      </c>
      <c r="V13" s="112">
        <v>-0.78</v>
      </c>
      <c r="W13" s="112">
        <v>-2.27</v>
      </c>
      <c r="X13" s="112">
        <v>-4.79</v>
      </c>
      <c r="Y13" s="112">
        <v>-0.15</v>
      </c>
      <c r="Z13" s="112">
        <v>1.83</v>
      </c>
      <c r="AA13" s="112">
        <v>11.04</v>
      </c>
      <c r="AB13" s="112">
        <v>18.63</v>
      </c>
      <c r="AC13" s="112">
        <v>13.31</v>
      </c>
      <c r="AD13" s="112">
        <v>8.85</v>
      </c>
      <c r="AE13" s="112">
        <v>-0.52</v>
      </c>
      <c r="AF13" s="112">
        <v>-1.38</v>
      </c>
      <c r="AG13" s="112">
        <v>-0.38</v>
      </c>
      <c r="AH13" s="112">
        <v>1.28</v>
      </c>
      <c r="AI13" s="112">
        <v>4.4000000000000004</v>
      </c>
      <c r="AJ13" s="112">
        <v>-0.03</v>
      </c>
      <c r="AK13" s="112">
        <v>-10.29</v>
      </c>
      <c r="AL13" s="112">
        <v>-14.21</v>
      </c>
      <c r="AM13" s="112">
        <v>-17.399999999999999</v>
      </c>
      <c r="AN13" s="112">
        <v>-15.96</v>
      </c>
      <c r="AO13" s="112">
        <v>-6.8</v>
      </c>
      <c r="AP13" s="112">
        <v>1.57</v>
      </c>
      <c r="AQ13" s="112">
        <v>6.14</v>
      </c>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c r="CU13" s="112"/>
      <c r="CV13" s="112"/>
      <c r="CW13" s="112"/>
      <c r="CX13" s="112"/>
      <c r="CY13" s="112"/>
      <c r="CZ13" s="112"/>
      <c r="DA13" s="112"/>
      <c r="DB13" s="112"/>
      <c r="DC13" s="112"/>
      <c r="DD13" s="112"/>
      <c r="DE13" s="112"/>
      <c r="DF13" s="112"/>
      <c r="DG13" s="112"/>
      <c r="DH13" s="112"/>
      <c r="DI13" s="112"/>
      <c r="DJ13" s="112"/>
      <c r="DK13" s="112"/>
      <c r="DL13" s="112"/>
      <c r="DM13" s="112"/>
      <c r="DN13" s="112"/>
    </row>
    <row r="14" spans="1:243" x14ac:dyDescent="0.25">
      <c r="A14" s="112"/>
      <c r="B14" s="112" t="s">
        <v>30</v>
      </c>
      <c r="C14" s="112" t="s">
        <v>30</v>
      </c>
      <c r="D14" s="112">
        <v>4.82</v>
      </c>
      <c r="E14" s="112">
        <v>11.64</v>
      </c>
      <c r="F14" s="112">
        <v>14.76</v>
      </c>
      <c r="G14" s="112">
        <v>8.61</v>
      </c>
      <c r="H14" s="112">
        <v>2.73</v>
      </c>
      <c r="I14" s="112">
        <v>-5.0599999999999996</v>
      </c>
      <c r="J14" s="112">
        <v>-9.61</v>
      </c>
      <c r="K14" s="112">
        <v>-4.84</v>
      </c>
      <c r="L14" s="112">
        <v>1.57</v>
      </c>
      <c r="M14" s="112">
        <v>2.08</v>
      </c>
      <c r="N14" s="112">
        <v>7.78</v>
      </c>
      <c r="O14" s="112">
        <v>22.76</v>
      </c>
      <c r="P14" s="112">
        <v>9.3000000000000007</v>
      </c>
      <c r="Q14" s="112">
        <v>7.5</v>
      </c>
      <c r="R14" s="112">
        <v>3.37</v>
      </c>
      <c r="S14" s="112">
        <v>-9.61</v>
      </c>
      <c r="T14" s="112">
        <v>-1.41</v>
      </c>
      <c r="U14" s="112">
        <v>-0.06</v>
      </c>
      <c r="V14" s="112">
        <v>-0.31</v>
      </c>
      <c r="W14" s="112">
        <v>-3.53</v>
      </c>
      <c r="X14" s="112">
        <v>-4.4400000000000004</v>
      </c>
      <c r="Y14" s="112">
        <v>-0.51</v>
      </c>
      <c r="Z14" s="112">
        <v>1.1399999999999999</v>
      </c>
      <c r="AA14" s="112">
        <v>12.57</v>
      </c>
      <c r="AB14" s="112">
        <v>18.89</v>
      </c>
      <c r="AC14" s="112">
        <v>14.63</v>
      </c>
      <c r="AD14" s="112">
        <v>9.9600000000000009</v>
      </c>
      <c r="AE14" s="112">
        <v>0.28999999999999998</v>
      </c>
      <c r="AF14" s="112">
        <v>1.03</v>
      </c>
      <c r="AG14" s="112">
        <v>1.25</v>
      </c>
      <c r="AH14" s="112">
        <v>3.4</v>
      </c>
      <c r="AI14" s="112">
        <v>7.12</v>
      </c>
      <c r="AJ14" s="112">
        <v>1.41</v>
      </c>
      <c r="AK14" s="112">
        <v>-8.9600000000000009</v>
      </c>
      <c r="AL14" s="112">
        <v>-13.23</v>
      </c>
      <c r="AM14" s="112">
        <v>-16.53</v>
      </c>
      <c r="AN14" s="112">
        <v>-15.42</v>
      </c>
      <c r="AO14" s="112">
        <v>-4.3</v>
      </c>
      <c r="AP14" s="112">
        <v>3.63</v>
      </c>
      <c r="AQ14" s="112">
        <v>8.7100000000000009</v>
      </c>
      <c r="AR14" s="112"/>
      <c r="AS14" s="112"/>
      <c r="AT14" s="112"/>
      <c r="AU14" s="112"/>
      <c r="AV14" s="112"/>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c r="CU14" s="112"/>
      <c r="CV14" s="112"/>
      <c r="CW14" s="112"/>
      <c r="CX14" s="112"/>
      <c r="CY14" s="112"/>
      <c r="CZ14" s="112"/>
      <c r="DA14" s="112"/>
      <c r="DB14" s="112"/>
      <c r="DC14" s="112"/>
      <c r="DD14" s="112"/>
      <c r="DE14" s="112"/>
      <c r="DF14" s="112"/>
      <c r="DG14" s="112"/>
      <c r="DH14" s="112"/>
      <c r="DI14" s="112"/>
      <c r="DJ14" s="112"/>
      <c r="DK14" s="112"/>
      <c r="DL14" s="112"/>
      <c r="DM14" s="112"/>
      <c r="DN14" s="112"/>
    </row>
    <row r="15" spans="1:243" x14ac:dyDescent="0.25">
      <c r="A15" s="112"/>
      <c r="B15" s="112" t="s">
        <v>31</v>
      </c>
      <c r="C15" s="112" t="s">
        <v>31</v>
      </c>
      <c r="D15" s="112"/>
      <c r="E15" s="112">
        <v>10.01</v>
      </c>
      <c r="F15" s="112">
        <v>14.73</v>
      </c>
      <c r="G15" s="112">
        <v>8.82</v>
      </c>
      <c r="H15" s="112">
        <v>3.96</v>
      </c>
      <c r="I15" s="112">
        <v>-3.74</v>
      </c>
      <c r="J15" s="112">
        <v>-9.1</v>
      </c>
      <c r="K15" s="112">
        <v>-3.92</v>
      </c>
      <c r="L15" s="112">
        <v>1.32</v>
      </c>
      <c r="M15" s="112">
        <v>3.66</v>
      </c>
      <c r="N15" s="112">
        <v>8.99</v>
      </c>
      <c r="O15" s="112">
        <v>30.49</v>
      </c>
      <c r="P15" s="112">
        <v>13.59</v>
      </c>
      <c r="Q15" s="112">
        <v>2.84</v>
      </c>
      <c r="R15" s="112">
        <v>-0.13</v>
      </c>
      <c r="S15" s="112">
        <v>-17.420000000000002</v>
      </c>
      <c r="T15" s="112">
        <v>-7.97</v>
      </c>
      <c r="U15" s="112">
        <v>-1.42</v>
      </c>
      <c r="V15" s="112">
        <v>-2.82</v>
      </c>
      <c r="W15" s="112">
        <v>-4.78</v>
      </c>
      <c r="X15" s="112">
        <v>-6.19</v>
      </c>
      <c r="Y15" s="112">
        <v>-1.97</v>
      </c>
      <c r="Z15" s="112">
        <v>0.5</v>
      </c>
      <c r="AA15" s="112">
        <v>10.39</v>
      </c>
      <c r="AB15" s="112">
        <v>18.440000000000001</v>
      </c>
      <c r="AC15" s="112">
        <v>12.73</v>
      </c>
      <c r="AD15" s="112">
        <v>7.69</v>
      </c>
      <c r="AE15" s="112">
        <v>-0.14000000000000001</v>
      </c>
      <c r="AF15" s="112">
        <v>-1.55</v>
      </c>
      <c r="AG15" s="112">
        <v>0.78</v>
      </c>
      <c r="AH15" s="112">
        <v>2.69</v>
      </c>
      <c r="AI15" s="112">
        <v>4.55</v>
      </c>
      <c r="AJ15" s="112">
        <v>1.07</v>
      </c>
      <c r="AK15" s="112">
        <v>-10.52</v>
      </c>
      <c r="AL15" s="112">
        <v>-14.46</v>
      </c>
      <c r="AM15" s="112">
        <v>-18.12</v>
      </c>
      <c r="AN15" s="112">
        <v>-17.09</v>
      </c>
      <c r="AO15" s="112">
        <v>-7.71</v>
      </c>
      <c r="AP15" s="112">
        <v>0.52</v>
      </c>
      <c r="AQ15" s="112">
        <v>6.05</v>
      </c>
      <c r="AR15" s="112"/>
      <c r="AS15" s="112"/>
      <c r="AT15" s="112"/>
      <c r="AU15" s="112"/>
      <c r="AV15" s="112"/>
      <c r="AW15" s="112"/>
      <c r="AX15" s="112"/>
      <c r="AY15" s="112"/>
      <c r="AZ15" s="112"/>
      <c r="BA15" s="112"/>
      <c r="BB15" s="112"/>
      <c r="BC15" s="112"/>
      <c r="BD15" s="112"/>
      <c r="BE15" s="112"/>
      <c r="BF15" s="112"/>
      <c r="BG15" s="112"/>
      <c r="BH15" s="112"/>
      <c r="BI15" s="112"/>
      <c r="BJ15" s="112"/>
      <c r="BK15" s="112"/>
      <c r="BL15" s="112"/>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c r="CU15" s="112"/>
      <c r="CV15" s="112"/>
      <c r="CW15" s="112"/>
      <c r="CX15" s="112"/>
      <c r="CY15" s="112"/>
      <c r="CZ15" s="112"/>
      <c r="DA15" s="112"/>
      <c r="DB15" s="112"/>
      <c r="DC15" s="112"/>
      <c r="DD15" s="112"/>
      <c r="DE15" s="112"/>
      <c r="DF15" s="112"/>
      <c r="DG15" s="112"/>
      <c r="DH15" s="112"/>
      <c r="DI15" s="112"/>
      <c r="DJ15" s="112"/>
      <c r="DK15" s="112"/>
      <c r="DL15" s="112"/>
      <c r="DM15" s="112"/>
      <c r="DN15" s="112"/>
    </row>
    <row r="16" spans="1:243" x14ac:dyDescent="0.25">
      <c r="A16" s="112"/>
      <c r="B16" s="112" t="s">
        <v>32</v>
      </c>
      <c r="C16" s="112" t="s">
        <v>32</v>
      </c>
      <c r="D16" s="112">
        <v>-7.8</v>
      </c>
      <c r="E16" s="112">
        <v>0.53</v>
      </c>
      <c r="F16" s="112">
        <v>2.29</v>
      </c>
      <c r="G16" s="112">
        <v>0.16</v>
      </c>
      <c r="H16" s="112">
        <v>-7.78</v>
      </c>
      <c r="I16" s="112">
        <v>-17.84</v>
      </c>
      <c r="J16" s="112">
        <v>-19.46</v>
      </c>
      <c r="K16" s="112">
        <v>-14.69</v>
      </c>
      <c r="L16" s="112">
        <v>-8.14</v>
      </c>
      <c r="M16" s="112">
        <v>-7.26</v>
      </c>
      <c r="N16" s="112">
        <v>-1.69</v>
      </c>
      <c r="O16" s="112">
        <v>5.67</v>
      </c>
      <c r="P16" s="112">
        <v>2.1800000000000002</v>
      </c>
      <c r="Q16" s="112">
        <v>3.94</v>
      </c>
      <c r="R16" s="112">
        <v>-2.77</v>
      </c>
      <c r="S16" s="112">
        <v>-6.28</v>
      </c>
      <c r="T16" s="112">
        <v>0.3</v>
      </c>
      <c r="U16" s="112">
        <v>3.24</v>
      </c>
      <c r="V16" s="112">
        <v>5.03</v>
      </c>
      <c r="W16" s="112">
        <v>-0.35</v>
      </c>
      <c r="X16" s="112">
        <v>-1.67</v>
      </c>
      <c r="Y16" s="112">
        <v>-0.28000000000000003</v>
      </c>
      <c r="Z16" s="112">
        <v>-0.83</v>
      </c>
      <c r="AA16" s="112">
        <v>3.26</v>
      </c>
      <c r="AB16" s="112">
        <v>6.88</v>
      </c>
      <c r="AC16" s="112">
        <v>-0.6</v>
      </c>
      <c r="AD16" s="112">
        <v>-5.57</v>
      </c>
      <c r="AE16" s="112">
        <v>-1.58</v>
      </c>
      <c r="AF16" s="112">
        <v>1.77</v>
      </c>
      <c r="AG16" s="112">
        <v>12.05</v>
      </c>
      <c r="AH16" s="112">
        <v>19.940000000000001</v>
      </c>
      <c r="AI16" s="112">
        <v>13.55</v>
      </c>
      <c r="AJ16" s="112">
        <v>5.52</v>
      </c>
      <c r="AK16" s="112">
        <v>-2.7</v>
      </c>
      <c r="AL16" s="112">
        <v>-11.36</v>
      </c>
      <c r="AM16" s="112">
        <v>-12.47</v>
      </c>
      <c r="AN16" s="112">
        <v>-10.62</v>
      </c>
      <c r="AO16" s="112">
        <v>-10.68</v>
      </c>
      <c r="AP16" s="112">
        <v>-4.05</v>
      </c>
      <c r="AQ16" s="112">
        <v>-1.35</v>
      </c>
      <c r="AR16" s="112"/>
      <c r="AS16" s="112"/>
      <c r="AT16" s="112"/>
      <c r="AU16" s="112"/>
      <c r="AV16" s="112"/>
      <c r="AW16" s="112"/>
      <c r="AX16" s="112"/>
      <c r="AY16" s="112"/>
      <c r="AZ16" s="112"/>
      <c r="BA16" s="112"/>
      <c r="BB16" s="112"/>
      <c r="BC16" s="112"/>
      <c r="BD16" s="112"/>
      <c r="BE16" s="112"/>
      <c r="BF16" s="112"/>
      <c r="BG16" s="112"/>
      <c r="BH16" s="112"/>
      <c r="BI16" s="112"/>
      <c r="BJ16" s="112"/>
      <c r="BK16" s="112"/>
      <c r="BL16" s="112"/>
      <c r="BM16" s="112"/>
      <c r="BN16" s="112"/>
      <c r="BO16" s="112"/>
      <c r="BP16" s="112"/>
      <c r="BQ16" s="112"/>
      <c r="BR16" s="112"/>
      <c r="BS16" s="112"/>
      <c r="BT16" s="112"/>
      <c r="BU16" s="112"/>
      <c r="BV16" s="112"/>
      <c r="BW16" s="112"/>
      <c r="BX16" s="112"/>
      <c r="BY16" s="112"/>
      <c r="BZ16" s="112"/>
      <c r="CA16" s="112"/>
      <c r="CB16" s="112"/>
      <c r="CC16" s="112"/>
      <c r="CD16" s="112"/>
      <c r="CE16" s="112"/>
      <c r="CF16" s="112"/>
      <c r="CG16" s="112"/>
      <c r="CH16" s="112"/>
      <c r="CI16" s="112"/>
      <c r="CJ16" s="112"/>
      <c r="CK16" s="112"/>
      <c r="CL16" s="112"/>
      <c r="CM16" s="112"/>
      <c r="CN16" s="112"/>
      <c r="CO16" s="112"/>
      <c r="CP16" s="112"/>
      <c r="CQ16" s="112"/>
      <c r="CR16" s="112"/>
      <c r="CS16" s="112"/>
      <c r="CT16" s="112"/>
      <c r="CU16" s="112"/>
      <c r="CV16" s="112"/>
      <c r="CW16" s="112"/>
      <c r="CX16" s="112"/>
      <c r="CY16" s="112"/>
      <c r="CZ16" s="112"/>
      <c r="DA16" s="112"/>
      <c r="DB16" s="112"/>
      <c r="DC16" s="112"/>
      <c r="DD16" s="112"/>
      <c r="DE16" s="112"/>
      <c r="DF16" s="112"/>
      <c r="DG16" s="112"/>
      <c r="DH16" s="112"/>
      <c r="DI16" s="112"/>
      <c r="DJ16" s="112"/>
      <c r="DK16" s="112"/>
      <c r="DL16" s="112"/>
      <c r="DM16" s="112"/>
      <c r="DN16" s="112"/>
    </row>
    <row r="17" spans="1:118" x14ac:dyDescent="0.25">
      <c r="A17" s="112"/>
      <c r="B17" s="112" t="s">
        <v>33</v>
      </c>
      <c r="C17" s="112" t="s">
        <v>33</v>
      </c>
      <c r="D17" s="112">
        <v>7.49</v>
      </c>
      <c r="E17" s="112">
        <v>11.52</v>
      </c>
      <c r="F17" s="112">
        <v>15.67</v>
      </c>
      <c r="G17" s="112">
        <v>11.29</v>
      </c>
      <c r="H17" s="112">
        <v>5.21</v>
      </c>
      <c r="I17" s="112">
        <v>-1.85</v>
      </c>
      <c r="J17" s="112">
        <v>-6.52</v>
      </c>
      <c r="K17" s="112">
        <v>-3.17</v>
      </c>
      <c r="L17" s="112">
        <v>3.98</v>
      </c>
      <c r="M17" s="112">
        <v>6.15</v>
      </c>
      <c r="N17" s="112">
        <v>11.45</v>
      </c>
      <c r="O17" s="112">
        <v>25.64</v>
      </c>
      <c r="P17" s="112">
        <v>10.66</v>
      </c>
      <c r="Q17" s="112">
        <v>6.9</v>
      </c>
      <c r="R17" s="112">
        <v>3.73</v>
      </c>
      <c r="S17" s="112">
        <v>-9.2200000000000006</v>
      </c>
      <c r="T17" s="112">
        <v>-1.36</v>
      </c>
      <c r="U17" s="112">
        <v>1.69</v>
      </c>
      <c r="V17" s="112">
        <v>0.41</v>
      </c>
      <c r="W17" s="112">
        <v>-0.64</v>
      </c>
      <c r="X17" s="112">
        <v>-2.92</v>
      </c>
      <c r="Y17" s="112">
        <v>1.25</v>
      </c>
      <c r="Z17" s="112">
        <v>3.59</v>
      </c>
      <c r="AA17" s="112">
        <v>13.31</v>
      </c>
      <c r="AB17" s="112">
        <v>21.67</v>
      </c>
      <c r="AC17" s="112">
        <v>13.76</v>
      </c>
      <c r="AD17" s="112">
        <v>9.81</v>
      </c>
      <c r="AE17" s="112">
        <v>1.82</v>
      </c>
      <c r="AF17" s="112">
        <v>0.37</v>
      </c>
      <c r="AG17" s="112">
        <v>1.37</v>
      </c>
      <c r="AH17" s="112">
        <v>2.54</v>
      </c>
      <c r="AI17" s="112">
        <v>4.62</v>
      </c>
      <c r="AJ17" s="112">
        <v>0.81</v>
      </c>
      <c r="AK17" s="112">
        <v>-10.199999999999999</v>
      </c>
      <c r="AL17" s="112">
        <v>-12.65</v>
      </c>
      <c r="AM17" s="112">
        <v>-16.670000000000002</v>
      </c>
      <c r="AN17" s="112">
        <v>-16.72</v>
      </c>
      <c r="AO17" s="112">
        <v>-6.16</v>
      </c>
      <c r="AP17" s="112">
        <v>1.45</v>
      </c>
      <c r="AQ17" s="112">
        <v>6.13</v>
      </c>
      <c r="AR17" s="112"/>
      <c r="AS17" s="112"/>
      <c r="AT17" s="112"/>
      <c r="AU17" s="112"/>
      <c r="AV17" s="112"/>
      <c r="AW17" s="112"/>
      <c r="AX17" s="112"/>
      <c r="AY17" s="112"/>
      <c r="AZ17" s="112"/>
      <c r="BA17" s="112"/>
      <c r="BB17" s="112"/>
      <c r="BC17" s="112"/>
      <c r="BD17" s="112"/>
      <c r="BE17" s="112"/>
      <c r="BF17" s="112"/>
      <c r="BG17" s="112"/>
      <c r="BH17" s="112"/>
      <c r="BI17" s="112"/>
      <c r="BJ17" s="112"/>
      <c r="BK17" s="112"/>
      <c r="BL17" s="112"/>
      <c r="BM17" s="112"/>
      <c r="BN17" s="112"/>
      <c r="BO17" s="112"/>
      <c r="BP17" s="112"/>
      <c r="BQ17" s="112"/>
      <c r="BR17" s="112"/>
      <c r="BS17" s="112"/>
      <c r="BT17" s="112"/>
      <c r="BU17" s="112"/>
      <c r="BV17" s="112"/>
      <c r="BW17" s="112"/>
      <c r="BX17" s="112"/>
      <c r="BY17" s="112"/>
      <c r="BZ17" s="112"/>
      <c r="CA17" s="112"/>
      <c r="CB17" s="112"/>
      <c r="CC17" s="112"/>
      <c r="CD17" s="112"/>
      <c r="CE17" s="112"/>
      <c r="CF17" s="112"/>
      <c r="CG17" s="112"/>
      <c r="CH17" s="112"/>
      <c r="CI17" s="112"/>
      <c r="CJ17" s="112"/>
      <c r="CK17" s="112"/>
      <c r="CL17" s="112"/>
      <c r="CM17" s="112"/>
      <c r="CN17" s="112"/>
      <c r="CO17" s="112"/>
      <c r="CP17" s="112"/>
      <c r="CQ17" s="112"/>
      <c r="CR17" s="112"/>
      <c r="CS17" s="112"/>
      <c r="CT17" s="112"/>
      <c r="CU17" s="112"/>
      <c r="CV17" s="112"/>
      <c r="CW17" s="112"/>
      <c r="CX17" s="112"/>
      <c r="CY17" s="112"/>
      <c r="CZ17" s="112"/>
      <c r="DA17" s="112"/>
      <c r="DB17" s="112"/>
      <c r="DC17" s="112"/>
      <c r="DD17" s="112"/>
      <c r="DE17" s="112"/>
      <c r="DF17" s="112"/>
      <c r="DG17" s="112"/>
      <c r="DH17" s="112"/>
      <c r="DI17" s="112"/>
      <c r="DJ17" s="112"/>
      <c r="DK17" s="112"/>
      <c r="DL17" s="112"/>
      <c r="DM17" s="112"/>
      <c r="DN17" s="112"/>
    </row>
    <row r="18" spans="1:118" x14ac:dyDescent="0.25">
      <c r="A18" s="112"/>
      <c r="B18" s="112" t="s">
        <v>34</v>
      </c>
      <c r="C18" s="112" t="s">
        <v>34</v>
      </c>
      <c r="D18" s="112"/>
      <c r="E18" s="112">
        <v>3.62</v>
      </c>
      <c r="F18" s="112">
        <v>4.72</v>
      </c>
      <c r="G18" s="112">
        <v>2.5299999999999998</v>
      </c>
      <c r="H18" s="112">
        <v>0.47</v>
      </c>
      <c r="I18" s="112">
        <v>-6.35</v>
      </c>
      <c r="J18" s="112">
        <v>-2.34</v>
      </c>
      <c r="K18" s="112">
        <v>-3.52</v>
      </c>
      <c r="L18" s="112">
        <v>0.26</v>
      </c>
      <c r="M18" s="112">
        <v>9.23</v>
      </c>
      <c r="N18" s="112">
        <v>9.77</v>
      </c>
      <c r="O18" s="112">
        <v>39.35</v>
      </c>
      <c r="P18" s="112">
        <v>19.47</v>
      </c>
      <c r="Q18" s="112">
        <v>9.86</v>
      </c>
      <c r="R18" s="112">
        <v>6.47</v>
      </c>
      <c r="S18" s="112">
        <v>-13.29</v>
      </c>
      <c r="T18" s="112">
        <v>-2.74</v>
      </c>
      <c r="U18" s="112">
        <v>2.2000000000000002</v>
      </c>
      <c r="V18" s="112">
        <v>2.97</v>
      </c>
      <c r="W18" s="112">
        <v>-0.88</v>
      </c>
      <c r="X18" s="112">
        <v>-1.65</v>
      </c>
      <c r="Y18" s="112">
        <v>0.14000000000000001</v>
      </c>
      <c r="Z18" s="112">
        <v>-3.56</v>
      </c>
      <c r="AA18" s="112">
        <v>6.86</v>
      </c>
      <c r="AB18" s="112">
        <v>8.41</v>
      </c>
      <c r="AC18" s="112">
        <v>6.27</v>
      </c>
      <c r="AD18" s="112">
        <v>8.65</v>
      </c>
      <c r="AE18" s="112">
        <v>8.68</v>
      </c>
      <c r="AF18" s="112">
        <v>14.6</v>
      </c>
      <c r="AG18" s="112">
        <v>13.77</v>
      </c>
      <c r="AH18" s="112">
        <v>17.38</v>
      </c>
      <c r="AI18" s="112">
        <v>-0.59</v>
      </c>
      <c r="AJ18" s="112">
        <v>-6.53</v>
      </c>
      <c r="AK18" s="112">
        <v>-10.7</v>
      </c>
      <c r="AL18" s="112">
        <v>-18.52</v>
      </c>
      <c r="AM18" s="112">
        <v>-10.74</v>
      </c>
      <c r="AN18" s="112">
        <v>-7.41</v>
      </c>
      <c r="AO18" s="112">
        <v>-3.68</v>
      </c>
      <c r="AP18" s="112">
        <v>10.73</v>
      </c>
      <c r="AQ18" s="112">
        <v>12.91</v>
      </c>
      <c r="AR18" s="112"/>
      <c r="AS18" s="112"/>
      <c r="AT18" s="112"/>
      <c r="AU18" s="112"/>
      <c r="AV18" s="112"/>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c r="CU18" s="112"/>
      <c r="CV18" s="112"/>
      <c r="CW18" s="112"/>
      <c r="CX18" s="112"/>
      <c r="CY18" s="112"/>
      <c r="CZ18" s="112"/>
      <c r="DA18" s="112"/>
      <c r="DB18" s="112"/>
      <c r="DC18" s="112"/>
      <c r="DD18" s="112"/>
      <c r="DE18" s="112"/>
      <c r="DF18" s="112"/>
      <c r="DG18" s="112"/>
      <c r="DH18" s="112"/>
      <c r="DI18" s="112"/>
      <c r="DJ18" s="112"/>
      <c r="DK18" s="112"/>
      <c r="DL18" s="112"/>
      <c r="DM18" s="112"/>
      <c r="DN18" s="112"/>
    </row>
    <row r="19" spans="1:118" x14ac:dyDescent="0.25">
      <c r="A19" s="112"/>
      <c r="B19" s="112" t="s">
        <v>3437</v>
      </c>
      <c r="C19" s="112" t="s">
        <v>3437</v>
      </c>
      <c r="D19" s="112"/>
      <c r="E19" s="112">
        <v>-18.739999999999998</v>
      </c>
      <c r="F19" s="112">
        <v>-25.89</v>
      </c>
      <c r="G19" s="112">
        <v>-10.31</v>
      </c>
      <c r="H19" s="112">
        <v>19.329999999999998</v>
      </c>
      <c r="I19" s="112">
        <v>21.86</v>
      </c>
      <c r="J19" s="112">
        <v>33.54</v>
      </c>
      <c r="K19" s="112">
        <v>27.33</v>
      </c>
      <c r="L19" s="112">
        <v>9.76</v>
      </c>
      <c r="M19" s="112">
        <v>34.64</v>
      </c>
      <c r="N19" s="112">
        <v>28.18</v>
      </c>
      <c r="O19" s="112">
        <v>31.34</v>
      </c>
      <c r="P19" s="112">
        <v>1.48</v>
      </c>
      <c r="Q19" s="112">
        <v>-12.97</v>
      </c>
      <c r="R19" s="112">
        <v>-14.11</v>
      </c>
      <c r="S19" s="112">
        <v>-20.38</v>
      </c>
      <c r="T19" s="112">
        <v>-0.41</v>
      </c>
      <c r="U19" s="112">
        <v>7.53</v>
      </c>
      <c r="V19" s="112">
        <v>5.74</v>
      </c>
      <c r="W19" s="112">
        <v>2.5</v>
      </c>
      <c r="X19" s="112">
        <v>-5.56</v>
      </c>
      <c r="Y19" s="112">
        <v>0</v>
      </c>
      <c r="Z19" s="112">
        <v>3.05</v>
      </c>
      <c r="AA19" s="112">
        <v>5.15</v>
      </c>
      <c r="AB19" s="112">
        <v>12.67</v>
      </c>
      <c r="AC19" s="112">
        <v>14.89</v>
      </c>
      <c r="AD19" s="112">
        <v>16.89</v>
      </c>
      <c r="AE19" s="112">
        <v>23.1</v>
      </c>
      <c r="AF19" s="112">
        <v>38.450000000000003</v>
      </c>
      <c r="AG19" s="112">
        <v>9.39</v>
      </c>
      <c r="AH19" s="112">
        <v>-0.18</v>
      </c>
      <c r="AI19" s="112">
        <v>-17.02</v>
      </c>
      <c r="AJ19" s="112">
        <v>-13.85</v>
      </c>
      <c r="AK19" s="112">
        <v>-24.24</v>
      </c>
      <c r="AL19" s="112">
        <v>-39.049999999999997</v>
      </c>
      <c r="AM19" s="112">
        <v>-31.16</v>
      </c>
      <c r="AN19" s="112">
        <v>-40.51</v>
      </c>
      <c r="AO19" s="112">
        <v>-27</v>
      </c>
      <c r="AP19" s="112">
        <v>-5.09</v>
      </c>
      <c r="AQ19" s="112">
        <v>-2.78</v>
      </c>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c r="DA19" s="112"/>
      <c r="DB19" s="112"/>
      <c r="DC19" s="112"/>
      <c r="DD19" s="112"/>
      <c r="DE19" s="112"/>
      <c r="DF19" s="112"/>
      <c r="DG19" s="112"/>
      <c r="DH19" s="112"/>
      <c r="DI19" s="112"/>
      <c r="DJ19" s="112"/>
      <c r="DK19" s="112"/>
      <c r="DL19" s="112"/>
      <c r="DM19" s="112"/>
      <c r="DN19" s="112"/>
    </row>
    <row r="20" spans="1:118" x14ac:dyDescent="0.25">
      <c r="A20" s="112"/>
      <c r="B20" s="112" t="s">
        <v>36</v>
      </c>
      <c r="C20" s="112" t="s">
        <v>36</v>
      </c>
      <c r="D20" s="112">
        <v>6.41</v>
      </c>
      <c r="E20" s="112">
        <v>12.75</v>
      </c>
      <c r="F20" s="112">
        <v>16.37</v>
      </c>
      <c r="G20" s="112">
        <v>11.24</v>
      </c>
      <c r="H20" s="112">
        <v>6.25</v>
      </c>
      <c r="I20" s="112">
        <v>-3.42</v>
      </c>
      <c r="J20" s="112">
        <v>-5.98</v>
      </c>
      <c r="K20" s="112">
        <v>-1.82</v>
      </c>
      <c r="L20" s="112">
        <v>3.95</v>
      </c>
      <c r="M20" s="112">
        <v>6.66</v>
      </c>
      <c r="N20" s="112">
        <v>8.93</v>
      </c>
      <c r="O20" s="112">
        <v>32.840000000000003</v>
      </c>
      <c r="P20" s="112">
        <v>6.75</v>
      </c>
      <c r="Q20" s="112">
        <v>-0.56000000000000005</v>
      </c>
      <c r="R20" s="112">
        <v>-3.37</v>
      </c>
      <c r="S20" s="112">
        <v>-22.44</v>
      </c>
      <c r="T20" s="112">
        <v>-6.39</v>
      </c>
      <c r="U20" s="112">
        <v>-0.08</v>
      </c>
      <c r="V20" s="112">
        <v>-1.5</v>
      </c>
      <c r="W20" s="112">
        <v>-2.37</v>
      </c>
      <c r="X20" s="112">
        <v>-3.5</v>
      </c>
      <c r="Y20" s="112">
        <v>0.45</v>
      </c>
      <c r="Z20" s="112">
        <v>2.19</v>
      </c>
      <c r="AA20" s="112">
        <v>12.12</v>
      </c>
      <c r="AB20" s="112">
        <v>19.489999999999998</v>
      </c>
      <c r="AC20" s="112">
        <v>14.26</v>
      </c>
      <c r="AD20" s="112">
        <v>9.74</v>
      </c>
      <c r="AE20" s="112">
        <v>1.81</v>
      </c>
      <c r="AF20" s="112">
        <v>0.39</v>
      </c>
      <c r="AG20" s="112">
        <v>1.42</v>
      </c>
      <c r="AH20" s="112">
        <v>3.9</v>
      </c>
      <c r="AI20" s="112">
        <v>5.64</v>
      </c>
      <c r="AJ20" s="112">
        <v>1.27</v>
      </c>
      <c r="AK20" s="112">
        <v>-7.92</v>
      </c>
      <c r="AL20" s="112">
        <v>-12.23</v>
      </c>
      <c r="AM20" s="112">
        <v>-15.77</v>
      </c>
      <c r="AN20" s="112">
        <v>-14.78</v>
      </c>
      <c r="AO20" s="112">
        <v>-6.4</v>
      </c>
      <c r="AP20" s="112">
        <v>1.42</v>
      </c>
      <c r="AQ20" s="112">
        <v>5.63</v>
      </c>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c r="DA20" s="112"/>
      <c r="DB20" s="112"/>
      <c r="DC20" s="112"/>
      <c r="DD20" s="112"/>
      <c r="DE20" s="112"/>
      <c r="DF20" s="112"/>
      <c r="DG20" s="112"/>
      <c r="DH20" s="112"/>
      <c r="DI20" s="112"/>
      <c r="DJ20" s="112"/>
      <c r="DK20" s="112"/>
      <c r="DL20" s="112"/>
      <c r="DM20" s="112"/>
      <c r="DN20" s="112"/>
    </row>
    <row r="21" spans="1:118" x14ac:dyDescent="0.25">
      <c r="A21" s="112"/>
      <c r="B21" s="112" t="s">
        <v>37</v>
      </c>
      <c r="C21" s="112" t="s">
        <v>37</v>
      </c>
      <c r="D21" s="112"/>
      <c r="E21" s="112">
        <v>4.01</v>
      </c>
      <c r="F21" s="112">
        <v>1.51</v>
      </c>
      <c r="G21" s="112">
        <v>-1.79</v>
      </c>
      <c r="H21" s="112">
        <v>-1.8</v>
      </c>
      <c r="I21" s="112">
        <v>-11.73</v>
      </c>
      <c r="J21" s="112">
        <v>-9.65</v>
      </c>
      <c r="K21" s="112">
        <v>-6.02</v>
      </c>
      <c r="L21" s="112">
        <v>-2.5</v>
      </c>
      <c r="M21" s="112">
        <v>8.1</v>
      </c>
      <c r="N21" s="112">
        <v>12.06</v>
      </c>
      <c r="O21" s="112">
        <v>29.2</v>
      </c>
      <c r="P21" s="112">
        <v>18.07</v>
      </c>
      <c r="Q21" s="112">
        <v>13.35</v>
      </c>
      <c r="R21" s="112">
        <v>8.2799999999999994</v>
      </c>
      <c r="S21" s="112">
        <v>-7.47</v>
      </c>
      <c r="T21" s="112">
        <v>-2.4500000000000002</v>
      </c>
      <c r="U21" s="112">
        <v>-1.95</v>
      </c>
      <c r="V21" s="112">
        <v>-1.32</v>
      </c>
      <c r="W21" s="112">
        <v>-4.75</v>
      </c>
      <c r="X21" s="112">
        <v>-7.23</v>
      </c>
      <c r="Y21" s="112">
        <v>-4.24</v>
      </c>
      <c r="Z21" s="112">
        <v>-5.79</v>
      </c>
      <c r="AA21" s="112">
        <v>6.43</v>
      </c>
      <c r="AB21" s="112">
        <v>15.2</v>
      </c>
      <c r="AC21" s="112">
        <v>13.66</v>
      </c>
      <c r="AD21" s="112">
        <v>9.66</v>
      </c>
      <c r="AE21" s="112">
        <v>-2.2999999999999998</v>
      </c>
      <c r="AF21" s="112">
        <v>-0.22</v>
      </c>
      <c r="AG21" s="112">
        <v>-2.25</v>
      </c>
      <c r="AH21" s="112">
        <v>1.98</v>
      </c>
      <c r="AI21" s="112">
        <v>6.54</v>
      </c>
      <c r="AJ21" s="112">
        <v>2.37</v>
      </c>
      <c r="AK21" s="112">
        <v>-6.18</v>
      </c>
      <c r="AL21" s="112">
        <v>-12.65</v>
      </c>
      <c r="AM21" s="112">
        <v>-16.28</v>
      </c>
      <c r="AN21" s="112">
        <v>-17.649999999999999</v>
      </c>
      <c r="AO21" s="112">
        <v>-8.0299999999999994</v>
      </c>
      <c r="AP21" s="112">
        <v>-1.28</v>
      </c>
      <c r="AQ21" s="112">
        <v>3.79</v>
      </c>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c r="CU21" s="112"/>
      <c r="CV21" s="112"/>
      <c r="CW21" s="112"/>
      <c r="CX21" s="112"/>
      <c r="CY21" s="112"/>
      <c r="CZ21" s="112"/>
      <c r="DA21" s="112"/>
      <c r="DB21" s="112"/>
      <c r="DC21" s="112"/>
      <c r="DD21" s="112"/>
      <c r="DE21" s="112"/>
      <c r="DF21" s="112"/>
      <c r="DG21" s="112"/>
      <c r="DH21" s="112"/>
      <c r="DI21" s="112"/>
      <c r="DJ21" s="112"/>
      <c r="DK21" s="112"/>
      <c r="DL21" s="112"/>
      <c r="DM21" s="112"/>
      <c r="DN21" s="112"/>
    </row>
    <row r="22" spans="1:118" x14ac:dyDescent="0.25">
      <c r="A22" s="112"/>
      <c r="B22" s="112" t="s">
        <v>3453</v>
      </c>
      <c r="C22" s="112" t="s">
        <v>3453</v>
      </c>
      <c r="D22" s="112"/>
      <c r="E22" s="112">
        <v>9.67</v>
      </c>
      <c r="F22" s="112">
        <v>10.93</v>
      </c>
      <c r="G22" s="112">
        <v>8.7100000000000009</v>
      </c>
      <c r="H22" s="112">
        <v>3.38</v>
      </c>
      <c r="I22" s="112">
        <v>-0.84</v>
      </c>
      <c r="J22" s="112">
        <v>-1.46</v>
      </c>
      <c r="K22" s="112">
        <v>-0.15</v>
      </c>
      <c r="L22" s="112">
        <v>5.43</v>
      </c>
      <c r="M22" s="112">
        <v>4.92</v>
      </c>
      <c r="N22" s="112">
        <v>7.09</v>
      </c>
      <c r="O22" s="112">
        <v>18.87</v>
      </c>
      <c r="P22" s="112">
        <v>7.78</v>
      </c>
      <c r="Q22" s="112">
        <v>8.1999999999999993</v>
      </c>
      <c r="R22" s="112">
        <v>5.55</v>
      </c>
      <c r="S22" s="112">
        <v>-4.29</v>
      </c>
      <c r="T22" s="112">
        <v>2.42</v>
      </c>
      <c r="U22" s="112">
        <v>1.48</v>
      </c>
      <c r="V22" s="112">
        <v>0.88</v>
      </c>
      <c r="W22" s="112">
        <v>-1.48</v>
      </c>
      <c r="X22" s="112">
        <v>-2.91</v>
      </c>
      <c r="Y22" s="112">
        <v>2.04</v>
      </c>
      <c r="Z22" s="112">
        <v>1.19</v>
      </c>
      <c r="AA22" s="112">
        <v>5.12</v>
      </c>
      <c r="AB22" s="112">
        <v>8.9700000000000006</v>
      </c>
      <c r="AC22" s="112">
        <v>3.79</v>
      </c>
      <c r="AD22" s="112">
        <v>2.21</v>
      </c>
      <c r="AE22" s="112">
        <v>-1.58</v>
      </c>
      <c r="AF22" s="112">
        <v>-0.09</v>
      </c>
      <c r="AG22" s="112">
        <v>-0.14000000000000001</v>
      </c>
      <c r="AH22" s="112">
        <v>0.49</v>
      </c>
      <c r="AI22" s="112">
        <v>-0.98</v>
      </c>
      <c r="AJ22" s="112">
        <v>-2.81</v>
      </c>
      <c r="AK22" s="112">
        <v>-2.4700000000000002</v>
      </c>
      <c r="AL22" s="112">
        <v>-4.9400000000000004</v>
      </c>
      <c r="AM22" s="112">
        <v>-5.38</v>
      </c>
      <c r="AN22" s="112">
        <v>-5.62</v>
      </c>
      <c r="AO22" s="112">
        <v>-4.82</v>
      </c>
      <c r="AP22" s="112">
        <v>3.38</v>
      </c>
      <c r="AQ22" s="112">
        <v>7.48</v>
      </c>
      <c r="AR22" s="112"/>
      <c r="AS22" s="112"/>
      <c r="AT22" s="112"/>
      <c r="AU22" s="112"/>
      <c r="AV22" s="112"/>
      <c r="AW22" s="112"/>
      <c r="AX22" s="112"/>
      <c r="AY22" s="112"/>
      <c r="AZ22" s="112"/>
      <c r="BA22" s="112"/>
      <c r="BB22" s="112"/>
      <c r="BC22" s="112"/>
      <c r="BD22" s="112"/>
      <c r="BE22" s="112"/>
      <c r="BF22" s="112"/>
      <c r="BG22" s="112"/>
      <c r="BH22" s="112"/>
      <c r="BI22" s="112"/>
      <c r="BJ22" s="112"/>
      <c r="BK22" s="112"/>
      <c r="BL22" s="112"/>
      <c r="BM22" s="112"/>
      <c r="BN22" s="112"/>
      <c r="BO22" s="112"/>
      <c r="BP22" s="112"/>
      <c r="BQ22" s="112"/>
      <c r="BR22" s="112"/>
      <c r="BS22" s="112"/>
      <c r="BT22" s="112"/>
      <c r="BU22" s="112"/>
      <c r="BV22" s="112"/>
      <c r="BW22" s="112"/>
      <c r="BX22" s="112"/>
      <c r="BY22" s="112"/>
      <c r="BZ22" s="112"/>
      <c r="CA22" s="112"/>
      <c r="CB22" s="112"/>
      <c r="CC22" s="112"/>
      <c r="CD22" s="112"/>
      <c r="CE22" s="112"/>
      <c r="CF22" s="112"/>
      <c r="CG22" s="112"/>
      <c r="CH22" s="112"/>
      <c r="CI22" s="112"/>
      <c r="CJ22" s="112"/>
      <c r="CK22" s="112"/>
      <c r="CL22" s="112"/>
      <c r="CM22" s="112"/>
      <c r="CN22" s="112"/>
      <c r="CO22" s="112"/>
      <c r="CP22" s="112"/>
      <c r="CQ22" s="112"/>
      <c r="CR22" s="112"/>
      <c r="CS22" s="112"/>
      <c r="CT22" s="112"/>
      <c r="CU22" s="112"/>
      <c r="CV22" s="112"/>
      <c r="CW22" s="112"/>
      <c r="CX22" s="112"/>
      <c r="CY22" s="112"/>
      <c r="CZ22" s="112"/>
      <c r="DA22" s="112"/>
      <c r="DB22" s="112"/>
      <c r="DC22" s="112"/>
      <c r="DD22" s="112"/>
      <c r="DE22" s="112"/>
      <c r="DF22" s="112"/>
      <c r="DG22" s="112"/>
      <c r="DH22" s="112"/>
      <c r="DI22" s="112"/>
      <c r="DJ22" s="112"/>
      <c r="DK22" s="112"/>
      <c r="DL22" s="112"/>
      <c r="DM22" s="112"/>
      <c r="DN22" s="112"/>
    </row>
    <row r="23" spans="1:118" x14ac:dyDescent="0.25">
      <c r="A23" s="112"/>
      <c r="B23" s="112" t="s">
        <v>38</v>
      </c>
      <c r="C23" s="112" t="s">
        <v>38</v>
      </c>
      <c r="D23" s="112">
        <v>8.89</v>
      </c>
      <c r="E23" s="112">
        <v>11.18</v>
      </c>
      <c r="F23" s="112">
        <v>15.45</v>
      </c>
      <c r="G23" s="112">
        <v>8.52</v>
      </c>
      <c r="H23" s="112">
        <v>-2.38</v>
      </c>
      <c r="I23" s="112">
        <v>-6.95</v>
      </c>
      <c r="J23" s="112">
        <v>-6.47</v>
      </c>
      <c r="K23" s="112">
        <v>-2.5</v>
      </c>
      <c r="L23" s="112">
        <v>11.33</v>
      </c>
      <c r="M23" s="112">
        <v>11.86</v>
      </c>
      <c r="N23" s="112">
        <v>17.04</v>
      </c>
      <c r="O23" s="112">
        <v>35.21</v>
      </c>
      <c r="P23" s="112">
        <v>4.03</v>
      </c>
      <c r="Q23" s="112">
        <v>-1.97</v>
      </c>
      <c r="R23" s="112">
        <v>-1.62</v>
      </c>
      <c r="S23" s="112">
        <v>-17.43</v>
      </c>
      <c r="T23" s="112">
        <v>0.17</v>
      </c>
      <c r="U23" s="112">
        <v>3.83</v>
      </c>
      <c r="V23" s="112">
        <v>-2.48</v>
      </c>
      <c r="W23" s="112">
        <v>-1.45</v>
      </c>
      <c r="X23" s="112">
        <v>-2.57</v>
      </c>
      <c r="Y23" s="112">
        <v>-0.19</v>
      </c>
      <c r="Z23" s="112">
        <v>3.39</v>
      </c>
      <c r="AA23" s="112">
        <v>9.84</v>
      </c>
      <c r="AB23" s="112">
        <v>15.89</v>
      </c>
      <c r="AC23" s="112">
        <v>12.1</v>
      </c>
      <c r="AD23" s="112">
        <v>4.3899999999999997</v>
      </c>
      <c r="AE23" s="112">
        <v>-7.15</v>
      </c>
      <c r="AF23" s="112">
        <v>-9.5500000000000007</v>
      </c>
      <c r="AG23" s="112">
        <v>-14.03</v>
      </c>
      <c r="AH23" s="112">
        <v>-12.29</v>
      </c>
      <c r="AI23" s="112">
        <v>-2.79</v>
      </c>
      <c r="AJ23" s="112">
        <v>-2.31</v>
      </c>
      <c r="AK23" s="112">
        <v>-1.41</v>
      </c>
      <c r="AL23" s="112">
        <v>-4.6100000000000003</v>
      </c>
      <c r="AM23" s="112">
        <v>-6.16</v>
      </c>
      <c r="AN23" s="112">
        <v>-5.88</v>
      </c>
      <c r="AO23" s="112">
        <v>1.57</v>
      </c>
      <c r="AP23" s="112">
        <v>12.22</v>
      </c>
      <c r="AQ23" s="112">
        <v>15.01</v>
      </c>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c r="BR23" s="112"/>
      <c r="BS23" s="112"/>
      <c r="BT23" s="112"/>
      <c r="BU23" s="112"/>
      <c r="BV23" s="112"/>
      <c r="BW23" s="112"/>
      <c r="BX23" s="112"/>
      <c r="BY23" s="112"/>
      <c r="BZ23" s="112"/>
      <c r="CA23" s="112"/>
      <c r="CB23" s="112"/>
      <c r="CC23" s="112"/>
      <c r="CD23" s="112"/>
      <c r="CE23" s="112"/>
      <c r="CF23" s="112"/>
      <c r="CG23" s="112"/>
      <c r="CH23" s="112"/>
      <c r="CI23" s="112"/>
      <c r="CJ23" s="112"/>
      <c r="CK23" s="112"/>
      <c r="CL23" s="112"/>
      <c r="CM23" s="112"/>
      <c r="CN23" s="112"/>
      <c r="CO23" s="112"/>
      <c r="CP23" s="112"/>
      <c r="CQ23" s="112"/>
      <c r="CR23" s="112"/>
      <c r="CS23" s="112"/>
      <c r="CT23" s="112"/>
      <c r="CU23" s="112"/>
      <c r="CV23" s="112"/>
      <c r="CW23" s="112"/>
      <c r="CX23" s="112"/>
      <c r="CY23" s="112"/>
      <c r="CZ23" s="112"/>
      <c r="DA23" s="112"/>
      <c r="DB23" s="112"/>
      <c r="DC23" s="112"/>
      <c r="DD23" s="112"/>
      <c r="DE23" s="112"/>
      <c r="DF23" s="112"/>
      <c r="DG23" s="112"/>
      <c r="DH23" s="112"/>
      <c r="DI23" s="112"/>
      <c r="DJ23" s="112"/>
      <c r="DK23" s="112"/>
      <c r="DL23" s="112"/>
      <c r="DM23" s="112"/>
      <c r="DN23" s="112"/>
    </row>
    <row r="24" spans="1:118" x14ac:dyDescent="0.25">
      <c r="A24" s="112"/>
      <c r="B24" s="112" t="s">
        <v>39</v>
      </c>
      <c r="C24" s="112" t="s">
        <v>39</v>
      </c>
      <c r="D24" s="112">
        <v>5.8</v>
      </c>
      <c r="E24" s="112">
        <v>5.67</v>
      </c>
      <c r="F24" s="112">
        <v>5.94</v>
      </c>
      <c r="G24" s="112">
        <v>6.05</v>
      </c>
      <c r="H24" s="112">
        <v>7.34</v>
      </c>
      <c r="I24" s="112">
        <v>6.86</v>
      </c>
      <c r="J24" s="112">
        <v>9.44</v>
      </c>
      <c r="K24" s="112">
        <v>9.58</v>
      </c>
      <c r="L24" s="112">
        <v>10.82</v>
      </c>
      <c r="M24" s="112">
        <v>11.81</v>
      </c>
      <c r="N24" s="112">
        <v>10.43</v>
      </c>
      <c r="O24" s="112">
        <v>16.829999999999998</v>
      </c>
      <c r="P24" s="112">
        <v>3.98</v>
      </c>
      <c r="Q24" s="112">
        <v>0.81</v>
      </c>
      <c r="R24" s="112">
        <v>-0.55000000000000004</v>
      </c>
      <c r="S24" s="112">
        <v>-6.81</v>
      </c>
      <c r="T24" s="112">
        <v>2.97</v>
      </c>
      <c r="U24" s="112">
        <v>4.7699999999999996</v>
      </c>
      <c r="V24" s="112">
        <v>4.2</v>
      </c>
      <c r="W24" s="112">
        <v>4.16</v>
      </c>
      <c r="X24" s="112">
        <v>3.58</v>
      </c>
      <c r="Y24" s="112">
        <v>4.3499999999999996</v>
      </c>
      <c r="Z24" s="112">
        <v>5.31</v>
      </c>
      <c r="AA24" s="112">
        <v>5.56</v>
      </c>
      <c r="AB24" s="112">
        <v>6.15</v>
      </c>
      <c r="AC24" s="112">
        <v>5.14</v>
      </c>
      <c r="AD24" s="112">
        <v>4.46</v>
      </c>
      <c r="AE24" s="112">
        <v>4.25</v>
      </c>
      <c r="AF24" s="112">
        <v>3.38</v>
      </c>
      <c r="AG24" s="112">
        <v>3.49</v>
      </c>
      <c r="AH24" s="112">
        <v>2.61</v>
      </c>
      <c r="AI24" s="112">
        <v>2.4</v>
      </c>
      <c r="AJ24" s="112">
        <v>2.5</v>
      </c>
      <c r="AK24" s="112">
        <v>2.9</v>
      </c>
      <c r="AL24" s="112">
        <v>3.59</v>
      </c>
      <c r="AM24" s="112">
        <v>4.6500000000000004</v>
      </c>
      <c r="AN24" s="112">
        <v>4.53</v>
      </c>
      <c r="AO24" s="112">
        <v>4.1900000000000004</v>
      </c>
      <c r="AP24" s="112">
        <v>4.84</v>
      </c>
      <c r="AQ24" s="112">
        <v>4.5999999999999996</v>
      </c>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c r="CU24" s="112"/>
      <c r="CV24" s="112"/>
      <c r="CW24" s="112"/>
      <c r="CX24" s="112"/>
      <c r="CY24" s="112"/>
      <c r="CZ24" s="112"/>
      <c r="DA24" s="112"/>
      <c r="DB24" s="112"/>
      <c r="DC24" s="112"/>
      <c r="DD24" s="112"/>
      <c r="DE24" s="112"/>
      <c r="DF24" s="112"/>
      <c r="DG24" s="112"/>
      <c r="DH24" s="112"/>
      <c r="DI24" s="112"/>
      <c r="DJ24" s="112"/>
      <c r="DK24" s="112"/>
      <c r="DL24" s="112"/>
      <c r="DM24" s="112"/>
      <c r="DN24" s="112"/>
    </row>
    <row r="25" spans="1:118" x14ac:dyDescent="0.25">
      <c r="A25" s="112"/>
      <c r="B25" s="112" t="s">
        <v>27</v>
      </c>
      <c r="C25" s="112" t="s">
        <v>27</v>
      </c>
      <c r="D25" s="112"/>
      <c r="E25" s="112">
        <v>8.89</v>
      </c>
      <c r="F25" s="112">
        <v>13.21</v>
      </c>
      <c r="G25" s="112">
        <v>7.58</v>
      </c>
      <c r="H25" s="112">
        <v>2.82</v>
      </c>
      <c r="I25" s="112">
        <v>-4.1900000000000004</v>
      </c>
      <c r="J25" s="112">
        <v>-7.15</v>
      </c>
      <c r="K25" s="112">
        <v>-2.77</v>
      </c>
      <c r="L25" s="112">
        <v>2.98</v>
      </c>
      <c r="M25" s="112">
        <v>6.37</v>
      </c>
      <c r="N25" s="112">
        <v>9.9700000000000006</v>
      </c>
      <c r="O25" s="112">
        <v>30.29</v>
      </c>
      <c r="P25" s="112">
        <v>12.04</v>
      </c>
      <c r="Q25" s="112">
        <v>5</v>
      </c>
      <c r="R25" s="112">
        <v>3.14</v>
      </c>
      <c r="S25" s="112">
        <v>-13.48</v>
      </c>
      <c r="T25" s="112">
        <v>-1.52</v>
      </c>
      <c r="U25" s="112">
        <v>0.95</v>
      </c>
      <c r="V25" s="112">
        <v>0.22</v>
      </c>
      <c r="W25" s="112">
        <v>-2.5099999999999998</v>
      </c>
      <c r="X25" s="112">
        <v>-3.87</v>
      </c>
      <c r="Y25" s="112">
        <v>1.29</v>
      </c>
      <c r="Z25" s="112">
        <v>2.2400000000000002</v>
      </c>
      <c r="AA25" s="112">
        <v>11.51</v>
      </c>
      <c r="AB25" s="112">
        <v>18.11</v>
      </c>
      <c r="AC25" s="112">
        <v>12.49</v>
      </c>
      <c r="AD25" s="112">
        <v>8.0399999999999991</v>
      </c>
      <c r="AE25" s="112">
        <v>0.75</v>
      </c>
      <c r="AF25" s="112">
        <v>1.46</v>
      </c>
      <c r="AG25" s="112">
        <v>1.72</v>
      </c>
      <c r="AH25" s="112">
        <v>3.64</v>
      </c>
      <c r="AI25" s="112">
        <v>5.95</v>
      </c>
      <c r="AJ25" s="112">
        <v>0.26</v>
      </c>
      <c r="AK25" s="112">
        <v>-9.2899999999999991</v>
      </c>
      <c r="AL25" s="112">
        <v>-13.32</v>
      </c>
      <c r="AM25" s="112">
        <v>-16.190000000000001</v>
      </c>
      <c r="AN25" s="112">
        <v>-15.28</v>
      </c>
      <c r="AO25" s="112">
        <v>-5.69</v>
      </c>
      <c r="AP25" s="112">
        <v>3.09</v>
      </c>
      <c r="AQ25" s="112">
        <v>6.98</v>
      </c>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c r="CU25" s="112"/>
      <c r="CV25" s="112"/>
      <c r="CW25" s="112"/>
      <c r="CX25" s="112"/>
      <c r="CY25" s="112"/>
      <c r="CZ25" s="112"/>
      <c r="DA25" s="112"/>
      <c r="DB25" s="112"/>
      <c r="DC25" s="112"/>
      <c r="DD25" s="112"/>
      <c r="DE25" s="112"/>
      <c r="DF25" s="112"/>
      <c r="DG25" s="112"/>
      <c r="DH25" s="112"/>
      <c r="DI25" s="112"/>
      <c r="DJ25" s="112"/>
      <c r="DK25" s="112"/>
      <c r="DL25" s="112"/>
      <c r="DM25" s="112"/>
      <c r="DN25" s="112"/>
    </row>
    <row r="26" spans="1:118" x14ac:dyDescent="0.25">
      <c r="A26" s="112"/>
      <c r="B26" s="112" t="s">
        <v>3436</v>
      </c>
      <c r="C26" s="112" t="s">
        <v>3436</v>
      </c>
      <c r="D26" s="112">
        <v>-0.82</v>
      </c>
      <c r="E26" s="112">
        <v>2.5099999999999998</v>
      </c>
      <c r="F26" s="112">
        <v>-1.74</v>
      </c>
      <c r="G26" s="112">
        <v>-0.67</v>
      </c>
      <c r="H26" s="112">
        <v>-2.4</v>
      </c>
      <c r="I26" s="112">
        <v>-7.87</v>
      </c>
      <c r="J26" s="112">
        <v>-0.17</v>
      </c>
      <c r="K26" s="112">
        <v>1</v>
      </c>
      <c r="L26" s="112">
        <v>10.79</v>
      </c>
      <c r="M26" s="112">
        <v>14.22</v>
      </c>
      <c r="N26" s="112">
        <v>17.8</v>
      </c>
      <c r="O26" s="112">
        <v>24.96</v>
      </c>
      <c r="P26" s="112">
        <v>30.72</v>
      </c>
      <c r="Q26" s="112">
        <v>13.6</v>
      </c>
      <c r="R26" s="112">
        <v>6.81</v>
      </c>
      <c r="S26" s="112">
        <v>-1</v>
      </c>
      <c r="T26" s="112">
        <v>-8.6</v>
      </c>
      <c r="U26" s="112">
        <v>5</v>
      </c>
      <c r="V26" s="112">
        <v>3.85</v>
      </c>
      <c r="W26" s="112">
        <v>0.84</v>
      </c>
      <c r="X26" s="112">
        <v>1.28</v>
      </c>
      <c r="Y26" s="112">
        <v>5.13</v>
      </c>
      <c r="Z26" s="112">
        <v>8</v>
      </c>
      <c r="AA26" s="112">
        <v>19.260000000000002</v>
      </c>
      <c r="AB26" s="112">
        <v>20.32</v>
      </c>
      <c r="AC26" s="112">
        <v>15</v>
      </c>
      <c r="AD26" s="112">
        <v>11.33</v>
      </c>
      <c r="AE26" s="112">
        <v>6.02</v>
      </c>
      <c r="AF26" s="112">
        <v>6.31</v>
      </c>
      <c r="AG26" s="112">
        <v>2.76</v>
      </c>
      <c r="AH26" s="112">
        <v>2.2799999999999998</v>
      </c>
      <c r="AI26" s="112">
        <v>2.19</v>
      </c>
      <c r="AJ26" s="112">
        <v>2.46</v>
      </c>
      <c r="AK26" s="112">
        <v>2.42</v>
      </c>
      <c r="AL26" s="112">
        <v>4.37</v>
      </c>
      <c r="AM26" s="112">
        <v>8.19</v>
      </c>
      <c r="AN26" s="112">
        <v>5.05</v>
      </c>
      <c r="AO26" s="112">
        <v>6.77</v>
      </c>
      <c r="AP26" s="112">
        <v>8.02</v>
      </c>
      <c r="AQ26" s="112">
        <v>7.69</v>
      </c>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c r="CU26" s="112"/>
      <c r="CV26" s="112"/>
      <c r="CW26" s="112"/>
      <c r="CX26" s="112"/>
      <c r="CY26" s="112"/>
      <c r="CZ26" s="112"/>
      <c r="DA26" s="112"/>
      <c r="DB26" s="112"/>
      <c r="DC26" s="112"/>
      <c r="DD26" s="112"/>
      <c r="DE26" s="112"/>
      <c r="DF26" s="112"/>
      <c r="DG26" s="112"/>
      <c r="DH26" s="112"/>
      <c r="DI26" s="112"/>
      <c r="DJ26" s="112"/>
      <c r="DK26" s="112"/>
      <c r="DL26" s="112"/>
      <c r="DM26" s="112"/>
      <c r="DN26" s="112"/>
    </row>
    <row r="27" spans="1:118" x14ac:dyDescent="0.25">
      <c r="A27" s="112"/>
      <c r="B27" s="112" t="s">
        <v>3449</v>
      </c>
      <c r="C27" s="112" t="s">
        <v>3449</v>
      </c>
      <c r="D27" s="112"/>
      <c r="E27" s="112">
        <v>8.61</v>
      </c>
      <c r="F27" s="112">
        <v>5.78</v>
      </c>
      <c r="G27" s="112">
        <v>1.95</v>
      </c>
      <c r="H27" s="112">
        <v>-0.06</v>
      </c>
      <c r="I27" s="112">
        <v>-0.18</v>
      </c>
      <c r="J27" s="112">
        <v>6.75</v>
      </c>
      <c r="K27" s="112">
        <v>19.920000000000002</v>
      </c>
      <c r="L27" s="112">
        <v>9.7899999999999991</v>
      </c>
      <c r="M27" s="112">
        <v>12.76</v>
      </c>
      <c r="N27" s="112">
        <v>19.43</v>
      </c>
      <c r="O27" s="112">
        <v>36.74</v>
      </c>
      <c r="P27" s="112">
        <v>11.15</v>
      </c>
      <c r="Q27" s="112">
        <v>2.89</v>
      </c>
      <c r="R27" s="112">
        <v>-8.0299999999999994</v>
      </c>
      <c r="S27" s="112">
        <v>-27.91</v>
      </c>
      <c r="T27" s="112">
        <v>4.25</v>
      </c>
      <c r="U27" s="112">
        <v>6.65</v>
      </c>
      <c r="V27" s="112">
        <v>4.13</v>
      </c>
      <c r="W27" s="112">
        <v>4.4400000000000004</v>
      </c>
      <c r="X27" s="112">
        <v>-4.32</v>
      </c>
      <c r="Y27" s="112">
        <v>0.84</v>
      </c>
      <c r="Z27" s="112">
        <v>2.7</v>
      </c>
      <c r="AA27" s="112">
        <v>9.65</v>
      </c>
      <c r="AB27" s="112">
        <v>15.65</v>
      </c>
      <c r="AC27" s="112">
        <v>16.64</v>
      </c>
      <c r="AD27" s="112">
        <v>15.29</v>
      </c>
      <c r="AE27" s="112">
        <v>14.25</v>
      </c>
      <c r="AF27" s="112">
        <v>12.45</v>
      </c>
      <c r="AG27" s="112">
        <v>8.93</v>
      </c>
      <c r="AH27" s="112">
        <v>8.56</v>
      </c>
      <c r="AI27" s="112">
        <v>6.34</v>
      </c>
      <c r="AJ27" s="112">
        <v>2.84</v>
      </c>
      <c r="AK27" s="112">
        <v>2.63</v>
      </c>
      <c r="AL27" s="112">
        <v>2.4900000000000002</v>
      </c>
      <c r="AM27" s="112">
        <v>5.0199999999999996</v>
      </c>
      <c r="AN27" s="112">
        <v>7.47</v>
      </c>
      <c r="AO27" s="112">
        <v>9.11</v>
      </c>
      <c r="AP27" s="112">
        <v>16.52</v>
      </c>
      <c r="AQ27" s="112">
        <v>6.04</v>
      </c>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c r="DA27" s="112"/>
      <c r="DB27" s="112"/>
      <c r="DC27" s="112"/>
      <c r="DD27" s="112"/>
      <c r="DE27" s="112"/>
      <c r="DF27" s="112"/>
      <c r="DG27" s="112"/>
      <c r="DH27" s="112"/>
      <c r="DI27" s="112"/>
      <c r="DJ27" s="112"/>
      <c r="DK27" s="112"/>
      <c r="DL27" s="112"/>
      <c r="DM27" s="112"/>
      <c r="DN27" s="112"/>
    </row>
    <row r="28" spans="1:118" x14ac:dyDescent="0.25">
      <c r="A28" s="112"/>
      <c r="B28" s="112" t="s">
        <v>3450</v>
      </c>
      <c r="C28" s="112" t="s">
        <v>3450</v>
      </c>
      <c r="D28" s="112"/>
      <c r="E28" s="112"/>
      <c r="F28" s="112"/>
      <c r="G28" s="112"/>
      <c r="H28" s="112">
        <v>40.340000000000003</v>
      </c>
      <c r="I28" s="112">
        <v>48.96</v>
      </c>
      <c r="J28" s="112">
        <v>50.61</v>
      </c>
      <c r="K28" s="112">
        <v>62.55</v>
      </c>
      <c r="L28" s="112">
        <v>65.739999999999995</v>
      </c>
      <c r="M28" s="112">
        <v>59.1</v>
      </c>
      <c r="N28" s="112">
        <v>60.04</v>
      </c>
      <c r="O28" s="112">
        <v>62.44</v>
      </c>
      <c r="P28" s="112">
        <v>78.23</v>
      </c>
      <c r="Q28" s="112">
        <v>70.760000000000005</v>
      </c>
      <c r="R28" s="112">
        <v>61.81</v>
      </c>
      <c r="S28" s="112">
        <v>36.68</v>
      </c>
      <c r="T28" s="112">
        <v>18.04</v>
      </c>
      <c r="U28" s="112">
        <v>22.34</v>
      </c>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c r="DA28" s="112"/>
      <c r="DB28" s="112"/>
      <c r="DC28" s="112"/>
      <c r="DD28" s="112"/>
      <c r="DE28" s="112"/>
      <c r="DF28" s="112"/>
      <c r="DG28" s="112"/>
      <c r="DH28" s="112"/>
      <c r="DI28" s="112"/>
      <c r="DJ28" s="112"/>
      <c r="DK28" s="112"/>
      <c r="DL28" s="112"/>
      <c r="DM28" s="112"/>
      <c r="DN28" s="112"/>
    </row>
    <row r="29" spans="1:118" x14ac:dyDescent="0.25">
      <c r="A29" s="112"/>
      <c r="B29" s="112" t="s">
        <v>3451</v>
      </c>
      <c r="C29" s="112" t="s">
        <v>3451</v>
      </c>
      <c r="D29" s="112"/>
      <c r="E29" s="112"/>
      <c r="F29" s="112"/>
      <c r="G29" s="112"/>
      <c r="H29" s="112"/>
      <c r="I29" s="112">
        <v>27.19</v>
      </c>
      <c r="J29" s="112">
        <v>27.17</v>
      </c>
      <c r="K29" s="112">
        <v>27.17</v>
      </c>
      <c r="L29" s="112">
        <v>27.21</v>
      </c>
      <c r="M29" s="112">
        <v>17.32</v>
      </c>
      <c r="N29" s="112">
        <v>14.22</v>
      </c>
      <c r="O29" s="112">
        <v>14.17</v>
      </c>
      <c r="P29" s="112">
        <v>14.17</v>
      </c>
      <c r="Q29" s="112">
        <v>-24.01</v>
      </c>
      <c r="R29" s="112">
        <v>-22.02</v>
      </c>
      <c r="S29" s="112">
        <v>-21.92</v>
      </c>
      <c r="T29" s="112">
        <v>-21.94</v>
      </c>
      <c r="U29" s="112">
        <v>2.68</v>
      </c>
      <c r="V29" s="112">
        <v>2.78</v>
      </c>
      <c r="W29" s="112">
        <v>2.67</v>
      </c>
      <c r="X29" s="112">
        <v>2.36</v>
      </c>
      <c r="Y29" s="112">
        <v>19.54</v>
      </c>
      <c r="Z29" s="112">
        <v>19.03</v>
      </c>
      <c r="AA29" s="112">
        <v>19.43</v>
      </c>
      <c r="AB29" s="112">
        <v>21.03</v>
      </c>
      <c r="AC29" s="112">
        <v>12.47</v>
      </c>
      <c r="AD29" s="112">
        <v>13.01</v>
      </c>
      <c r="AE29" s="112">
        <v>12.37</v>
      </c>
      <c r="AF29" s="112">
        <v>10.11</v>
      </c>
      <c r="AG29" s="112">
        <v>-4.05</v>
      </c>
      <c r="AH29" s="112">
        <v>-0.93</v>
      </c>
      <c r="AI29" s="112">
        <v>0.72</v>
      </c>
      <c r="AJ29" s="112">
        <v>1.08</v>
      </c>
      <c r="AK29" s="112">
        <v>-23.95</v>
      </c>
      <c r="AL29" s="112">
        <v>-26.09</v>
      </c>
      <c r="AM29" s="112">
        <v>-27.09</v>
      </c>
      <c r="AN29" s="112">
        <v>-26.64</v>
      </c>
      <c r="AO29" s="112">
        <v>-2.25</v>
      </c>
      <c r="AP29" s="112">
        <v>-2.68</v>
      </c>
      <c r="AQ29" s="112">
        <v>-3.01</v>
      </c>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c r="CU29" s="112"/>
      <c r="CV29" s="112"/>
      <c r="CW29" s="112"/>
      <c r="CX29" s="112"/>
      <c r="CY29" s="112"/>
      <c r="CZ29" s="112"/>
      <c r="DA29" s="112"/>
      <c r="DB29" s="112"/>
      <c r="DC29" s="112"/>
      <c r="DD29" s="112"/>
      <c r="DE29" s="112"/>
      <c r="DF29" s="112"/>
      <c r="DG29" s="112"/>
      <c r="DH29" s="112"/>
      <c r="DI29" s="112"/>
      <c r="DJ29" s="112"/>
      <c r="DK29" s="112"/>
      <c r="DL29" s="112"/>
      <c r="DM29" s="112"/>
      <c r="DN29" s="112"/>
    </row>
    <row r="30" spans="1:118" x14ac:dyDescent="0.25">
      <c r="A30" s="112"/>
      <c r="B30" s="112" t="s">
        <v>3452</v>
      </c>
      <c r="C30" s="112" t="s">
        <v>3452</v>
      </c>
      <c r="D30" s="112"/>
      <c r="E30" s="112">
        <v>-0.51</v>
      </c>
      <c r="F30" s="112">
        <v>-6.27</v>
      </c>
      <c r="G30" s="112">
        <v>-10.08</v>
      </c>
      <c r="H30" s="112">
        <v>3.2</v>
      </c>
      <c r="I30" s="112">
        <v>13.21</v>
      </c>
      <c r="J30" s="112">
        <v>24.71</v>
      </c>
      <c r="K30" s="112">
        <v>40.049999999999997</v>
      </c>
      <c r="L30" s="112">
        <v>31.31</v>
      </c>
      <c r="M30" s="112">
        <v>23.09</v>
      </c>
      <c r="N30" s="112">
        <v>21.87</v>
      </c>
      <c r="O30" s="112">
        <v>30.06</v>
      </c>
      <c r="P30" s="112">
        <v>3.3</v>
      </c>
      <c r="Q30" s="112">
        <v>-9.94</v>
      </c>
      <c r="R30" s="112">
        <v>-11.04</v>
      </c>
      <c r="S30" s="112">
        <v>-24.22</v>
      </c>
      <c r="T30" s="112">
        <v>-4.4800000000000004</v>
      </c>
      <c r="U30" s="112">
        <v>-1.32</v>
      </c>
      <c r="V30" s="112">
        <v>-1.89</v>
      </c>
      <c r="W30" s="112">
        <v>-1.29</v>
      </c>
      <c r="X30" s="112">
        <v>0.85</v>
      </c>
      <c r="Y30" s="112">
        <v>17.260000000000002</v>
      </c>
      <c r="Z30" s="112">
        <v>19.760000000000002</v>
      </c>
      <c r="AA30" s="112">
        <v>22.76</v>
      </c>
      <c r="AB30" s="112">
        <v>13.89</v>
      </c>
      <c r="AC30" s="112">
        <v>7.42</v>
      </c>
      <c r="AD30" s="112">
        <v>7.09</v>
      </c>
      <c r="AE30" s="112">
        <v>4.3899999999999997</v>
      </c>
      <c r="AF30" s="112">
        <v>10.73</v>
      </c>
      <c r="AG30" s="112">
        <v>12.23</v>
      </c>
      <c r="AH30" s="112">
        <v>0.83</v>
      </c>
      <c r="AI30" s="112">
        <v>-4.47</v>
      </c>
      <c r="AJ30" s="112">
        <v>-9.19</v>
      </c>
      <c r="AK30" s="112">
        <v>-10.050000000000001</v>
      </c>
      <c r="AL30" s="112">
        <v>-15.27</v>
      </c>
      <c r="AM30" s="112">
        <v>-11.82</v>
      </c>
      <c r="AN30" s="112">
        <v>-13.25</v>
      </c>
      <c r="AO30" s="112">
        <v>-8.4499999999999993</v>
      </c>
      <c r="AP30" s="112">
        <v>3.4</v>
      </c>
      <c r="AQ30" s="112">
        <v>5.24</v>
      </c>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c r="DA30" s="112"/>
      <c r="DB30" s="112"/>
      <c r="DC30" s="112"/>
      <c r="DD30" s="112"/>
      <c r="DE30" s="112"/>
      <c r="DF30" s="112"/>
      <c r="DG30" s="112"/>
      <c r="DH30" s="112"/>
      <c r="DI30" s="112"/>
      <c r="DJ30" s="112"/>
      <c r="DK30" s="112"/>
      <c r="DL30" s="112"/>
      <c r="DM30" s="112"/>
      <c r="DN30" s="112"/>
    </row>
    <row r="31" spans="1:118" x14ac:dyDescent="0.25">
      <c r="A31" s="112"/>
      <c r="B31" s="112" t="s">
        <v>35</v>
      </c>
      <c r="C31" s="112" t="s">
        <v>35</v>
      </c>
      <c r="D31" s="112"/>
      <c r="E31" s="112">
        <v>8.77</v>
      </c>
      <c r="F31" s="112">
        <v>6.48</v>
      </c>
      <c r="G31" s="112">
        <v>-2.86</v>
      </c>
      <c r="H31" s="112">
        <v>-3.36</v>
      </c>
      <c r="I31" s="112">
        <v>-11.27</v>
      </c>
      <c r="J31" s="112">
        <v>-10.74</v>
      </c>
      <c r="K31" s="112">
        <v>-6.4</v>
      </c>
      <c r="L31" s="112">
        <v>-2.35</v>
      </c>
      <c r="M31" s="112">
        <v>1.48</v>
      </c>
      <c r="N31" s="112">
        <v>9.66</v>
      </c>
      <c r="O31" s="112">
        <v>18.23</v>
      </c>
      <c r="P31" s="112">
        <v>12.84</v>
      </c>
      <c r="Q31" s="112">
        <v>7.19</v>
      </c>
      <c r="R31" s="112">
        <v>2.12</v>
      </c>
      <c r="S31" s="112">
        <v>-5.41</v>
      </c>
      <c r="T31" s="112">
        <v>-4.79</v>
      </c>
      <c r="U31" s="112">
        <v>-2.2599999999999998</v>
      </c>
      <c r="V31" s="112">
        <v>-5.54</v>
      </c>
      <c r="W31" s="112">
        <v>-5.81</v>
      </c>
      <c r="X31" s="112">
        <v>-3.39</v>
      </c>
      <c r="Y31" s="112">
        <v>1.28</v>
      </c>
      <c r="Z31" s="112">
        <v>3.65</v>
      </c>
      <c r="AA31" s="112">
        <v>8.94</v>
      </c>
      <c r="AB31" s="112">
        <v>11.48</v>
      </c>
      <c r="AC31" s="112">
        <v>9.77</v>
      </c>
      <c r="AD31" s="112">
        <v>6.55</v>
      </c>
      <c r="AE31" s="112">
        <v>7.55</v>
      </c>
      <c r="AF31" s="112">
        <v>9.1</v>
      </c>
      <c r="AG31" s="112">
        <v>4.88</v>
      </c>
      <c r="AH31" s="112">
        <v>9.09</v>
      </c>
      <c r="AI31" s="112">
        <v>-0.31</v>
      </c>
      <c r="AJ31" s="112">
        <v>-3.76</v>
      </c>
      <c r="AK31" s="112">
        <v>-0.47</v>
      </c>
      <c r="AL31" s="112">
        <v>-6.15</v>
      </c>
      <c r="AM31" s="112">
        <v>-0.73</v>
      </c>
      <c r="AN31" s="112">
        <v>2.5099999999999998</v>
      </c>
      <c r="AO31" s="112">
        <v>1.34</v>
      </c>
      <c r="AP31" s="112">
        <v>11.89</v>
      </c>
      <c r="AQ31" s="112">
        <v>13.58</v>
      </c>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c r="DA31" s="112"/>
      <c r="DB31" s="112"/>
      <c r="DC31" s="112"/>
      <c r="DD31" s="112"/>
      <c r="DE31" s="112"/>
      <c r="DF31" s="112"/>
      <c r="DG31" s="112"/>
      <c r="DH31" s="112"/>
      <c r="DI31" s="112"/>
      <c r="DJ31" s="112"/>
      <c r="DK31" s="112"/>
      <c r="DL31" s="112"/>
      <c r="DM31" s="112"/>
      <c r="DN31" s="112"/>
    </row>
    <row r="32" spans="1:118" x14ac:dyDescent="0.25">
      <c r="A32" s="112"/>
      <c r="B32" s="11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c r="DA32" s="112"/>
      <c r="DB32" s="112"/>
      <c r="DC32" s="112"/>
      <c r="DD32" s="112"/>
      <c r="DE32" s="112"/>
      <c r="DF32" s="112"/>
      <c r="DG32" s="112"/>
      <c r="DH32" s="112"/>
      <c r="DI32" s="112"/>
      <c r="DJ32" s="112"/>
      <c r="DK32" s="112"/>
      <c r="DL32" s="112"/>
      <c r="DM32" s="112"/>
      <c r="DN32" s="112"/>
    </row>
    <row r="33" spans="1:118" x14ac:dyDescent="0.25">
      <c r="A33" s="112"/>
      <c r="B33" s="11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c r="DA33" s="112"/>
      <c r="DB33" s="112"/>
      <c r="DC33" s="112"/>
      <c r="DD33" s="112"/>
      <c r="DE33" s="112"/>
      <c r="DF33" s="112"/>
      <c r="DG33" s="112"/>
      <c r="DH33" s="112"/>
      <c r="DI33" s="112"/>
      <c r="DJ33" s="112"/>
      <c r="DK33" s="112"/>
      <c r="DL33" s="112"/>
      <c r="DM33" s="112"/>
      <c r="DN33" s="112"/>
    </row>
    <row r="34" spans="1:118" x14ac:dyDescent="0.25">
      <c r="A34" s="112"/>
      <c r="B34" s="11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c r="DA34" s="112"/>
      <c r="DB34" s="112"/>
      <c r="DC34" s="112"/>
      <c r="DD34" s="112"/>
      <c r="DE34" s="112"/>
      <c r="DF34" s="112"/>
      <c r="DG34" s="112"/>
      <c r="DH34" s="112"/>
      <c r="DI34" s="112"/>
      <c r="DJ34" s="112"/>
      <c r="DK34" s="112"/>
      <c r="DL34" s="112"/>
      <c r="DM34" s="112"/>
      <c r="DN34" s="112"/>
    </row>
    <row r="35" spans="1:118" x14ac:dyDescent="0.25">
      <c r="A35" s="112"/>
      <c r="B35" s="11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2"/>
      <c r="BO35" s="112"/>
      <c r="BP35" s="112"/>
      <c r="BQ35" s="112"/>
      <c r="BR35" s="112"/>
      <c r="BS35" s="112"/>
      <c r="BT35" s="112"/>
      <c r="BU35" s="112"/>
      <c r="BV35" s="112"/>
      <c r="BW35" s="112"/>
      <c r="BX35" s="112"/>
      <c r="BY35" s="112"/>
      <c r="BZ35" s="112"/>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2"/>
      <c r="DL35" s="112"/>
      <c r="DM35" s="112"/>
      <c r="DN35" s="112"/>
    </row>
    <row r="36" spans="1:118" x14ac:dyDescent="0.25">
      <c r="A36" s="112"/>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row>
    <row r="37" spans="1:118" x14ac:dyDescent="0.25">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row>
    <row r="38" spans="1:118" x14ac:dyDescent="0.25">
      <c r="A38" s="112"/>
      <c r="B38" s="11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c r="BR38" s="112"/>
      <c r="BS38" s="112"/>
      <c r="BT38" s="112"/>
      <c r="BU38" s="112"/>
      <c r="BV38" s="112"/>
      <c r="BW38" s="112"/>
      <c r="BX38" s="112"/>
      <c r="BY38" s="112"/>
      <c r="BZ38" s="112"/>
      <c r="CA38" s="112"/>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row>
    <row r="39" spans="1:118" x14ac:dyDescent="0.25">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c r="DA39" s="112"/>
      <c r="DB39" s="112"/>
      <c r="DC39" s="112"/>
      <c r="DD39" s="112"/>
      <c r="DE39" s="112"/>
      <c r="DF39" s="112"/>
      <c r="DG39" s="112"/>
      <c r="DH39" s="112"/>
      <c r="DI39" s="112"/>
      <c r="DJ39" s="112"/>
      <c r="DK39" s="112"/>
      <c r="DL39" s="112"/>
      <c r="DM39" s="112"/>
      <c r="DN39" s="112"/>
    </row>
    <row r="40" spans="1:118" x14ac:dyDescent="0.25">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c r="DA40" s="112"/>
      <c r="DB40" s="112"/>
      <c r="DC40" s="112"/>
      <c r="DD40" s="112"/>
      <c r="DE40" s="112"/>
      <c r="DF40" s="112"/>
      <c r="DG40" s="112"/>
      <c r="DH40" s="112"/>
      <c r="DI40" s="112"/>
      <c r="DJ40" s="112"/>
      <c r="DK40" s="112"/>
      <c r="DL40" s="112"/>
      <c r="DM40" s="112"/>
      <c r="DN40" s="112"/>
    </row>
    <row r="41" spans="1:118" x14ac:dyDescent="0.25">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row>
    <row r="42" spans="1:118" x14ac:dyDescent="0.25">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2"/>
      <c r="BO42" s="112"/>
      <c r="BP42" s="112"/>
      <c r="BQ42" s="112"/>
      <c r="BR42" s="112"/>
      <c r="BS42" s="112"/>
      <c r="BT42" s="112"/>
      <c r="BU42" s="112"/>
      <c r="BV42" s="112"/>
      <c r="BW42" s="112"/>
      <c r="BX42" s="112"/>
      <c r="BY42" s="112"/>
      <c r="BZ42" s="112"/>
      <c r="CA42" s="112"/>
      <c r="CB42" s="112"/>
      <c r="CC42" s="112"/>
      <c r="CD42" s="112"/>
      <c r="CE42" s="112"/>
      <c r="CF42" s="112"/>
      <c r="CG42" s="112"/>
      <c r="CH42" s="112"/>
      <c r="CI42" s="112"/>
      <c r="CJ42" s="112"/>
      <c r="CK42" s="112"/>
      <c r="CL42" s="112"/>
      <c r="CM42" s="112"/>
      <c r="CN42" s="112"/>
      <c r="CO42" s="112"/>
      <c r="CP42" s="112"/>
      <c r="CQ42" s="112"/>
      <c r="CR42" s="112"/>
      <c r="CS42" s="112"/>
      <c r="CT42" s="112"/>
      <c r="CU42" s="112"/>
      <c r="CV42" s="112"/>
      <c r="CW42" s="112"/>
      <c r="CX42" s="112"/>
      <c r="CY42" s="112"/>
      <c r="CZ42" s="112"/>
      <c r="DA42" s="112"/>
      <c r="DB42" s="112"/>
      <c r="DC42" s="112"/>
      <c r="DD42" s="112"/>
      <c r="DE42" s="112"/>
      <c r="DF42" s="112"/>
      <c r="DG42" s="112"/>
      <c r="DH42" s="112"/>
      <c r="DI42" s="112"/>
      <c r="DJ42" s="112"/>
      <c r="DK42" s="112"/>
      <c r="DL42" s="112"/>
      <c r="DM42" s="112"/>
      <c r="DN42" s="112"/>
    </row>
    <row r="43" spans="1:118" x14ac:dyDescent="0.25">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2"/>
      <c r="BJ43" s="112"/>
      <c r="BK43" s="112"/>
      <c r="BL43" s="112"/>
      <c r="BM43" s="112"/>
      <c r="BN43" s="112"/>
      <c r="BO43" s="112"/>
      <c r="BP43" s="112"/>
      <c r="BQ43" s="112"/>
      <c r="BR43" s="112"/>
      <c r="BS43" s="112"/>
      <c r="BT43" s="112"/>
      <c r="BU43" s="112"/>
      <c r="BV43" s="112"/>
      <c r="BW43" s="112"/>
      <c r="BX43" s="112"/>
      <c r="BY43" s="112"/>
      <c r="BZ43" s="112"/>
      <c r="CA43" s="112"/>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c r="DA43" s="112"/>
      <c r="DB43" s="112"/>
      <c r="DC43" s="112"/>
      <c r="DD43" s="112"/>
      <c r="DE43" s="112"/>
      <c r="DF43" s="112"/>
      <c r="DG43" s="112"/>
      <c r="DH43" s="112"/>
      <c r="DI43" s="112"/>
      <c r="DJ43" s="112"/>
      <c r="DK43" s="112"/>
      <c r="DL43" s="112"/>
      <c r="DM43" s="112"/>
      <c r="DN43" s="112"/>
    </row>
    <row r="44" spans="1:118" x14ac:dyDescent="0.25">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2"/>
      <c r="BJ44" s="112"/>
      <c r="BK44" s="112"/>
      <c r="BL44" s="112"/>
      <c r="BM44" s="112"/>
      <c r="BN44" s="112"/>
      <c r="BO44" s="112"/>
      <c r="BP44" s="112"/>
      <c r="BQ44" s="112"/>
      <c r="BR44" s="112"/>
      <c r="BS44" s="112"/>
      <c r="BT44" s="112"/>
      <c r="BU44" s="112"/>
      <c r="BV44" s="112"/>
      <c r="BW44" s="112"/>
      <c r="BX44" s="112"/>
      <c r="BY44" s="112"/>
      <c r="BZ44" s="112"/>
      <c r="CA44" s="112"/>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c r="DA44" s="112"/>
      <c r="DB44" s="112"/>
      <c r="DC44" s="112"/>
      <c r="DD44" s="112"/>
      <c r="DE44" s="112"/>
      <c r="DF44" s="112"/>
      <c r="DG44" s="112"/>
      <c r="DH44" s="112"/>
      <c r="DI44" s="112"/>
      <c r="DJ44" s="112"/>
      <c r="DK44" s="112"/>
      <c r="DL44" s="112"/>
      <c r="DM44" s="112"/>
      <c r="DN44" s="112"/>
    </row>
    <row r="45" spans="1:118" x14ac:dyDescent="0.25">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12"/>
      <c r="BL45" s="112"/>
      <c r="BM45" s="112"/>
      <c r="BN45" s="112"/>
      <c r="BO45" s="112"/>
      <c r="BP45" s="112"/>
      <c r="BQ45" s="112"/>
      <c r="BR45" s="112"/>
      <c r="BS45" s="112"/>
      <c r="BT45" s="112"/>
      <c r="BU45" s="112"/>
      <c r="BV45" s="112"/>
      <c r="BW45" s="112"/>
      <c r="BX45" s="112"/>
      <c r="BY45" s="112"/>
      <c r="BZ45" s="112"/>
      <c r="CA45" s="112"/>
      <c r="CB45" s="112"/>
      <c r="CC45" s="112"/>
      <c r="CD45" s="112"/>
      <c r="CE45" s="112"/>
      <c r="CF45" s="112"/>
      <c r="CG45" s="112"/>
      <c r="CH45" s="112"/>
      <c r="CI45" s="112"/>
      <c r="CJ45" s="112"/>
      <c r="CK45" s="112"/>
      <c r="CL45" s="112"/>
      <c r="CM45" s="112"/>
      <c r="CN45" s="112"/>
      <c r="CO45" s="112"/>
      <c r="CP45" s="112"/>
      <c r="CQ45" s="112"/>
      <c r="CR45" s="112"/>
      <c r="CS45" s="112"/>
      <c r="CT45" s="112"/>
      <c r="CU45" s="112"/>
      <c r="CV45" s="112"/>
      <c r="CW45" s="112"/>
      <c r="CX45" s="112"/>
      <c r="CY45" s="112"/>
      <c r="CZ45" s="112"/>
      <c r="DA45" s="112"/>
      <c r="DB45" s="112"/>
      <c r="DC45" s="112"/>
      <c r="DD45" s="112"/>
      <c r="DE45" s="112"/>
      <c r="DF45" s="112"/>
      <c r="DG45" s="112"/>
      <c r="DH45" s="112"/>
      <c r="DI45" s="112"/>
      <c r="DJ45" s="112"/>
      <c r="DK45" s="112"/>
      <c r="DL45" s="112"/>
      <c r="DM45" s="112"/>
      <c r="DN45" s="112"/>
    </row>
    <row r="46" spans="1:118" x14ac:dyDescent="0.25">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row>
    <row r="47" spans="1:118" x14ac:dyDescent="0.25">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c r="DA47" s="112"/>
      <c r="DB47" s="112"/>
      <c r="DC47" s="112"/>
      <c r="DD47" s="112"/>
      <c r="DE47" s="112"/>
      <c r="DF47" s="112"/>
      <c r="DG47" s="112"/>
      <c r="DH47" s="112"/>
      <c r="DI47" s="112"/>
      <c r="DJ47" s="112"/>
      <c r="DK47" s="112"/>
      <c r="DL47" s="112"/>
      <c r="DM47" s="112"/>
      <c r="DN47" s="112"/>
    </row>
    <row r="48" spans="1:118" x14ac:dyDescent="0.25">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c r="BR48" s="112"/>
      <c r="BS48" s="112"/>
      <c r="BT48" s="112"/>
      <c r="BU48" s="112"/>
      <c r="BV48" s="112"/>
      <c r="BW48" s="112"/>
      <c r="BX48" s="112"/>
      <c r="BY48" s="112"/>
      <c r="BZ48" s="112"/>
      <c r="CA48" s="112"/>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row>
    <row r="49" spans="1:118" x14ac:dyDescent="0.25">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row>
    <row r="50" spans="1:118" x14ac:dyDescent="0.25">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row>
    <row r="51" spans="1:118" x14ac:dyDescent="0.25">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c r="DA51" s="112"/>
      <c r="DB51" s="112"/>
      <c r="DC51" s="112"/>
      <c r="DD51" s="112"/>
      <c r="DE51" s="112"/>
      <c r="DF51" s="112"/>
      <c r="DG51" s="112"/>
      <c r="DH51" s="112"/>
      <c r="DI51" s="112"/>
      <c r="DJ51" s="112"/>
      <c r="DK51" s="112"/>
      <c r="DL51" s="112"/>
      <c r="DM51" s="112"/>
      <c r="DN51" s="112"/>
    </row>
    <row r="52" spans="1:118" x14ac:dyDescent="0.25">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row>
    <row r="53" spans="1:118" x14ac:dyDescent="0.25">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c r="BR53" s="112"/>
      <c r="BS53" s="112"/>
      <c r="BT53" s="112"/>
      <c r="BU53" s="112"/>
      <c r="BV53" s="112"/>
      <c r="BW53" s="112"/>
      <c r="BX53" s="112"/>
      <c r="BY53" s="112"/>
      <c r="BZ53" s="112"/>
      <c r="CA53" s="112"/>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c r="DA53" s="112"/>
      <c r="DB53" s="112"/>
      <c r="DC53" s="112"/>
      <c r="DD53" s="112"/>
      <c r="DE53" s="112"/>
      <c r="DF53" s="112"/>
      <c r="DG53" s="112"/>
      <c r="DH53" s="112"/>
      <c r="DI53" s="112"/>
      <c r="DJ53" s="112"/>
      <c r="DK53" s="112"/>
      <c r="DL53" s="112"/>
      <c r="DM53" s="112"/>
      <c r="DN53" s="112"/>
    </row>
    <row r="54" spans="1:118" x14ac:dyDescent="0.25">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c r="BR54" s="112"/>
      <c r="BS54" s="112"/>
      <c r="BT54" s="112"/>
      <c r="BU54" s="112"/>
      <c r="BV54" s="112"/>
      <c r="BW54" s="112"/>
      <c r="BX54" s="112"/>
      <c r="BY54" s="112"/>
      <c r="BZ54" s="112"/>
      <c r="CA54" s="112"/>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row>
    <row r="55" spans="1:118" x14ac:dyDescent="0.25">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c r="BR55" s="112"/>
      <c r="BS55" s="112"/>
      <c r="BT55" s="112"/>
      <c r="BU55" s="112"/>
      <c r="BV55" s="112"/>
      <c r="BW55" s="112"/>
      <c r="BX55" s="112"/>
      <c r="BY55" s="112"/>
      <c r="BZ55" s="112"/>
      <c r="CA55" s="112"/>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row>
    <row r="56" spans="1:118" x14ac:dyDescent="0.25">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2"/>
      <c r="BO56" s="112"/>
      <c r="BP56" s="112"/>
      <c r="BQ56" s="112"/>
      <c r="BR56" s="112"/>
      <c r="BS56" s="112"/>
      <c r="BT56" s="112"/>
      <c r="BU56" s="112"/>
      <c r="BV56" s="112"/>
      <c r="BW56" s="112"/>
      <c r="BX56" s="112"/>
      <c r="BY56" s="112"/>
      <c r="BZ56" s="112"/>
      <c r="CA56" s="112"/>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row>
    <row r="57" spans="1:118" x14ac:dyDescent="0.25">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row>
    <row r="58" spans="1:118" x14ac:dyDescent="0.25">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row>
    <row r="59" spans="1:118" x14ac:dyDescent="0.25">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c r="DA59" s="112"/>
      <c r="DB59" s="112"/>
      <c r="DC59" s="112"/>
      <c r="DD59" s="112"/>
      <c r="DE59" s="112"/>
      <c r="DF59" s="112"/>
      <c r="DG59" s="112"/>
      <c r="DH59" s="112"/>
      <c r="DI59" s="112"/>
      <c r="DJ59" s="112"/>
      <c r="DK59" s="112"/>
      <c r="DL59" s="112"/>
      <c r="DM59" s="112"/>
      <c r="DN59" s="112"/>
    </row>
    <row r="60" spans="1:118" x14ac:dyDescent="0.25">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row>
    <row r="61" spans="1:118" x14ac:dyDescent="0.25">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row>
    <row r="62" spans="1:118" x14ac:dyDescent="0.25">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c r="DA62" s="112"/>
      <c r="DB62" s="112"/>
      <c r="DC62" s="112"/>
      <c r="DD62" s="112"/>
      <c r="DE62" s="112"/>
      <c r="DF62" s="112"/>
      <c r="DG62" s="112"/>
      <c r="DH62" s="112"/>
      <c r="DI62" s="112"/>
      <c r="DJ62" s="112"/>
      <c r="DK62" s="112"/>
      <c r="DL62" s="112"/>
      <c r="DM62" s="112"/>
      <c r="DN62" s="112"/>
    </row>
    <row r="63" spans="1:118" x14ac:dyDescent="0.25">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row>
    <row r="64" spans="1:118" x14ac:dyDescent="0.25">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row>
    <row r="65" spans="1:118" x14ac:dyDescent="0.25">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row>
    <row r="66" spans="1:118" x14ac:dyDescent="0.25">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x14ac:dyDescent="0.25">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x14ac:dyDescent="0.25">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c r="DA68" s="112"/>
      <c r="DB68" s="112"/>
      <c r="DC68" s="112"/>
      <c r="DD68" s="112"/>
      <c r="DE68" s="112"/>
      <c r="DF68" s="112"/>
      <c r="DG68" s="112"/>
      <c r="DH68" s="112"/>
      <c r="DI68" s="112"/>
      <c r="DJ68" s="112"/>
      <c r="DK68" s="112"/>
      <c r="DL68" s="112"/>
      <c r="DM68" s="112"/>
      <c r="DN68" s="112"/>
    </row>
    <row r="69" spans="1:118" x14ac:dyDescent="0.25">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row>
    <row r="70" spans="1:118" x14ac:dyDescent="0.25">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x14ac:dyDescent="0.25">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x14ac:dyDescent="0.25">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x14ac:dyDescent="0.25">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x14ac:dyDescent="0.25">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row>
    <row r="75" spans="1:118" x14ac:dyDescent="0.25">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c r="BR75" s="112"/>
      <c r="BS75" s="112"/>
      <c r="BT75" s="112"/>
      <c r="BU75" s="112"/>
      <c r="BV75" s="112"/>
      <c r="BW75" s="112"/>
      <c r="BX75" s="112"/>
      <c r="BY75" s="112"/>
      <c r="BZ75" s="112"/>
      <c r="CA75" s="112"/>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c r="DA75" s="112"/>
      <c r="DB75" s="112"/>
      <c r="DC75" s="112"/>
      <c r="DD75" s="112"/>
      <c r="DE75" s="112"/>
      <c r="DF75" s="112"/>
      <c r="DG75" s="112"/>
      <c r="DH75" s="112"/>
      <c r="DI75" s="112"/>
      <c r="DJ75" s="112"/>
      <c r="DK75" s="112"/>
      <c r="DL75" s="112"/>
      <c r="DM75" s="112"/>
      <c r="DN75" s="112"/>
    </row>
    <row r="76" spans="1:118" x14ac:dyDescent="0.25">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c r="BR76" s="112"/>
      <c r="BS76" s="112"/>
      <c r="BT76" s="112"/>
      <c r="BU76" s="112"/>
      <c r="BV76" s="112"/>
      <c r="BW76" s="112"/>
      <c r="BX76" s="112"/>
      <c r="BY76" s="112"/>
      <c r="BZ76" s="112"/>
      <c r="CA76" s="112"/>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x14ac:dyDescent="0.25">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c r="BR77" s="112"/>
      <c r="BS77" s="112"/>
      <c r="BT77" s="112"/>
      <c r="BU77" s="112"/>
      <c r="BV77" s="112"/>
      <c r="BW77" s="112"/>
      <c r="BX77" s="112"/>
      <c r="BY77" s="112"/>
      <c r="BZ77" s="112"/>
      <c r="CA77" s="112"/>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x14ac:dyDescent="0.25">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c r="BR78" s="112"/>
      <c r="BS78" s="112"/>
      <c r="BT78" s="112"/>
      <c r="BU78" s="112"/>
      <c r="BV78" s="112"/>
      <c r="BW78" s="112"/>
      <c r="BX78" s="112"/>
      <c r="BY78" s="112"/>
      <c r="BZ78" s="112"/>
      <c r="CA78" s="112"/>
      <c r="CB78" s="112"/>
      <c r="CC78" s="112"/>
      <c r="CD78" s="112"/>
      <c r="CE78" s="112"/>
      <c r="CF78" s="112"/>
      <c r="CG78" s="112"/>
      <c r="CH78" s="112"/>
      <c r="CI78" s="112"/>
      <c r="CJ78" s="112"/>
      <c r="CK78" s="112"/>
      <c r="CL78" s="112"/>
      <c r="CM78" s="112"/>
      <c r="CN78" s="112"/>
      <c r="CO78" s="112"/>
      <c r="CP78" s="112"/>
      <c r="CQ78" s="112"/>
      <c r="CR78" s="112"/>
      <c r="CS78" s="112"/>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x14ac:dyDescent="0.25">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c r="BR79" s="112"/>
      <c r="BS79" s="112"/>
      <c r="BT79" s="112"/>
      <c r="BU79" s="112"/>
      <c r="BV79" s="112"/>
      <c r="BW79" s="112"/>
      <c r="BX79" s="112"/>
      <c r="BY79" s="112"/>
      <c r="BZ79" s="112"/>
      <c r="CA79" s="112"/>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x14ac:dyDescent="0.25">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c r="BR80" s="112"/>
      <c r="BS80" s="112"/>
      <c r="BT80" s="112"/>
      <c r="BU80" s="112"/>
      <c r="BV80" s="112"/>
      <c r="BW80" s="112"/>
      <c r="BX80" s="112"/>
      <c r="BY80" s="112"/>
      <c r="BZ80" s="112"/>
      <c r="CA80" s="112"/>
      <c r="CB80" s="112"/>
      <c r="CC80" s="112"/>
      <c r="CD80" s="112"/>
      <c r="CE80" s="112"/>
      <c r="CF80" s="112"/>
      <c r="CG80" s="112"/>
      <c r="CH80" s="112"/>
      <c r="CI80" s="112"/>
      <c r="CJ80" s="112"/>
      <c r="CK80" s="112"/>
      <c r="CL80" s="112"/>
      <c r="CM80" s="112"/>
      <c r="CN80" s="112"/>
      <c r="CO80" s="112"/>
      <c r="CP80" s="112"/>
      <c r="CQ80" s="112"/>
      <c r="CR80" s="112"/>
      <c r="CS80" s="112"/>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x14ac:dyDescent="0.25">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x14ac:dyDescent="0.25">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row>
    <row r="83" spans="1:118" x14ac:dyDescent="0.25">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c r="BR83" s="112"/>
      <c r="BS83" s="112"/>
      <c r="BT83" s="112"/>
      <c r="BU83" s="112"/>
      <c r="BV83" s="112"/>
      <c r="BW83" s="112"/>
      <c r="BX83" s="112"/>
      <c r="BY83" s="112"/>
      <c r="BZ83" s="112"/>
      <c r="CA83" s="112"/>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c r="DA83" s="112"/>
      <c r="DB83" s="112"/>
      <c r="DC83" s="112"/>
      <c r="DD83" s="112"/>
      <c r="DE83" s="112"/>
      <c r="DF83" s="112"/>
      <c r="DG83" s="112"/>
      <c r="DH83" s="112"/>
      <c r="DI83" s="112"/>
      <c r="DJ83" s="112"/>
      <c r="DK83" s="112"/>
      <c r="DL83" s="112"/>
      <c r="DM83" s="112"/>
      <c r="DN83" s="112"/>
    </row>
    <row r="84" spans="1:118" x14ac:dyDescent="0.25">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c r="BR84" s="112"/>
      <c r="BS84" s="112"/>
      <c r="BT84" s="112"/>
      <c r="BU84" s="112"/>
      <c r="BV84" s="112"/>
      <c r="BW84" s="112"/>
      <c r="BX84" s="112"/>
      <c r="BY84" s="112"/>
      <c r="BZ84" s="112"/>
      <c r="CA84" s="112"/>
      <c r="CB84" s="112"/>
      <c r="CC84" s="112"/>
      <c r="CD84" s="112"/>
      <c r="CE84" s="112"/>
      <c r="CF84" s="112"/>
      <c r="CG84" s="112"/>
      <c r="CH84" s="112"/>
      <c r="CI84" s="112"/>
      <c r="CJ84" s="112"/>
      <c r="CK84" s="112"/>
      <c r="CL84" s="112"/>
      <c r="CM84" s="112"/>
      <c r="CN84" s="112"/>
      <c r="CO84" s="112"/>
      <c r="CP84" s="112"/>
      <c r="CQ84" s="112"/>
      <c r="CR84" s="112"/>
      <c r="CS84" s="112"/>
      <c r="CT84" s="112"/>
      <c r="CU84" s="112"/>
      <c r="CV84" s="112"/>
      <c r="CW84" s="112"/>
      <c r="CX84" s="112"/>
      <c r="CY84" s="112"/>
      <c r="CZ84" s="112"/>
      <c r="DA84" s="112"/>
      <c r="DB84" s="112"/>
      <c r="DC84" s="112"/>
      <c r="DD84" s="112"/>
      <c r="DE84" s="112"/>
      <c r="DF84" s="112"/>
      <c r="DG84" s="112"/>
      <c r="DH84" s="112"/>
      <c r="DI84" s="112"/>
      <c r="DJ84" s="112"/>
      <c r="DK84" s="112"/>
      <c r="DL84" s="112"/>
      <c r="DM84" s="112"/>
      <c r="DN84" s="112"/>
    </row>
    <row r="85" spans="1:118" x14ac:dyDescent="0.25">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row>
    <row r="86" spans="1:118" x14ac:dyDescent="0.25">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row>
    <row r="87" spans="1:118" x14ac:dyDescent="0.25">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x14ac:dyDescent="0.25">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x14ac:dyDescent="0.25">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c r="DA89" s="112"/>
      <c r="DB89" s="112"/>
      <c r="DC89" s="112"/>
      <c r="DD89" s="112"/>
      <c r="DE89" s="112"/>
      <c r="DF89" s="112"/>
      <c r="DG89" s="112"/>
      <c r="DH89" s="112"/>
      <c r="DI89" s="112"/>
      <c r="DJ89" s="112"/>
      <c r="DK89" s="112"/>
      <c r="DL89" s="112"/>
      <c r="DM89" s="112"/>
      <c r="DN89" s="112"/>
    </row>
    <row r="90" spans="1:118" x14ac:dyDescent="0.25">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c r="BR90" s="112"/>
      <c r="BS90" s="112"/>
      <c r="BT90" s="112"/>
      <c r="BU90" s="112"/>
      <c r="BV90" s="112"/>
      <c r="BW90" s="112"/>
      <c r="BX90" s="112"/>
      <c r="BY90" s="112"/>
      <c r="BZ90" s="112"/>
      <c r="CA90" s="112"/>
      <c r="CB90" s="112"/>
      <c r="CC90" s="112"/>
      <c r="CD90" s="112"/>
      <c r="CE90" s="112"/>
      <c r="CF90" s="112"/>
      <c r="CG90" s="112"/>
      <c r="CH90" s="112"/>
      <c r="CI90" s="112"/>
      <c r="CJ90" s="112"/>
      <c r="CK90" s="112"/>
      <c r="CL90" s="112"/>
      <c r="CM90" s="112"/>
      <c r="CN90" s="112"/>
      <c r="CO90" s="112"/>
      <c r="CP90" s="112"/>
      <c r="CQ90" s="112"/>
      <c r="CR90" s="112"/>
      <c r="CS90" s="112"/>
      <c r="CT90" s="112"/>
      <c r="CU90" s="112"/>
      <c r="CV90" s="112"/>
      <c r="CW90" s="112"/>
      <c r="CX90" s="112"/>
      <c r="CY90" s="112"/>
      <c r="CZ90" s="112"/>
      <c r="DA90" s="112"/>
      <c r="DB90" s="112"/>
      <c r="DC90" s="112"/>
      <c r="DD90" s="112"/>
      <c r="DE90" s="112"/>
      <c r="DF90" s="112"/>
      <c r="DG90" s="112"/>
      <c r="DH90" s="112"/>
      <c r="DI90" s="112"/>
      <c r="DJ90" s="112"/>
      <c r="DK90" s="112"/>
      <c r="DL90" s="112"/>
      <c r="DM90" s="112"/>
      <c r="DN90" s="112"/>
    </row>
    <row r="91" spans="1:118" x14ac:dyDescent="0.25">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x14ac:dyDescent="0.25">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x14ac:dyDescent="0.25">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x14ac:dyDescent="0.25">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x14ac:dyDescent="0.25">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row>
    <row r="96" spans="1:118" x14ac:dyDescent="0.25">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row>
    <row r="97" spans="1:118" x14ac:dyDescent="0.25">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c r="BU97" s="112"/>
      <c r="BV97" s="112"/>
      <c r="BW97" s="112"/>
      <c r="BX97" s="112"/>
      <c r="BY97" s="112"/>
      <c r="BZ97" s="112"/>
      <c r="CA97" s="112"/>
      <c r="CB97" s="112"/>
      <c r="CC97" s="112"/>
      <c r="CD97" s="112"/>
      <c r="CE97" s="112"/>
      <c r="CF97" s="112"/>
      <c r="CG97" s="112"/>
      <c r="CH97" s="112"/>
      <c r="CI97" s="112"/>
      <c r="CJ97" s="112"/>
      <c r="CK97" s="112"/>
      <c r="CL97" s="112"/>
      <c r="CM97" s="112"/>
      <c r="CN97" s="112"/>
      <c r="CO97" s="112"/>
      <c r="CP97" s="112"/>
      <c r="CQ97" s="112"/>
      <c r="CR97" s="112"/>
      <c r="CS97" s="112"/>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x14ac:dyDescent="0.25">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c r="BU98" s="112"/>
      <c r="BV98" s="112"/>
      <c r="BW98" s="112"/>
      <c r="BX98" s="112"/>
      <c r="BY98" s="112"/>
      <c r="BZ98" s="112"/>
      <c r="CA98" s="112"/>
      <c r="CB98" s="112"/>
      <c r="CC98" s="112"/>
      <c r="CD98" s="112"/>
      <c r="CE98" s="112"/>
      <c r="CF98" s="112"/>
      <c r="CG98" s="112"/>
      <c r="CH98" s="112"/>
      <c r="CI98" s="112"/>
      <c r="CJ98" s="112"/>
      <c r="CK98" s="112"/>
      <c r="CL98" s="112"/>
      <c r="CM98" s="112"/>
      <c r="CN98" s="112"/>
      <c r="CO98" s="112"/>
      <c r="CP98" s="112"/>
      <c r="CQ98" s="112"/>
      <c r="CR98" s="112"/>
      <c r="CS98" s="112"/>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x14ac:dyDescent="0.25">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c r="BU99" s="112"/>
      <c r="BV99" s="112"/>
      <c r="BW99" s="112"/>
      <c r="BX99" s="112"/>
      <c r="BY99" s="112"/>
      <c r="BZ99" s="112"/>
      <c r="CA99" s="112"/>
      <c r="CB99" s="112"/>
      <c r="CC99" s="112"/>
      <c r="CD99" s="112"/>
      <c r="CE99" s="112"/>
      <c r="CF99" s="112"/>
      <c r="CG99" s="112"/>
      <c r="CH99" s="112"/>
      <c r="CI99" s="112"/>
      <c r="CJ99" s="112"/>
      <c r="CK99" s="112"/>
      <c r="CL99" s="112"/>
      <c r="CM99" s="112"/>
      <c r="CN99" s="112"/>
      <c r="CO99" s="112"/>
      <c r="CP99" s="112"/>
      <c r="CQ99" s="112"/>
      <c r="CR99" s="112"/>
      <c r="CS99" s="112"/>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x14ac:dyDescent="0.25">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c r="BU100" s="112"/>
      <c r="BV100" s="112"/>
      <c r="BW100" s="112"/>
      <c r="BX100" s="112"/>
      <c r="BY100" s="112"/>
      <c r="BZ100" s="112"/>
      <c r="CA100" s="112"/>
      <c r="CB100" s="112"/>
      <c r="CC100" s="112"/>
      <c r="CD100" s="112"/>
      <c r="CE100" s="112"/>
      <c r="CF100" s="112"/>
      <c r="CG100" s="112"/>
      <c r="CH100" s="112"/>
      <c r="CI100" s="112"/>
      <c r="CJ100" s="112"/>
      <c r="CK100" s="112"/>
      <c r="CL100" s="112"/>
      <c r="CM100" s="112"/>
      <c r="CN100" s="112"/>
      <c r="CO100" s="112"/>
      <c r="CP100" s="112"/>
      <c r="CQ100" s="112"/>
      <c r="CR100" s="112"/>
      <c r="CS100" s="112"/>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x14ac:dyDescent="0.25">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c r="BR101" s="112"/>
      <c r="BS101" s="112"/>
      <c r="BT101" s="112"/>
      <c r="BU101" s="112"/>
      <c r="BV101" s="112"/>
      <c r="BW101" s="112"/>
      <c r="BX101" s="112"/>
      <c r="BY101" s="112"/>
      <c r="BZ101" s="112"/>
      <c r="CA101" s="112"/>
      <c r="CB101" s="112"/>
      <c r="CC101" s="112"/>
      <c r="CD101" s="112"/>
      <c r="CE101" s="112"/>
      <c r="CF101" s="112"/>
      <c r="CG101" s="112"/>
      <c r="CH101" s="112"/>
      <c r="CI101" s="112"/>
      <c r="CJ101" s="112"/>
      <c r="CK101" s="112"/>
      <c r="CL101" s="112"/>
      <c r="CM101" s="112"/>
      <c r="CN101" s="112"/>
      <c r="CO101" s="112"/>
      <c r="CP101" s="112"/>
      <c r="CQ101" s="112"/>
      <c r="CR101" s="112"/>
      <c r="CS101" s="112"/>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x14ac:dyDescent="0.25">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x14ac:dyDescent="0.25">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c r="BR103" s="112"/>
      <c r="BS103" s="112"/>
      <c r="BT103" s="112"/>
      <c r="BU103" s="112"/>
      <c r="BV103" s="112"/>
      <c r="BW103" s="112"/>
      <c r="BX103" s="112"/>
      <c r="BY103" s="112"/>
      <c r="BZ103" s="112"/>
      <c r="CA103" s="112"/>
      <c r="CB103" s="112"/>
      <c r="CC103" s="112"/>
      <c r="CD103" s="112"/>
      <c r="CE103" s="112"/>
      <c r="CF103" s="112"/>
      <c r="CG103" s="112"/>
      <c r="CH103" s="112"/>
      <c r="CI103" s="112"/>
      <c r="CJ103" s="112"/>
      <c r="CK103" s="112"/>
      <c r="CL103" s="112"/>
      <c r="CM103" s="112"/>
      <c r="CN103" s="112"/>
      <c r="CO103" s="112"/>
      <c r="CP103" s="112"/>
      <c r="CQ103" s="112"/>
      <c r="CR103" s="112"/>
      <c r="CS103" s="112"/>
      <c r="CT103" s="112"/>
      <c r="CU103" s="112"/>
      <c r="CV103" s="112"/>
      <c r="CW103" s="112"/>
      <c r="CX103" s="112"/>
      <c r="CY103" s="112"/>
      <c r="CZ103" s="112"/>
      <c r="DA103" s="112"/>
      <c r="DB103" s="112"/>
      <c r="DC103" s="112"/>
      <c r="DD103" s="112"/>
      <c r="DE103" s="112"/>
      <c r="DF103" s="112"/>
      <c r="DG103" s="112"/>
      <c r="DH103" s="112"/>
      <c r="DI103" s="112"/>
      <c r="DJ103" s="112"/>
      <c r="DK103" s="112"/>
      <c r="DL103" s="112"/>
      <c r="DM103" s="112"/>
      <c r="DN103" s="112"/>
    </row>
    <row r="104" spans="1:118" x14ac:dyDescent="0.25">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c r="BR104" s="112"/>
      <c r="BS104" s="112"/>
      <c r="BT104" s="112"/>
      <c r="BU104" s="112"/>
      <c r="BV104" s="112"/>
      <c r="BW104" s="112"/>
      <c r="BX104" s="112"/>
      <c r="BY104" s="112"/>
      <c r="BZ104" s="112"/>
      <c r="CA104" s="112"/>
      <c r="CB104" s="112"/>
      <c r="CC104" s="112"/>
      <c r="CD104" s="112"/>
      <c r="CE104" s="112"/>
      <c r="CF104" s="112"/>
      <c r="CG104" s="112"/>
      <c r="CH104" s="112"/>
      <c r="CI104" s="112"/>
      <c r="CJ104" s="112"/>
      <c r="CK104" s="112"/>
      <c r="CL104" s="112"/>
      <c r="CM104" s="112"/>
      <c r="CN104" s="112"/>
      <c r="CO104" s="112"/>
      <c r="CP104" s="112"/>
      <c r="CQ104" s="112"/>
      <c r="CR104" s="112"/>
      <c r="CS104" s="112"/>
      <c r="CT104" s="112"/>
      <c r="CU104" s="112"/>
      <c r="CV104" s="112"/>
      <c r="CW104" s="112"/>
      <c r="CX104" s="112"/>
      <c r="CY104" s="112"/>
      <c r="CZ104" s="112"/>
      <c r="DA104" s="112"/>
      <c r="DB104" s="112"/>
      <c r="DC104" s="112"/>
      <c r="DD104" s="112"/>
      <c r="DE104" s="112"/>
      <c r="DF104" s="112"/>
      <c r="DG104" s="112"/>
      <c r="DH104" s="112"/>
      <c r="DI104" s="112"/>
      <c r="DJ104" s="112"/>
      <c r="DK104" s="112"/>
      <c r="DL104" s="112"/>
      <c r="DM104" s="112"/>
      <c r="DN104" s="112"/>
    </row>
    <row r="105" spans="1:118" x14ac:dyDescent="0.25">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c r="BR105" s="112"/>
      <c r="BS105" s="112"/>
      <c r="BT105" s="112"/>
      <c r="BU105" s="112"/>
      <c r="BV105" s="112"/>
      <c r="BW105" s="112"/>
      <c r="BX105" s="112"/>
      <c r="BY105" s="112"/>
      <c r="BZ105" s="112"/>
      <c r="CA105" s="112"/>
      <c r="CB105" s="112"/>
      <c r="CC105" s="112"/>
      <c r="CD105" s="112"/>
      <c r="CE105" s="112"/>
      <c r="CF105" s="112"/>
      <c r="CG105" s="112"/>
      <c r="CH105" s="112"/>
      <c r="CI105" s="112"/>
      <c r="CJ105" s="112"/>
      <c r="CK105" s="112"/>
      <c r="CL105" s="112"/>
      <c r="CM105" s="112"/>
      <c r="CN105" s="112"/>
      <c r="CO105" s="112"/>
      <c r="CP105" s="112"/>
      <c r="CQ105" s="112"/>
      <c r="CR105" s="112"/>
      <c r="CS105" s="112"/>
      <c r="CT105" s="112"/>
      <c r="CU105" s="112"/>
      <c r="CV105" s="112"/>
      <c r="CW105" s="112"/>
      <c r="CX105" s="112"/>
      <c r="CY105" s="112"/>
      <c r="CZ105" s="112"/>
      <c r="DA105" s="112"/>
      <c r="DB105" s="112"/>
      <c r="DC105" s="112"/>
      <c r="DD105" s="112"/>
      <c r="DE105" s="112"/>
      <c r="DF105" s="112"/>
      <c r="DG105" s="112"/>
      <c r="DH105" s="112"/>
      <c r="DI105" s="112"/>
      <c r="DJ105" s="112"/>
      <c r="DK105" s="112"/>
      <c r="DL105" s="112"/>
      <c r="DM105" s="112"/>
      <c r="DN105" s="112"/>
    </row>
    <row r="106" spans="1:118" x14ac:dyDescent="0.25">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c r="BU106" s="112"/>
      <c r="BV106" s="112"/>
      <c r="BW106" s="112"/>
      <c r="BX106" s="112"/>
      <c r="BY106" s="112"/>
      <c r="BZ106" s="112"/>
      <c r="CA106" s="112"/>
      <c r="CB106" s="112"/>
      <c r="CC106" s="112"/>
      <c r="CD106" s="112"/>
      <c r="CE106" s="112"/>
      <c r="CF106" s="112"/>
      <c r="CG106" s="112"/>
      <c r="CH106" s="112"/>
      <c r="CI106" s="112"/>
      <c r="CJ106" s="112"/>
      <c r="CK106" s="112"/>
      <c r="CL106" s="112"/>
      <c r="CM106" s="112"/>
      <c r="CN106" s="112"/>
      <c r="CO106" s="112"/>
      <c r="CP106" s="112"/>
      <c r="CQ106" s="112"/>
      <c r="CR106" s="112"/>
      <c r="CS106" s="112"/>
      <c r="CT106" s="112"/>
      <c r="CU106" s="112"/>
      <c r="CV106" s="112"/>
      <c r="CW106" s="112"/>
      <c r="CX106" s="112"/>
      <c r="CY106" s="112"/>
      <c r="CZ106" s="112"/>
      <c r="DA106" s="112"/>
      <c r="DB106" s="112"/>
      <c r="DC106" s="112"/>
      <c r="DD106" s="112"/>
      <c r="DE106" s="112"/>
      <c r="DF106" s="112"/>
      <c r="DG106" s="112"/>
      <c r="DH106" s="112"/>
      <c r="DI106" s="112"/>
      <c r="DJ106" s="112"/>
      <c r="DK106" s="112"/>
      <c r="DL106" s="112"/>
      <c r="DM106" s="112"/>
      <c r="DN106" s="112"/>
    </row>
    <row r="107" spans="1:118" x14ac:dyDescent="0.25">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c r="BU107" s="112"/>
      <c r="BV107" s="112"/>
      <c r="BW107" s="112"/>
      <c r="BX107" s="112"/>
      <c r="BY107" s="112"/>
      <c r="BZ107" s="112"/>
      <c r="CA107" s="112"/>
      <c r="CB107" s="112"/>
      <c r="CC107" s="112"/>
      <c r="CD107" s="112"/>
      <c r="CE107" s="112"/>
      <c r="CF107" s="112"/>
      <c r="CG107" s="112"/>
      <c r="CH107" s="112"/>
      <c r="CI107" s="112"/>
      <c r="CJ107" s="112"/>
      <c r="CK107" s="112"/>
      <c r="CL107" s="112"/>
      <c r="CM107" s="112"/>
      <c r="CN107" s="112"/>
      <c r="CO107" s="112"/>
      <c r="CP107" s="112"/>
      <c r="CQ107" s="112"/>
      <c r="CR107" s="112"/>
      <c r="CS107" s="112"/>
      <c r="CT107" s="112"/>
      <c r="CU107" s="112"/>
      <c r="CV107" s="112"/>
      <c r="CW107" s="112"/>
      <c r="CX107" s="112"/>
      <c r="CY107" s="112"/>
      <c r="CZ107" s="112"/>
      <c r="DA107" s="112"/>
      <c r="DB107" s="112"/>
      <c r="DC107" s="112"/>
      <c r="DD107" s="112"/>
      <c r="DE107" s="112"/>
      <c r="DF107" s="112"/>
      <c r="DG107" s="112"/>
      <c r="DH107" s="112"/>
      <c r="DI107" s="112"/>
      <c r="DJ107" s="112"/>
      <c r="DK107" s="112"/>
      <c r="DL107" s="112"/>
      <c r="DM107" s="112"/>
      <c r="DN107" s="112"/>
    </row>
    <row r="108" spans="1:118" x14ac:dyDescent="0.25">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c r="BU108" s="112"/>
      <c r="BV108" s="112"/>
      <c r="BW108" s="112"/>
      <c r="BX108" s="112"/>
      <c r="BY108" s="112"/>
      <c r="BZ108" s="112"/>
      <c r="CA108" s="112"/>
      <c r="CB108" s="112"/>
      <c r="CC108" s="112"/>
      <c r="CD108" s="112"/>
      <c r="CE108" s="112"/>
      <c r="CF108" s="112"/>
      <c r="CG108" s="112"/>
      <c r="CH108" s="112"/>
      <c r="CI108" s="112"/>
      <c r="CJ108" s="112"/>
      <c r="CK108" s="112"/>
      <c r="CL108" s="112"/>
      <c r="CM108" s="112"/>
      <c r="CN108" s="112"/>
      <c r="CO108" s="112"/>
      <c r="CP108" s="112"/>
      <c r="CQ108" s="112"/>
      <c r="CR108" s="112"/>
      <c r="CS108" s="112"/>
      <c r="CT108" s="112"/>
      <c r="CU108" s="112"/>
      <c r="CV108" s="112"/>
      <c r="CW108" s="112"/>
      <c r="CX108" s="112"/>
      <c r="CY108" s="112"/>
      <c r="CZ108" s="112"/>
      <c r="DA108" s="112"/>
      <c r="DB108" s="112"/>
      <c r="DC108" s="112"/>
      <c r="DD108" s="112"/>
      <c r="DE108" s="112"/>
      <c r="DF108" s="112"/>
      <c r="DG108" s="112"/>
      <c r="DH108" s="112"/>
      <c r="DI108" s="112"/>
      <c r="DJ108" s="112"/>
      <c r="DK108" s="112"/>
      <c r="DL108" s="112"/>
      <c r="DM108" s="112"/>
      <c r="DN108" s="112"/>
    </row>
    <row r="109" spans="1:118" x14ac:dyDescent="0.25">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c r="BU109" s="112"/>
      <c r="BV109" s="112"/>
      <c r="BW109" s="112"/>
      <c r="BX109" s="112"/>
      <c r="BY109" s="112"/>
      <c r="BZ109" s="112"/>
      <c r="CA109" s="112"/>
      <c r="CB109" s="112"/>
      <c r="CC109" s="112"/>
      <c r="CD109" s="112"/>
      <c r="CE109" s="112"/>
      <c r="CF109" s="112"/>
      <c r="CG109" s="112"/>
      <c r="CH109" s="112"/>
      <c r="CI109" s="112"/>
      <c r="CJ109" s="112"/>
      <c r="CK109" s="112"/>
      <c r="CL109" s="112"/>
      <c r="CM109" s="112"/>
      <c r="CN109" s="112"/>
      <c r="CO109" s="112"/>
      <c r="CP109" s="112"/>
      <c r="CQ109" s="112"/>
      <c r="CR109" s="112"/>
      <c r="CS109" s="112"/>
      <c r="CT109" s="112"/>
      <c r="CU109" s="112"/>
      <c r="CV109" s="112"/>
      <c r="CW109" s="112"/>
      <c r="CX109" s="112"/>
      <c r="CY109" s="112"/>
      <c r="CZ109" s="112"/>
      <c r="DA109" s="112"/>
      <c r="DB109" s="112"/>
      <c r="DC109" s="112"/>
      <c r="DD109" s="112"/>
      <c r="DE109" s="112"/>
      <c r="DF109" s="112"/>
      <c r="DG109" s="112"/>
      <c r="DH109" s="112"/>
      <c r="DI109" s="112"/>
      <c r="DJ109" s="112"/>
      <c r="DK109" s="112"/>
      <c r="DL109" s="112"/>
      <c r="DM109" s="112"/>
      <c r="DN109" s="112"/>
    </row>
    <row r="110" spans="1:118" x14ac:dyDescent="0.25">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c r="BU110" s="112"/>
      <c r="BV110" s="112"/>
      <c r="BW110" s="112"/>
      <c r="BX110" s="112"/>
      <c r="BY110" s="112"/>
      <c r="BZ110" s="112"/>
      <c r="CA110" s="112"/>
      <c r="CB110" s="112"/>
      <c r="CC110" s="112"/>
      <c r="CD110" s="112"/>
      <c r="CE110" s="112"/>
      <c r="CF110" s="112"/>
      <c r="CG110" s="112"/>
      <c r="CH110" s="112"/>
      <c r="CI110" s="112"/>
      <c r="CJ110" s="112"/>
      <c r="CK110" s="112"/>
      <c r="CL110" s="112"/>
      <c r="CM110" s="112"/>
      <c r="CN110" s="112"/>
      <c r="CO110" s="112"/>
      <c r="CP110" s="112"/>
      <c r="CQ110" s="112"/>
      <c r="CR110" s="112"/>
      <c r="CS110" s="112"/>
      <c r="CT110" s="112"/>
      <c r="CU110" s="112"/>
      <c r="CV110" s="112"/>
      <c r="CW110" s="112"/>
      <c r="CX110" s="112"/>
      <c r="CY110" s="112"/>
      <c r="CZ110" s="112"/>
      <c r="DA110" s="112"/>
      <c r="DB110" s="112"/>
      <c r="DC110" s="112"/>
      <c r="DD110" s="112"/>
      <c r="DE110" s="112"/>
      <c r="DF110" s="112"/>
      <c r="DG110" s="112"/>
      <c r="DH110" s="112"/>
      <c r="DI110" s="112"/>
      <c r="DJ110" s="112"/>
      <c r="DK110" s="112"/>
      <c r="DL110" s="112"/>
      <c r="DM110" s="112"/>
      <c r="DN110" s="112"/>
    </row>
    <row r="111" spans="1:118" x14ac:dyDescent="0.25">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c r="DA111" s="112"/>
      <c r="DB111" s="112"/>
      <c r="DC111" s="112"/>
      <c r="DD111" s="112"/>
      <c r="DE111" s="112"/>
      <c r="DF111" s="112"/>
      <c r="DG111" s="112"/>
      <c r="DH111" s="112"/>
      <c r="DI111" s="112"/>
      <c r="DJ111" s="112"/>
      <c r="DK111" s="112"/>
      <c r="DL111" s="112"/>
      <c r="DM111" s="112"/>
      <c r="DN111" s="112"/>
    </row>
    <row r="112" spans="1:118" x14ac:dyDescent="0.25">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c r="BR112" s="112"/>
      <c r="BS112" s="112"/>
      <c r="BT112" s="112"/>
      <c r="BU112" s="112"/>
      <c r="BV112" s="112"/>
      <c r="BW112" s="112"/>
      <c r="BX112" s="112"/>
      <c r="BY112" s="112"/>
      <c r="BZ112" s="112"/>
      <c r="CA112" s="112"/>
      <c r="CB112" s="112"/>
      <c r="CC112" s="112"/>
      <c r="CD112" s="112"/>
      <c r="CE112" s="112"/>
      <c r="CF112" s="112"/>
      <c r="CG112" s="112"/>
      <c r="CH112" s="112"/>
      <c r="CI112" s="112"/>
      <c r="CJ112" s="112"/>
      <c r="CK112" s="112"/>
      <c r="CL112" s="112"/>
      <c r="CM112" s="112"/>
      <c r="CN112" s="112"/>
      <c r="CO112" s="112"/>
      <c r="CP112" s="112"/>
      <c r="CQ112" s="112"/>
      <c r="CR112" s="112"/>
      <c r="CS112" s="112"/>
      <c r="CT112" s="112"/>
      <c r="CU112" s="112"/>
      <c r="CV112" s="112"/>
      <c r="CW112" s="112"/>
      <c r="CX112" s="112"/>
      <c r="CY112" s="112"/>
      <c r="CZ112" s="112"/>
      <c r="DA112" s="112"/>
      <c r="DB112" s="112"/>
      <c r="DC112" s="112"/>
      <c r="DD112" s="112"/>
      <c r="DE112" s="112"/>
      <c r="DF112" s="112"/>
      <c r="DG112" s="112"/>
      <c r="DH112" s="112"/>
      <c r="DI112" s="112"/>
      <c r="DJ112" s="112"/>
      <c r="DK112" s="112"/>
      <c r="DL112" s="112"/>
      <c r="DM112" s="112"/>
      <c r="DN112" s="112"/>
    </row>
    <row r="113" spans="1:118" x14ac:dyDescent="0.25">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c r="BR113" s="112"/>
      <c r="BS113" s="112"/>
      <c r="BT113" s="112"/>
      <c r="BU113" s="112"/>
      <c r="BV113" s="112"/>
      <c r="BW113" s="112"/>
      <c r="BX113" s="112"/>
      <c r="BY113" s="112"/>
      <c r="BZ113" s="112"/>
      <c r="CA113" s="112"/>
      <c r="CB113" s="112"/>
      <c r="CC113" s="112"/>
      <c r="CD113" s="112"/>
      <c r="CE113" s="112"/>
      <c r="CF113" s="112"/>
      <c r="CG113" s="112"/>
      <c r="CH113" s="112"/>
      <c r="CI113" s="112"/>
      <c r="CJ113" s="112"/>
      <c r="CK113" s="112"/>
      <c r="CL113" s="112"/>
      <c r="CM113" s="112"/>
      <c r="CN113" s="112"/>
      <c r="CO113" s="112"/>
      <c r="CP113" s="112"/>
      <c r="CQ113" s="112"/>
      <c r="CR113" s="112"/>
      <c r="CS113" s="112"/>
      <c r="CT113" s="112"/>
      <c r="CU113" s="112"/>
      <c r="CV113" s="112"/>
      <c r="CW113" s="112"/>
      <c r="CX113" s="112"/>
      <c r="CY113" s="112"/>
      <c r="CZ113" s="112"/>
      <c r="DA113" s="112"/>
      <c r="DB113" s="112"/>
      <c r="DC113" s="112"/>
      <c r="DD113" s="112"/>
      <c r="DE113" s="112"/>
      <c r="DF113" s="112"/>
      <c r="DG113" s="112"/>
      <c r="DH113" s="112"/>
      <c r="DI113" s="112"/>
      <c r="DJ113" s="112"/>
      <c r="DK113" s="112"/>
      <c r="DL113" s="112"/>
      <c r="DM113" s="112"/>
      <c r="DN113" s="112"/>
    </row>
    <row r="114" spans="1:118" x14ac:dyDescent="0.25">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c r="BR114" s="112"/>
      <c r="BS114" s="112"/>
      <c r="BT114" s="112"/>
      <c r="BU114" s="112"/>
      <c r="BV114" s="112"/>
      <c r="BW114" s="112"/>
      <c r="BX114" s="112"/>
      <c r="BY114" s="112"/>
      <c r="BZ114" s="112"/>
      <c r="CA114" s="112"/>
      <c r="CB114" s="112"/>
      <c r="CC114" s="112"/>
      <c r="CD114" s="112"/>
      <c r="CE114" s="112"/>
      <c r="CF114" s="112"/>
      <c r="CG114" s="112"/>
      <c r="CH114" s="112"/>
      <c r="CI114" s="112"/>
      <c r="CJ114" s="112"/>
      <c r="CK114" s="112"/>
      <c r="CL114" s="112"/>
      <c r="CM114" s="112"/>
      <c r="CN114" s="112"/>
      <c r="CO114" s="112"/>
      <c r="CP114" s="112"/>
      <c r="CQ114" s="112"/>
      <c r="CR114" s="112"/>
      <c r="CS114" s="112"/>
      <c r="CT114" s="112"/>
      <c r="CU114" s="112"/>
      <c r="CV114" s="112"/>
      <c r="CW114" s="112"/>
      <c r="CX114" s="112"/>
      <c r="CY114" s="112"/>
      <c r="CZ114" s="112"/>
      <c r="DA114" s="112"/>
      <c r="DB114" s="112"/>
      <c r="DC114" s="112"/>
      <c r="DD114" s="112"/>
      <c r="DE114" s="112"/>
      <c r="DF114" s="112"/>
      <c r="DG114" s="112"/>
      <c r="DH114" s="112"/>
      <c r="DI114" s="112"/>
      <c r="DJ114" s="112"/>
      <c r="DK114" s="112"/>
      <c r="DL114" s="112"/>
      <c r="DM114" s="112"/>
      <c r="DN114" s="112"/>
    </row>
    <row r="115" spans="1:118" x14ac:dyDescent="0.25">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c r="BR115" s="112"/>
      <c r="BS115" s="112"/>
      <c r="BT115" s="112"/>
      <c r="BU115" s="112"/>
      <c r="BV115" s="112"/>
      <c r="BW115" s="112"/>
      <c r="BX115" s="112"/>
      <c r="BY115" s="112"/>
      <c r="BZ115" s="112"/>
      <c r="CA115" s="112"/>
      <c r="CB115" s="112"/>
      <c r="CC115" s="112"/>
      <c r="CD115" s="112"/>
      <c r="CE115" s="112"/>
      <c r="CF115" s="112"/>
      <c r="CG115" s="112"/>
      <c r="CH115" s="112"/>
      <c r="CI115" s="112"/>
      <c r="CJ115" s="112"/>
      <c r="CK115" s="112"/>
      <c r="CL115" s="112"/>
      <c r="CM115" s="112"/>
      <c r="CN115" s="112"/>
      <c r="CO115" s="112"/>
      <c r="CP115" s="112"/>
      <c r="CQ115" s="112"/>
      <c r="CR115" s="112"/>
      <c r="CS115" s="112"/>
      <c r="CT115" s="112"/>
      <c r="CU115" s="112"/>
      <c r="CV115" s="112"/>
      <c r="CW115" s="112"/>
      <c r="CX115" s="112"/>
      <c r="CY115" s="112"/>
      <c r="CZ115" s="112"/>
      <c r="DA115" s="112"/>
      <c r="DB115" s="112"/>
      <c r="DC115" s="112"/>
      <c r="DD115" s="112"/>
      <c r="DE115" s="112"/>
      <c r="DF115" s="112"/>
      <c r="DG115" s="112"/>
      <c r="DH115" s="112"/>
      <c r="DI115" s="112"/>
      <c r="DJ115" s="112"/>
      <c r="DK115" s="112"/>
      <c r="DL115" s="112"/>
      <c r="DM115" s="112"/>
      <c r="DN115" s="112"/>
    </row>
    <row r="116" spans="1:118" x14ac:dyDescent="0.25">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c r="BU116" s="112"/>
      <c r="BV116" s="112"/>
      <c r="BW116" s="112"/>
      <c r="BX116" s="112"/>
      <c r="BY116" s="112"/>
      <c r="BZ116" s="112"/>
      <c r="CA116" s="112"/>
      <c r="CB116" s="112"/>
      <c r="CC116" s="112"/>
      <c r="CD116" s="112"/>
      <c r="CE116" s="112"/>
      <c r="CF116" s="112"/>
      <c r="CG116" s="112"/>
      <c r="CH116" s="112"/>
      <c r="CI116" s="112"/>
      <c r="CJ116" s="112"/>
      <c r="CK116" s="112"/>
      <c r="CL116" s="112"/>
      <c r="CM116" s="112"/>
      <c r="CN116" s="112"/>
      <c r="CO116" s="112"/>
      <c r="CP116" s="112"/>
      <c r="CQ116" s="112"/>
      <c r="CR116" s="112"/>
      <c r="CS116" s="112"/>
      <c r="CT116" s="112"/>
      <c r="CU116" s="112"/>
      <c r="CV116" s="112"/>
      <c r="CW116" s="112"/>
      <c r="CX116" s="112"/>
      <c r="CY116" s="112"/>
      <c r="CZ116" s="112"/>
      <c r="DA116" s="112"/>
      <c r="DB116" s="112"/>
      <c r="DC116" s="112"/>
      <c r="DD116" s="112"/>
      <c r="DE116" s="112"/>
      <c r="DF116" s="112"/>
      <c r="DG116" s="112"/>
      <c r="DH116" s="112"/>
      <c r="DI116" s="112"/>
      <c r="DJ116" s="112"/>
      <c r="DK116" s="112"/>
      <c r="DL116" s="112"/>
      <c r="DM116" s="112"/>
      <c r="DN116" s="112"/>
    </row>
    <row r="117" spans="1:118" x14ac:dyDescent="0.25">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c r="BU117" s="112"/>
      <c r="BV117" s="112"/>
      <c r="BW117" s="112"/>
      <c r="BX117" s="112"/>
      <c r="BY117" s="112"/>
      <c r="BZ117" s="112"/>
      <c r="CA117" s="112"/>
      <c r="CB117" s="112"/>
      <c r="CC117" s="112"/>
      <c r="CD117" s="112"/>
      <c r="CE117" s="112"/>
      <c r="CF117" s="112"/>
      <c r="CG117" s="112"/>
      <c r="CH117" s="112"/>
      <c r="CI117" s="112"/>
      <c r="CJ117" s="112"/>
      <c r="CK117" s="112"/>
      <c r="CL117" s="112"/>
      <c r="CM117" s="112"/>
      <c r="CN117" s="112"/>
      <c r="CO117" s="112"/>
      <c r="CP117" s="112"/>
      <c r="CQ117" s="112"/>
      <c r="CR117" s="112"/>
      <c r="CS117" s="112"/>
      <c r="CT117" s="112"/>
      <c r="CU117" s="112"/>
      <c r="CV117" s="112"/>
      <c r="CW117" s="112"/>
      <c r="CX117" s="112"/>
      <c r="CY117" s="112"/>
      <c r="CZ117" s="112"/>
      <c r="DA117" s="112"/>
      <c r="DB117" s="112"/>
      <c r="DC117" s="112"/>
      <c r="DD117" s="112"/>
      <c r="DE117" s="112"/>
      <c r="DF117" s="112"/>
      <c r="DG117" s="112"/>
      <c r="DH117" s="112"/>
      <c r="DI117" s="112"/>
      <c r="DJ117" s="112"/>
      <c r="DK117" s="112"/>
      <c r="DL117" s="112"/>
      <c r="DM117" s="112"/>
      <c r="DN117" s="112"/>
    </row>
    <row r="118" spans="1:118" x14ac:dyDescent="0.25">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c r="BU118" s="112"/>
      <c r="BV118" s="112"/>
      <c r="BW118" s="112"/>
      <c r="BX118" s="112"/>
      <c r="BY118" s="112"/>
      <c r="BZ118" s="112"/>
      <c r="CA118" s="112"/>
      <c r="CB118" s="112"/>
      <c r="CC118" s="112"/>
      <c r="CD118" s="112"/>
      <c r="CE118" s="112"/>
      <c r="CF118" s="112"/>
      <c r="CG118" s="112"/>
      <c r="CH118" s="112"/>
      <c r="CI118" s="112"/>
      <c r="CJ118" s="112"/>
      <c r="CK118" s="112"/>
      <c r="CL118" s="112"/>
      <c r="CM118" s="112"/>
      <c r="CN118" s="112"/>
      <c r="CO118" s="112"/>
      <c r="CP118" s="112"/>
      <c r="CQ118" s="112"/>
      <c r="CR118" s="112"/>
      <c r="CS118" s="112"/>
      <c r="CT118" s="112"/>
      <c r="CU118" s="112"/>
      <c r="CV118" s="112"/>
      <c r="CW118" s="112"/>
      <c r="CX118" s="112"/>
      <c r="CY118" s="112"/>
      <c r="CZ118" s="112"/>
      <c r="DA118" s="112"/>
      <c r="DB118" s="112"/>
      <c r="DC118" s="112"/>
      <c r="DD118" s="112"/>
      <c r="DE118" s="112"/>
      <c r="DF118" s="112"/>
      <c r="DG118" s="112"/>
      <c r="DH118" s="112"/>
      <c r="DI118" s="112"/>
      <c r="DJ118" s="112"/>
      <c r="DK118" s="112"/>
      <c r="DL118" s="112"/>
      <c r="DM118" s="112"/>
      <c r="DN118" s="112"/>
    </row>
    <row r="119" spans="1:118" x14ac:dyDescent="0.25">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c r="BU119" s="112"/>
      <c r="BV119" s="112"/>
      <c r="BW119" s="112"/>
      <c r="BX119" s="112"/>
      <c r="BY119" s="112"/>
      <c r="BZ119" s="112"/>
      <c r="CA119" s="112"/>
      <c r="CB119" s="112"/>
      <c r="CC119" s="112"/>
      <c r="CD119" s="112"/>
      <c r="CE119" s="112"/>
      <c r="CF119" s="112"/>
      <c r="CG119" s="112"/>
      <c r="CH119" s="112"/>
      <c r="CI119" s="112"/>
      <c r="CJ119" s="112"/>
      <c r="CK119" s="112"/>
      <c r="CL119" s="112"/>
      <c r="CM119" s="112"/>
      <c r="CN119" s="112"/>
      <c r="CO119" s="112"/>
      <c r="CP119" s="112"/>
      <c r="CQ119" s="112"/>
      <c r="CR119" s="112"/>
      <c r="CS119" s="112"/>
      <c r="CT119" s="112"/>
      <c r="CU119" s="112"/>
      <c r="CV119" s="112"/>
      <c r="CW119" s="112"/>
      <c r="CX119" s="112"/>
      <c r="CY119" s="112"/>
      <c r="CZ119" s="112"/>
      <c r="DA119" s="112"/>
      <c r="DB119" s="112"/>
      <c r="DC119" s="112"/>
      <c r="DD119" s="112"/>
      <c r="DE119" s="112"/>
      <c r="DF119" s="112"/>
      <c r="DG119" s="112"/>
      <c r="DH119" s="112"/>
      <c r="DI119" s="112"/>
      <c r="DJ119" s="112"/>
      <c r="DK119" s="112"/>
      <c r="DL119" s="112"/>
      <c r="DM119" s="112"/>
      <c r="DN119" s="112"/>
    </row>
    <row r="120" spans="1:118" x14ac:dyDescent="0.25">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c r="BU120" s="112"/>
      <c r="BV120" s="112"/>
      <c r="BW120" s="112"/>
      <c r="BX120" s="112"/>
      <c r="BY120" s="112"/>
      <c r="BZ120" s="112"/>
      <c r="CA120" s="112"/>
      <c r="CB120" s="112"/>
      <c r="CC120" s="112"/>
      <c r="CD120" s="112"/>
      <c r="CE120" s="112"/>
      <c r="CF120" s="112"/>
      <c r="CG120" s="112"/>
      <c r="CH120" s="112"/>
      <c r="CI120" s="112"/>
      <c r="CJ120" s="112"/>
      <c r="CK120" s="112"/>
      <c r="CL120" s="112"/>
      <c r="CM120" s="112"/>
      <c r="CN120" s="112"/>
      <c r="CO120" s="112"/>
      <c r="CP120" s="112"/>
      <c r="CQ120" s="112"/>
      <c r="CR120" s="112"/>
      <c r="CS120" s="112"/>
      <c r="CT120" s="112"/>
      <c r="CU120" s="112"/>
      <c r="CV120" s="112"/>
      <c r="CW120" s="112"/>
      <c r="CX120" s="112"/>
      <c r="CY120" s="112"/>
      <c r="CZ120" s="112"/>
      <c r="DA120" s="112"/>
      <c r="DB120" s="112"/>
      <c r="DC120" s="112"/>
      <c r="DD120" s="112"/>
      <c r="DE120" s="112"/>
      <c r="DF120" s="112"/>
      <c r="DG120" s="112"/>
      <c r="DH120" s="112"/>
      <c r="DI120" s="112"/>
      <c r="DJ120" s="112"/>
      <c r="DK120" s="112"/>
      <c r="DL120" s="112"/>
      <c r="DM120" s="112"/>
      <c r="DN120" s="112"/>
    </row>
    <row r="121" spans="1:118" x14ac:dyDescent="0.25">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12"/>
      <c r="BP121" s="112"/>
      <c r="BQ121" s="112"/>
      <c r="BR121" s="112"/>
      <c r="BS121" s="112"/>
      <c r="BT121" s="112"/>
      <c r="BU121" s="112"/>
      <c r="BV121" s="112"/>
      <c r="BW121" s="112"/>
      <c r="BX121" s="112"/>
      <c r="BY121" s="112"/>
      <c r="BZ121" s="112"/>
      <c r="CA121" s="112"/>
      <c r="CB121" s="112"/>
      <c r="CC121" s="112"/>
      <c r="CD121" s="112"/>
      <c r="CE121" s="112"/>
      <c r="CF121" s="112"/>
      <c r="CG121" s="112"/>
      <c r="CH121" s="112"/>
      <c r="CI121" s="112"/>
      <c r="CJ121" s="112"/>
      <c r="CK121" s="112"/>
      <c r="CL121" s="112"/>
      <c r="CM121" s="112"/>
      <c r="CN121" s="112"/>
      <c r="CO121" s="112"/>
      <c r="CP121" s="112"/>
      <c r="CQ121" s="112"/>
      <c r="CR121" s="112"/>
      <c r="CS121" s="112"/>
      <c r="CT121" s="112"/>
      <c r="CU121" s="112"/>
      <c r="CV121" s="112"/>
      <c r="CW121" s="112"/>
      <c r="CX121" s="112"/>
      <c r="CY121" s="112"/>
      <c r="CZ121" s="112"/>
      <c r="DA121" s="112"/>
      <c r="DB121" s="112"/>
      <c r="DC121" s="112"/>
      <c r="DD121" s="112"/>
      <c r="DE121" s="112"/>
      <c r="DF121" s="112"/>
      <c r="DG121" s="112"/>
      <c r="DH121" s="112"/>
      <c r="DI121" s="112"/>
      <c r="DJ121" s="112"/>
      <c r="DK121" s="112"/>
      <c r="DL121" s="112"/>
      <c r="DM121" s="112"/>
      <c r="DN121" s="112"/>
    </row>
    <row r="122" spans="1:118" x14ac:dyDescent="0.25">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c r="BU122" s="112"/>
      <c r="BV122" s="112"/>
      <c r="BW122" s="112"/>
      <c r="BX122" s="112"/>
      <c r="BY122" s="112"/>
      <c r="BZ122" s="112"/>
      <c r="CA122" s="112"/>
      <c r="CB122" s="112"/>
      <c r="CC122" s="112"/>
      <c r="CD122" s="112"/>
      <c r="CE122" s="112"/>
      <c r="CF122" s="112"/>
      <c r="CG122" s="112"/>
      <c r="CH122" s="112"/>
      <c r="CI122" s="112"/>
      <c r="CJ122" s="112"/>
      <c r="CK122" s="112"/>
      <c r="CL122" s="112"/>
      <c r="CM122" s="112"/>
      <c r="CN122" s="112"/>
      <c r="CO122" s="112"/>
      <c r="CP122" s="112"/>
      <c r="CQ122" s="112"/>
      <c r="CR122" s="112"/>
      <c r="CS122" s="112"/>
      <c r="CT122" s="112"/>
      <c r="CU122" s="112"/>
      <c r="CV122" s="112"/>
      <c r="CW122" s="112"/>
      <c r="CX122" s="112"/>
      <c r="CY122" s="112"/>
      <c r="CZ122" s="112"/>
      <c r="DA122" s="112"/>
      <c r="DB122" s="112"/>
      <c r="DC122" s="112"/>
      <c r="DD122" s="112"/>
      <c r="DE122" s="112"/>
      <c r="DF122" s="112"/>
      <c r="DG122" s="112"/>
      <c r="DH122" s="112"/>
      <c r="DI122" s="112"/>
      <c r="DJ122" s="112"/>
      <c r="DK122" s="112"/>
      <c r="DL122" s="112"/>
      <c r="DM122" s="112"/>
      <c r="DN122" s="112"/>
    </row>
    <row r="123" spans="1:118" x14ac:dyDescent="0.25">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c r="BU123" s="112"/>
      <c r="BV123" s="112"/>
      <c r="BW123" s="112"/>
      <c r="BX123" s="112"/>
      <c r="BY123" s="112"/>
      <c r="BZ123" s="112"/>
      <c r="CA123" s="112"/>
      <c r="CB123" s="112"/>
      <c r="CC123" s="112"/>
      <c r="CD123" s="112"/>
      <c r="CE123" s="112"/>
      <c r="CF123" s="112"/>
      <c r="CG123" s="112"/>
      <c r="CH123" s="112"/>
      <c r="CI123" s="112"/>
      <c r="CJ123" s="112"/>
      <c r="CK123" s="112"/>
      <c r="CL123" s="112"/>
      <c r="CM123" s="112"/>
      <c r="CN123" s="112"/>
      <c r="CO123" s="112"/>
      <c r="CP123" s="112"/>
      <c r="CQ123" s="112"/>
      <c r="CR123" s="112"/>
      <c r="CS123" s="112"/>
      <c r="CT123" s="112"/>
      <c r="CU123" s="112"/>
      <c r="CV123" s="112"/>
      <c r="CW123" s="112"/>
      <c r="CX123" s="112"/>
      <c r="CY123" s="112"/>
      <c r="CZ123" s="112"/>
      <c r="DA123" s="112"/>
      <c r="DB123" s="112"/>
      <c r="DC123" s="112"/>
      <c r="DD123" s="112"/>
      <c r="DE123" s="112"/>
      <c r="DF123" s="112"/>
      <c r="DG123" s="112"/>
      <c r="DH123" s="112"/>
      <c r="DI123" s="112"/>
      <c r="DJ123" s="112"/>
      <c r="DK123" s="112"/>
      <c r="DL123" s="112"/>
      <c r="DM123" s="112"/>
      <c r="DN123" s="112"/>
    </row>
    <row r="124" spans="1:118" x14ac:dyDescent="0.25">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c r="BU124" s="112"/>
      <c r="BV124" s="112"/>
      <c r="BW124" s="112"/>
      <c r="BX124" s="112"/>
      <c r="BY124" s="112"/>
      <c r="BZ124" s="112"/>
      <c r="CA124" s="112"/>
      <c r="CB124" s="112"/>
      <c r="CC124" s="112"/>
      <c r="CD124" s="112"/>
      <c r="CE124" s="112"/>
      <c r="CF124" s="112"/>
      <c r="CG124" s="112"/>
      <c r="CH124" s="112"/>
      <c r="CI124" s="112"/>
      <c r="CJ124" s="112"/>
      <c r="CK124" s="112"/>
      <c r="CL124" s="112"/>
      <c r="CM124" s="112"/>
      <c r="CN124" s="112"/>
      <c r="CO124" s="112"/>
      <c r="CP124" s="112"/>
      <c r="CQ124" s="112"/>
      <c r="CR124" s="112"/>
      <c r="CS124" s="112"/>
      <c r="CT124" s="112"/>
      <c r="CU124" s="112"/>
      <c r="CV124" s="112"/>
      <c r="CW124" s="112"/>
      <c r="CX124" s="112"/>
      <c r="CY124" s="112"/>
      <c r="CZ124" s="112"/>
      <c r="DA124" s="112"/>
      <c r="DB124" s="112"/>
      <c r="DC124" s="112"/>
      <c r="DD124" s="112"/>
      <c r="DE124" s="112"/>
      <c r="DF124" s="112"/>
      <c r="DG124" s="112"/>
      <c r="DH124" s="112"/>
      <c r="DI124" s="112"/>
      <c r="DJ124" s="112"/>
      <c r="DK124" s="112"/>
      <c r="DL124" s="112"/>
      <c r="DM124" s="112"/>
      <c r="DN124" s="112"/>
    </row>
    <row r="125" spans="1:118" x14ac:dyDescent="0.25">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c r="BU125" s="112"/>
      <c r="BV125" s="112"/>
      <c r="BW125" s="112"/>
      <c r="BX125" s="112"/>
      <c r="BY125" s="112"/>
      <c r="BZ125" s="112"/>
      <c r="CA125" s="112"/>
      <c r="CB125" s="112"/>
      <c r="CC125" s="112"/>
      <c r="CD125" s="112"/>
      <c r="CE125" s="112"/>
      <c r="CF125" s="112"/>
      <c r="CG125" s="112"/>
      <c r="CH125" s="112"/>
      <c r="CI125" s="112"/>
      <c r="CJ125" s="112"/>
      <c r="CK125" s="112"/>
      <c r="CL125" s="112"/>
      <c r="CM125" s="112"/>
      <c r="CN125" s="112"/>
      <c r="CO125" s="112"/>
      <c r="CP125" s="112"/>
      <c r="CQ125" s="112"/>
      <c r="CR125" s="112"/>
      <c r="CS125" s="112"/>
      <c r="CT125" s="112"/>
      <c r="CU125" s="112"/>
      <c r="CV125" s="112"/>
      <c r="CW125" s="112"/>
      <c r="CX125" s="112"/>
      <c r="CY125" s="112"/>
      <c r="CZ125" s="112"/>
      <c r="DA125" s="112"/>
      <c r="DB125" s="112"/>
      <c r="DC125" s="112"/>
      <c r="DD125" s="112"/>
      <c r="DE125" s="112"/>
      <c r="DF125" s="112"/>
      <c r="DG125" s="112"/>
      <c r="DH125" s="112"/>
      <c r="DI125" s="112"/>
      <c r="DJ125" s="112"/>
      <c r="DK125" s="112"/>
      <c r="DL125" s="112"/>
      <c r="DM125" s="112"/>
      <c r="DN125" s="112"/>
    </row>
    <row r="126" spans="1:118" x14ac:dyDescent="0.25">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c r="BU126" s="112"/>
      <c r="BV126" s="112"/>
      <c r="BW126" s="112"/>
      <c r="BX126" s="112"/>
      <c r="BY126" s="112"/>
      <c r="BZ126" s="112"/>
      <c r="CA126" s="112"/>
      <c r="CB126" s="112"/>
      <c r="CC126" s="112"/>
      <c r="CD126" s="112"/>
      <c r="CE126" s="112"/>
      <c r="CF126" s="112"/>
      <c r="CG126" s="112"/>
      <c r="CH126" s="112"/>
      <c r="CI126" s="112"/>
      <c r="CJ126" s="112"/>
      <c r="CK126" s="112"/>
      <c r="CL126" s="112"/>
      <c r="CM126" s="112"/>
      <c r="CN126" s="112"/>
      <c r="CO126" s="112"/>
      <c r="CP126" s="112"/>
      <c r="CQ126" s="112"/>
      <c r="CR126" s="112"/>
      <c r="CS126" s="112"/>
      <c r="CT126" s="112"/>
      <c r="CU126" s="112"/>
      <c r="CV126" s="112"/>
      <c r="CW126" s="112"/>
      <c r="CX126" s="112"/>
      <c r="CY126" s="112"/>
      <c r="CZ126" s="112"/>
      <c r="DA126" s="112"/>
      <c r="DB126" s="112"/>
      <c r="DC126" s="112"/>
      <c r="DD126" s="112"/>
      <c r="DE126" s="112"/>
      <c r="DF126" s="112"/>
      <c r="DG126" s="112"/>
      <c r="DH126" s="112"/>
      <c r="DI126" s="112"/>
      <c r="DJ126" s="112"/>
      <c r="DK126" s="112"/>
      <c r="DL126" s="112"/>
      <c r="DM126" s="112"/>
      <c r="DN126" s="112"/>
    </row>
    <row r="127" spans="1:118" x14ac:dyDescent="0.25">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c r="BU127" s="112"/>
      <c r="BV127" s="112"/>
      <c r="BW127" s="112"/>
      <c r="BX127" s="112"/>
      <c r="BY127" s="112"/>
      <c r="BZ127" s="112"/>
      <c r="CA127" s="112"/>
      <c r="CB127" s="112"/>
      <c r="CC127" s="112"/>
      <c r="CD127" s="112"/>
      <c r="CE127" s="112"/>
      <c r="CF127" s="112"/>
      <c r="CG127" s="112"/>
      <c r="CH127" s="112"/>
      <c r="CI127" s="112"/>
      <c r="CJ127" s="112"/>
      <c r="CK127" s="112"/>
      <c r="CL127" s="112"/>
      <c r="CM127" s="112"/>
      <c r="CN127" s="112"/>
      <c r="CO127" s="112"/>
      <c r="CP127" s="112"/>
      <c r="CQ127" s="112"/>
      <c r="CR127" s="112"/>
      <c r="CS127" s="112"/>
      <c r="CT127" s="112"/>
      <c r="CU127" s="112"/>
      <c r="CV127" s="112"/>
      <c r="CW127" s="112"/>
      <c r="CX127" s="112"/>
      <c r="CY127" s="112"/>
      <c r="CZ127" s="112"/>
      <c r="DA127" s="112"/>
      <c r="DB127" s="112"/>
      <c r="DC127" s="112"/>
      <c r="DD127" s="112"/>
      <c r="DE127" s="112"/>
      <c r="DF127" s="112"/>
      <c r="DG127" s="112"/>
      <c r="DH127" s="112"/>
      <c r="DI127" s="112"/>
      <c r="DJ127" s="112"/>
      <c r="DK127" s="112"/>
      <c r="DL127" s="112"/>
      <c r="DM127" s="112"/>
      <c r="DN127" s="112"/>
    </row>
    <row r="128" spans="1:118" x14ac:dyDescent="0.25">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c r="BU128" s="112"/>
      <c r="BV128" s="112"/>
      <c r="BW128" s="112"/>
      <c r="BX128" s="112"/>
      <c r="BY128" s="112"/>
      <c r="BZ128" s="112"/>
      <c r="CA128" s="112"/>
      <c r="CB128" s="112"/>
      <c r="CC128" s="112"/>
      <c r="CD128" s="112"/>
      <c r="CE128" s="112"/>
      <c r="CF128" s="112"/>
      <c r="CG128" s="112"/>
      <c r="CH128" s="112"/>
      <c r="CI128" s="112"/>
      <c r="CJ128" s="112"/>
      <c r="CK128" s="112"/>
      <c r="CL128" s="112"/>
      <c r="CM128" s="112"/>
      <c r="CN128" s="112"/>
      <c r="CO128" s="112"/>
      <c r="CP128" s="112"/>
      <c r="CQ128" s="112"/>
      <c r="CR128" s="112"/>
      <c r="CS128" s="112"/>
      <c r="CT128" s="112"/>
      <c r="CU128" s="112"/>
      <c r="CV128" s="112"/>
      <c r="CW128" s="112"/>
      <c r="CX128" s="112"/>
      <c r="CY128" s="112"/>
      <c r="CZ128" s="112"/>
      <c r="DA128" s="112"/>
      <c r="DB128" s="112"/>
      <c r="DC128" s="112"/>
      <c r="DD128" s="112"/>
      <c r="DE128" s="112"/>
      <c r="DF128" s="112"/>
      <c r="DG128" s="112"/>
      <c r="DH128" s="112"/>
      <c r="DI128" s="112"/>
      <c r="DJ128" s="112"/>
      <c r="DK128" s="112"/>
      <c r="DL128" s="112"/>
      <c r="DM128" s="112"/>
      <c r="DN128" s="112"/>
    </row>
    <row r="129" spans="1:118" x14ac:dyDescent="0.25">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12"/>
      <c r="BP129" s="112"/>
      <c r="BQ129" s="112"/>
      <c r="BR129" s="112"/>
      <c r="BS129" s="112"/>
      <c r="BT129" s="112"/>
      <c r="BU129" s="112"/>
      <c r="BV129" s="112"/>
      <c r="BW129" s="112"/>
      <c r="BX129" s="112"/>
      <c r="BY129" s="112"/>
      <c r="BZ129" s="112"/>
      <c r="CA129" s="112"/>
      <c r="CB129" s="112"/>
      <c r="CC129" s="112"/>
      <c r="CD129" s="112"/>
      <c r="CE129" s="112"/>
      <c r="CF129" s="112"/>
      <c r="CG129" s="112"/>
      <c r="CH129" s="112"/>
      <c r="CI129" s="112"/>
      <c r="CJ129" s="112"/>
      <c r="CK129" s="112"/>
      <c r="CL129" s="112"/>
      <c r="CM129" s="112"/>
      <c r="CN129" s="112"/>
      <c r="CO129" s="112"/>
      <c r="CP129" s="112"/>
      <c r="CQ129" s="112"/>
      <c r="CR129" s="112"/>
      <c r="CS129" s="112"/>
      <c r="CT129" s="112"/>
      <c r="CU129" s="112"/>
      <c r="CV129" s="112"/>
      <c r="CW129" s="112"/>
      <c r="CX129" s="112"/>
      <c r="CY129" s="112"/>
      <c r="CZ129" s="112"/>
      <c r="DA129" s="112"/>
      <c r="DB129" s="112"/>
      <c r="DC129" s="112"/>
      <c r="DD129" s="112"/>
      <c r="DE129" s="112"/>
      <c r="DF129" s="112"/>
      <c r="DG129" s="112"/>
      <c r="DH129" s="112"/>
      <c r="DI129" s="112"/>
      <c r="DJ129" s="112"/>
      <c r="DK129" s="112"/>
      <c r="DL129" s="112"/>
      <c r="DM129" s="112"/>
      <c r="DN129" s="112"/>
    </row>
    <row r="130" spans="1:118" x14ac:dyDescent="0.25">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c r="BR130" s="112"/>
      <c r="BS130" s="112"/>
      <c r="BT130" s="112"/>
      <c r="BU130" s="112"/>
      <c r="BV130" s="112"/>
      <c r="BW130" s="112"/>
      <c r="BX130" s="112"/>
      <c r="BY130" s="112"/>
      <c r="BZ130" s="112"/>
      <c r="CA130" s="112"/>
      <c r="CB130" s="112"/>
      <c r="CC130" s="112"/>
      <c r="CD130" s="112"/>
      <c r="CE130" s="112"/>
      <c r="CF130" s="112"/>
      <c r="CG130" s="112"/>
      <c r="CH130" s="112"/>
      <c r="CI130" s="112"/>
      <c r="CJ130" s="112"/>
      <c r="CK130" s="112"/>
      <c r="CL130" s="112"/>
      <c r="CM130" s="112"/>
      <c r="CN130" s="112"/>
      <c r="CO130" s="112"/>
      <c r="CP130" s="112"/>
      <c r="CQ130" s="112"/>
      <c r="CR130" s="112"/>
      <c r="CS130" s="112"/>
      <c r="CT130" s="112"/>
      <c r="CU130" s="112"/>
      <c r="CV130" s="112"/>
      <c r="CW130" s="112"/>
      <c r="CX130" s="112"/>
      <c r="CY130" s="112"/>
      <c r="CZ130" s="112"/>
      <c r="DA130" s="112"/>
      <c r="DB130" s="112"/>
      <c r="DC130" s="112"/>
      <c r="DD130" s="112"/>
      <c r="DE130" s="112"/>
      <c r="DF130" s="112"/>
      <c r="DG130" s="112"/>
      <c r="DH130" s="112"/>
      <c r="DI130" s="112"/>
      <c r="DJ130" s="112"/>
      <c r="DK130" s="112"/>
      <c r="DL130" s="112"/>
      <c r="DM130" s="112"/>
      <c r="DN130" s="112"/>
    </row>
    <row r="131" spans="1:118" x14ac:dyDescent="0.25">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c r="CA131" s="112"/>
      <c r="CB131" s="112"/>
      <c r="CC131" s="112"/>
      <c r="CD131" s="112"/>
      <c r="CE131" s="112"/>
      <c r="CF131" s="112"/>
      <c r="CG131" s="112"/>
      <c r="CH131" s="112"/>
      <c r="CI131" s="112"/>
      <c r="CJ131" s="112"/>
      <c r="CK131" s="112"/>
      <c r="CL131" s="112"/>
      <c r="CM131" s="112"/>
      <c r="CN131" s="112"/>
      <c r="CO131" s="112"/>
      <c r="CP131" s="112"/>
      <c r="CQ131" s="112"/>
      <c r="CR131" s="112"/>
      <c r="CS131" s="112"/>
      <c r="CT131" s="112"/>
      <c r="CU131" s="112"/>
      <c r="CV131" s="112"/>
      <c r="CW131" s="112"/>
      <c r="CX131" s="112"/>
      <c r="CY131" s="112"/>
      <c r="CZ131" s="112"/>
      <c r="DA131" s="112"/>
      <c r="DB131" s="112"/>
      <c r="DC131" s="112"/>
      <c r="DD131" s="112"/>
      <c r="DE131" s="112"/>
      <c r="DF131" s="112"/>
      <c r="DG131" s="112"/>
      <c r="DH131" s="112"/>
      <c r="DI131" s="112"/>
      <c r="DJ131" s="112"/>
      <c r="DK131" s="112"/>
      <c r="DL131" s="112"/>
      <c r="DM131" s="112"/>
      <c r="DN131" s="112"/>
    </row>
    <row r="132" spans="1:118" x14ac:dyDescent="0.25">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c r="BR132" s="112"/>
      <c r="BS132" s="112"/>
      <c r="BT132" s="112"/>
      <c r="BU132" s="112"/>
      <c r="BV132" s="112"/>
      <c r="BW132" s="112"/>
      <c r="BX132" s="112"/>
      <c r="BY132" s="112"/>
      <c r="BZ132" s="112"/>
      <c r="CA132" s="112"/>
      <c r="CB132" s="112"/>
      <c r="CC132" s="112"/>
      <c r="CD132" s="112"/>
      <c r="CE132" s="112"/>
      <c r="CF132" s="112"/>
      <c r="CG132" s="112"/>
      <c r="CH132" s="112"/>
      <c r="CI132" s="112"/>
      <c r="CJ132" s="112"/>
      <c r="CK132" s="112"/>
      <c r="CL132" s="112"/>
      <c r="CM132" s="112"/>
      <c r="CN132" s="112"/>
      <c r="CO132" s="112"/>
      <c r="CP132" s="112"/>
      <c r="CQ132" s="112"/>
      <c r="CR132" s="112"/>
      <c r="CS132" s="112"/>
      <c r="CT132" s="112"/>
      <c r="CU132" s="112"/>
      <c r="CV132" s="112"/>
      <c r="CW132" s="112"/>
      <c r="CX132" s="112"/>
      <c r="CY132" s="112"/>
      <c r="CZ132" s="112"/>
      <c r="DA132" s="112"/>
      <c r="DB132" s="112"/>
      <c r="DC132" s="112"/>
      <c r="DD132" s="112"/>
      <c r="DE132" s="112"/>
      <c r="DF132" s="112"/>
      <c r="DG132" s="112"/>
      <c r="DH132" s="112"/>
      <c r="DI132" s="112"/>
      <c r="DJ132" s="112"/>
      <c r="DK132" s="112"/>
      <c r="DL132" s="112"/>
      <c r="DM132" s="112"/>
      <c r="DN132" s="112"/>
    </row>
    <row r="133" spans="1:118" x14ac:dyDescent="0.25">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c r="BR133" s="112"/>
      <c r="BS133" s="112"/>
      <c r="BT133" s="112"/>
      <c r="BU133" s="112"/>
      <c r="BV133" s="112"/>
      <c r="BW133" s="112"/>
      <c r="BX133" s="112"/>
      <c r="BY133" s="112"/>
      <c r="BZ133" s="112"/>
      <c r="CA133" s="112"/>
      <c r="CB133" s="112"/>
      <c r="CC133" s="112"/>
      <c r="CD133" s="112"/>
      <c r="CE133" s="112"/>
      <c r="CF133" s="112"/>
      <c r="CG133" s="112"/>
      <c r="CH133" s="112"/>
      <c r="CI133" s="112"/>
      <c r="CJ133" s="112"/>
      <c r="CK133" s="112"/>
      <c r="CL133" s="112"/>
      <c r="CM133" s="112"/>
      <c r="CN133" s="112"/>
      <c r="CO133" s="112"/>
      <c r="CP133" s="112"/>
      <c r="CQ133" s="112"/>
      <c r="CR133" s="112"/>
      <c r="CS133" s="112"/>
      <c r="CT133" s="112"/>
      <c r="CU133" s="112"/>
      <c r="CV133" s="112"/>
      <c r="CW133" s="112"/>
      <c r="CX133" s="112"/>
      <c r="CY133" s="112"/>
      <c r="CZ133" s="112"/>
      <c r="DA133" s="112"/>
      <c r="DB133" s="112"/>
      <c r="DC133" s="112"/>
      <c r="DD133" s="112"/>
      <c r="DE133" s="112"/>
      <c r="DF133" s="112"/>
      <c r="DG133" s="112"/>
      <c r="DH133" s="112"/>
      <c r="DI133" s="112"/>
      <c r="DJ133" s="112"/>
      <c r="DK133" s="112"/>
      <c r="DL133" s="112"/>
      <c r="DM133" s="112"/>
      <c r="DN133" s="112"/>
    </row>
    <row r="134" spans="1:118" x14ac:dyDescent="0.25">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c r="BR134" s="112"/>
      <c r="BS134" s="112"/>
      <c r="BT134" s="112"/>
      <c r="BU134" s="112"/>
      <c r="BV134" s="112"/>
      <c r="BW134" s="112"/>
      <c r="BX134" s="112"/>
      <c r="BY134" s="112"/>
      <c r="BZ134" s="112"/>
      <c r="CA134" s="112"/>
      <c r="CB134" s="112"/>
      <c r="CC134" s="112"/>
      <c r="CD134" s="112"/>
      <c r="CE134" s="112"/>
      <c r="CF134" s="112"/>
      <c r="CG134" s="112"/>
      <c r="CH134" s="112"/>
      <c r="CI134" s="112"/>
      <c r="CJ134" s="112"/>
      <c r="CK134" s="112"/>
      <c r="CL134" s="112"/>
      <c r="CM134" s="112"/>
      <c r="CN134" s="112"/>
      <c r="CO134" s="112"/>
      <c r="CP134" s="112"/>
      <c r="CQ134" s="112"/>
      <c r="CR134" s="112"/>
      <c r="CS134" s="112"/>
      <c r="CT134" s="112"/>
      <c r="CU134" s="112"/>
      <c r="CV134" s="112"/>
      <c r="CW134" s="112"/>
      <c r="CX134" s="112"/>
      <c r="CY134" s="112"/>
      <c r="CZ134" s="112"/>
      <c r="DA134" s="112"/>
      <c r="DB134" s="112"/>
      <c r="DC134" s="112"/>
      <c r="DD134" s="112"/>
      <c r="DE134" s="112"/>
      <c r="DF134" s="112"/>
      <c r="DG134" s="112"/>
      <c r="DH134" s="112"/>
      <c r="DI134" s="112"/>
      <c r="DJ134" s="112"/>
      <c r="DK134" s="112"/>
      <c r="DL134" s="112"/>
      <c r="DM134" s="112"/>
      <c r="DN134" s="112"/>
    </row>
    <row r="135" spans="1:118" x14ac:dyDescent="0.25">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c r="BR135" s="112"/>
      <c r="BS135" s="112"/>
      <c r="BT135" s="112"/>
      <c r="BU135" s="112"/>
      <c r="BV135" s="112"/>
      <c r="BW135" s="112"/>
      <c r="BX135" s="112"/>
      <c r="BY135" s="112"/>
      <c r="BZ135" s="112"/>
      <c r="CA135" s="112"/>
      <c r="CB135" s="112"/>
      <c r="CC135" s="112"/>
      <c r="CD135" s="112"/>
      <c r="CE135" s="112"/>
      <c r="CF135" s="112"/>
      <c r="CG135" s="112"/>
      <c r="CH135" s="112"/>
      <c r="CI135" s="112"/>
      <c r="CJ135" s="112"/>
      <c r="CK135" s="112"/>
      <c r="CL135" s="112"/>
      <c r="CM135" s="112"/>
      <c r="CN135" s="112"/>
      <c r="CO135" s="112"/>
      <c r="CP135" s="112"/>
      <c r="CQ135" s="112"/>
      <c r="CR135" s="112"/>
      <c r="CS135" s="112"/>
      <c r="CT135" s="112"/>
      <c r="CU135" s="112"/>
      <c r="CV135" s="112"/>
      <c r="CW135" s="112"/>
      <c r="CX135" s="112"/>
      <c r="CY135" s="112"/>
      <c r="CZ135" s="112"/>
      <c r="DA135" s="112"/>
      <c r="DB135" s="112"/>
      <c r="DC135" s="112"/>
      <c r="DD135" s="112"/>
      <c r="DE135" s="112"/>
      <c r="DF135" s="112"/>
      <c r="DG135" s="112"/>
      <c r="DH135" s="112"/>
      <c r="DI135" s="112"/>
      <c r="DJ135" s="112"/>
      <c r="DK135" s="112"/>
      <c r="DL135" s="112"/>
      <c r="DM135" s="112"/>
      <c r="DN135" s="112"/>
    </row>
    <row r="136" spans="1:118" x14ac:dyDescent="0.25">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CA136" s="112"/>
      <c r="CB136" s="112"/>
      <c r="CC136" s="112"/>
      <c r="CD136" s="112"/>
      <c r="CE136" s="112"/>
      <c r="CF136" s="112"/>
      <c r="CG136" s="112"/>
      <c r="CH136" s="112"/>
      <c r="CI136" s="112"/>
      <c r="CJ136" s="112"/>
      <c r="CK136" s="112"/>
      <c r="CL136" s="112"/>
      <c r="CM136" s="112"/>
      <c r="CN136" s="112"/>
      <c r="CO136" s="112"/>
      <c r="CP136" s="112"/>
      <c r="CQ136" s="112"/>
      <c r="CR136" s="112"/>
      <c r="CS136" s="112"/>
      <c r="CT136" s="112"/>
      <c r="CU136" s="112"/>
      <c r="CV136" s="112"/>
      <c r="CW136" s="112"/>
      <c r="CX136" s="112"/>
      <c r="CY136" s="112"/>
      <c r="CZ136" s="112"/>
      <c r="DA136" s="112"/>
      <c r="DB136" s="112"/>
      <c r="DC136" s="112"/>
      <c r="DD136" s="112"/>
      <c r="DE136" s="112"/>
      <c r="DF136" s="112"/>
      <c r="DG136" s="112"/>
      <c r="DH136" s="112"/>
      <c r="DI136" s="112"/>
      <c r="DJ136" s="112"/>
      <c r="DK136" s="112"/>
      <c r="DL136" s="112"/>
      <c r="DM136" s="112"/>
      <c r="DN136" s="112"/>
    </row>
    <row r="137" spans="1:118" x14ac:dyDescent="0.25">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c r="BR137" s="112"/>
      <c r="BS137" s="112"/>
      <c r="BT137" s="112"/>
      <c r="BU137" s="112"/>
      <c r="BV137" s="112"/>
      <c r="BW137" s="112"/>
      <c r="BX137" s="112"/>
      <c r="BY137" s="112"/>
      <c r="BZ137" s="112"/>
      <c r="CA137" s="112"/>
      <c r="CB137" s="112"/>
      <c r="CC137" s="112"/>
      <c r="CD137" s="112"/>
      <c r="CE137" s="112"/>
      <c r="CF137" s="112"/>
      <c r="CG137" s="112"/>
      <c r="CH137" s="112"/>
      <c r="CI137" s="112"/>
      <c r="CJ137" s="112"/>
      <c r="CK137" s="112"/>
      <c r="CL137" s="112"/>
      <c r="CM137" s="112"/>
      <c r="CN137" s="112"/>
      <c r="CO137" s="112"/>
      <c r="CP137" s="112"/>
      <c r="CQ137" s="112"/>
      <c r="CR137" s="112"/>
      <c r="CS137" s="112"/>
      <c r="CT137" s="112"/>
      <c r="CU137" s="112"/>
      <c r="CV137" s="112"/>
      <c r="CW137" s="112"/>
      <c r="CX137" s="112"/>
      <c r="CY137" s="112"/>
      <c r="CZ137" s="112"/>
      <c r="DA137" s="112"/>
      <c r="DB137" s="112"/>
      <c r="DC137" s="112"/>
      <c r="DD137" s="112"/>
      <c r="DE137" s="112"/>
      <c r="DF137" s="112"/>
      <c r="DG137" s="112"/>
      <c r="DH137" s="112"/>
      <c r="DI137" s="112"/>
      <c r="DJ137" s="112"/>
      <c r="DK137" s="112"/>
      <c r="DL137" s="112"/>
      <c r="DM137" s="112"/>
      <c r="DN137" s="112"/>
    </row>
    <row r="138" spans="1:118" x14ac:dyDescent="0.25">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c r="BR138" s="112"/>
      <c r="BS138" s="112"/>
      <c r="BT138" s="112"/>
      <c r="BU138" s="112"/>
      <c r="BV138" s="112"/>
      <c r="BW138" s="112"/>
      <c r="BX138" s="112"/>
      <c r="BY138" s="112"/>
      <c r="BZ138" s="112"/>
      <c r="CA138" s="112"/>
      <c r="CB138" s="112"/>
      <c r="CC138" s="112"/>
      <c r="CD138" s="112"/>
      <c r="CE138" s="112"/>
      <c r="CF138" s="112"/>
      <c r="CG138" s="112"/>
      <c r="CH138" s="112"/>
      <c r="CI138" s="112"/>
      <c r="CJ138" s="112"/>
      <c r="CK138" s="112"/>
      <c r="CL138" s="112"/>
      <c r="CM138" s="112"/>
      <c r="CN138" s="112"/>
      <c r="CO138" s="112"/>
      <c r="CP138" s="112"/>
      <c r="CQ138" s="112"/>
      <c r="CR138" s="112"/>
      <c r="CS138" s="112"/>
      <c r="CT138" s="112"/>
      <c r="CU138" s="112"/>
      <c r="CV138" s="112"/>
      <c r="CW138" s="112"/>
      <c r="CX138" s="112"/>
      <c r="CY138" s="112"/>
      <c r="CZ138" s="112"/>
      <c r="DA138" s="112"/>
      <c r="DB138" s="112"/>
      <c r="DC138" s="112"/>
      <c r="DD138" s="112"/>
      <c r="DE138" s="112"/>
      <c r="DF138" s="112"/>
      <c r="DG138" s="112"/>
      <c r="DH138" s="112"/>
      <c r="DI138" s="112"/>
      <c r="DJ138" s="112"/>
      <c r="DK138" s="112"/>
      <c r="DL138" s="112"/>
      <c r="DM138" s="112"/>
      <c r="DN138" s="112"/>
    </row>
    <row r="139" spans="1:118" x14ac:dyDescent="0.25">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c r="BR139" s="112"/>
      <c r="BS139" s="112"/>
      <c r="BT139" s="112"/>
      <c r="BU139" s="112"/>
      <c r="BV139" s="112"/>
      <c r="BW139" s="112"/>
      <c r="BX139" s="112"/>
      <c r="BY139" s="112"/>
      <c r="BZ139" s="112"/>
      <c r="CA139" s="112"/>
      <c r="CB139" s="112"/>
      <c r="CC139" s="112"/>
      <c r="CD139" s="112"/>
      <c r="CE139" s="112"/>
      <c r="CF139" s="112"/>
      <c r="CG139" s="112"/>
      <c r="CH139" s="112"/>
      <c r="CI139" s="112"/>
      <c r="CJ139" s="112"/>
      <c r="CK139" s="112"/>
      <c r="CL139" s="112"/>
      <c r="CM139" s="112"/>
      <c r="CN139" s="112"/>
      <c r="CO139" s="112"/>
      <c r="CP139" s="112"/>
      <c r="CQ139" s="112"/>
      <c r="CR139" s="112"/>
      <c r="CS139" s="112"/>
      <c r="CT139" s="112"/>
      <c r="CU139" s="112"/>
      <c r="CV139" s="112"/>
      <c r="CW139" s="112"/>
      <c r="CX139" s="112"/>
      <c r="CY139" s="112"/>
      <c r="CZ139" s="112"/>
      <c r="DA139" s="112"/>
      <c r="DB139" s="112"/>
      <c r="DC139" s="112"/>
      <c r="DD139" s="112"/>
      <c r="DE139" s="112"/>
      <c r="DF139" s="112"/>
      <c r="DG139" s="112"/>
      <c r="DH139" s="112"/>
      <c r="DI139" s="112"/>
      <c r="DJ139" s="112"/>
      <c r="DK139" s="112"/>
      <c r="DL139" s="112"/>
      <c r="DM139" s="112"/>
      <c r="DN139" s="112"/>
    </row>
    <row r="140" spans="1:118" x14ac:dyDescent="0.25">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c r="BR140" s="112"/>
      <c r="BS140" s="112"/>
      <c r="BT140" s="112"/>
      <c r="BU140" s="112"/>
      <c r="BV140" s="112"/>
      <c r="BW140" s="112"/>
      <c r="BX140" s="112"/>
      <c r="BY140" s="112"/>
      <c r="BZ140" s="112"/>
      <c r="CA140" s="112"/>
      <c r="CB140" s="112"/>
      <c r="CC140" s="112"/>
      <c r="CD140" s="112"/>
      <c r="CE140" s="112"/>
      <c r="CF140" s="112"/>
      <c r="CG140" s="112"/>
      <c r="CH140" s="112"/>
      <c r="CI140" s="112"/>
      <c r="CJ140" s="112"/>
      <c r="CK140" s="112"/>
      <c r="CL140" s="112"/>
      <c r="CM140" s="112"/>
      <c r="CN140" s="112"/>
      <c r="CO140" s="112"/>
      <c r="CP140" s="112"/>
      <c r="CQ140" s="112"/>
      <c r="CR140" s="112"/>
      <c r="CS140" s="112"/>
      <c r="CT140" s="112"/>
      <c r="CU140" s="112"/>
      <c r="CV140" s="112"/>
      <c r="CW140" s="112"/>
      <c r="CX140" s="112"/>
      <c r="CY140" s="112"/>
      <c r="CZ140" s="112"/>
      <c r="DA140" s="112"/>
      <c r="DB140" s="112"/>
      <c r="DC140" s="112"/>
      <c r="DD140" s="112"/>
      <c r="DE140" s="112"/>
      <c r="DF140" s="112"/>
      <c r="DG140" s="112"/>
      <c r="DH140" s="112"/>
      <c r="DI140" s="112"/>
      <c r="DJ140" s="112"/>
      <c r="DK140" s="112"/>
      <c r="DL140" s="112"/>
      <c r="DM140" s="112"/>
      <c r="DN140" s="112"/>
    </row>
    <row r="141" spans="1:118" x14ac:dyDescent="0.25">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CA141" s="112"/>
      <c r="CB141" s="112"/>
      <c r="CC141" s="112"/>
      <c r="CD141" s="112"/>
      <c r="CE141" s="112"/>
      <c r="CF141" s="112"/>
      <c r="CG141" s="112"/>
      <c r="CH141" s="112"/>
      <c r="CI141" s="112"/>
      <c r="CJ141" s="112"/>
      <c r="CK141" s="112"/>
      <c r="CL141" s="112"/>
      <c r="CM141" s="112"/>
      <c r="CN141" s="112"/>
      <c r="CO141" s="112"/>
      <c r="CP141" s="112"/>
      <c r="CQ141" s="112"/>
      <c r="CR141" s="112"/>
      <c r="CS141" s="112"/>
      <c r="CT141" s="112"/>
      <c r="CU141" s="112"/>
      <c r="CV141" s="112"/>
      <c r="CW141" s="112"/>
      <c r="CX141" s="112"/>
      <c r="CY141" s="112"/>
      <c r="CZ141" s="112"/>
      <c r="DA141" s="112"/>
      <c r="DB141" s="112"/>
      <c r="DC141" s="112"/>
      <c r="DD141" s="112"/>
      <c r="DE141" s="112"/>
      <c r="DF141" s="112"/>
      <c r="DG141" s="112"/>
      <c r="DH141" s="112"/>
      <c r="DI141" s="112"/>
      <c r="DJ141" s="112"/>
      <c r="DK141" s="112"/>
      <c r="DL141" s="112"/>
      <c r="DM141" s="112"/>
      <c r="DN141" s="112"/>
    </row>
    <row r="142" spans="1:118" x14ac:dyDescent="0.25">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c r="BR142" s="112"/>
      <c r="BS142" s="112"/>
      <c r="BT142" s="112"/>
      <c r="BU142" s="112"/>
      <c r="BV142" s="112"/>
      <c r="BW142" s="112"/>
      <c r="BX142" s="112"/>
      <c r="BY142" s="112"/>
      <c r="BZ142" s="112"/>
      <c r="CA142" s="112"/>
      <c r="CB142" s="112"/>
      <c r="CC142" s="112"/>
      <c r="CD142" s="112"/>
      <c r="CE142" s="112"/>
      <c r="CF142" s="112"/>
      <c r="CG142" s="112"/>
      <c r="CH142" s="112"/>
      <c r="CI142" s="112"/>
      <c r="CJ142" s="112"/>
      <c r="CK142" s="112"/>
      <c r="CL142" s="112"/>
      <c r="CM142" s="112"/>
      <c r="CN142" s="112"/>
      <c r="CO142" s="112"/>
      <c r="CP142" s="112"/>
      <c r="CQ142" s="112"/>
      <c r="CR142" s="112"/>
      <c r="CS142" s="112"/>
      <c r="CT142" s="112"/>
      <c r="CU142" s="112"/>
      <c r="CV142" s="112"/>
      <c r="CW142" s="112"/>
      <c r="CX142" s="112"/>
      <c r="CY142" s="112"/>
      <c r="CZ142" s="112"/>
      <c r="DA142" s="112"/>
      <c r="DB142" s="112"/>
      <c r="DC142" s="112"/>
      <c r="DD142" s="112"/>
      <c r="DE142" s="112"/>
      <c r="DF142" s="112"/>
      <c r="DG142" s="112"/>
      <c r="DH142" s="112"/>
      <c r="DI142" s="112"/>
      <c r="DJ142" s="112"/>
      <c r="DK142" s="112"/>
      <c r="DL142" s="112"/>
      <c r="DM142" s="112"/>
      <c r="DN142" s="112"/>
    </row>
    <row r="143" spans="1:118" x14ac:dyDescent="0.25">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c r="CA143" s="112"/>
      <c r="CB143" s="112"/>
      <c r="CC143" s="112"/>
      <c r="CD143" s="112"/>
      <c r="CE143" s="112"/>
      <c r="CF143" s="112"/>
      <c r="CG143" s="112"/>
      <c r="CH143" s="112"/>
      <c r="CI143" s="112"/>
      <c r="CJ143" s="112"/>
      <c r="CK143" s="112"/>
      <c r="CL143" s="112"/>
      <c r="CM143" s="112"/>
      <c r="CN143" s="112"/>
      <c r="CO143" s="112"/>
      <c r="CP143" s="112"/>
      <c r="CQ143" s="112"/>
      <c r="CR143" s="112"/>
      <c r="CS143" s="112"/>
      <c r="CT143" s="112"/>
      <c r="CU143" s="112"/>
      <c r="CV143" s="112"/>
      <c r="CW143" s="112"/>
      <c r="CX143" s="112"/>
      <c r="CY143" s="112"/>
      <c r="CZ143" s="112"/>
      <c r="DA143" s="112"/>
      <c r="DB143" s="112"/>
      <c r="DC143" s="112"/>
      <c r="DD143" s="112"/>
      <c r="DE143" s="112"/>
      <c r="DF143" s="112"/>
      <c r="DG143" s="112"/>
      <c r="DH143" s="112"/>
      <c r="DI143" s="112"/>
      <c r="DJ143" s="112"/>
      <c r="DK143" s="112"/>
      <c r="DL143" s="112"/>
      <c r="DM143" s="112"/>
      <c r="DN143" s="112"/>
    </row>
    <row r="144" spans="1:118" x14ac:dyDescent="0.25">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CA144" s="112"/>
      <c r="CB144" s="112"/>
      <c r="CC144" s="112"/>
      <c r="CD144" s="112"/>
      <c r="CE144" s="112"/>
      <c r="CF144" s="112"/>
      <c r="CG144" s="112"/>
      <c r="CH144" s="112"/>
      <c r="CI144" s="112"/>
      <c r="CJ144" s="112"/>
      <c r="CK144" s="112"/>
      <c r="CL144" s="112"/>
      <c r="CM144" s="112"/>
      <c r="CN144" s="112"/>
      <c r="CO144" s="112"/>
      <c r="CP144" s="112"/>
      <c r="CQ144" s="112"/>
      <c r="CR144" s="112"/>
      <c r="CS144" s="112"/>
      <c r="CT144" s="112"/>
      <c r="CU144" s="112"/>
      <c r="CV144" s="112"/>
      <c r="CW144" s="112"/>
      <c r="CX144" s="112"/>
      <c r="CY144" s="112"/>
      <c r="CZ144" s="112"/>
      <c r="DA144" s="112"/>
      <c r="DB144" s="112"/>
      <c r="DC144" s="112"/>
      <c r="DD144" s="112"/>
      <c r="DE144" s="112"/>
      <c r="DF144" s="112"/>
      <c r="DG144" s="112"/>
      <c r="DH144" s="112"/>
      <c r="DI144" s="112"/>
      <c r="DJ144" s="112"/>
      <c r="DK144" s="112"/>
      <c r="DL144" s="112"/>
      <c r="DM144" s="112"/>
      <c r="DN144" s="112"/>
    </row>
    <row r="145" spans="1:118" x14ac:dyDescent="0.25">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CA145" s="112"/>
      <c r="CB145" s="112"/>
      <c r="CC145" s="112"/>
      <c r="CD145" s="112"/>
      <c r="CE145" s="112"/>
      <c r="CF145" s="112"/>
      <c r="CG145" s="112"/>
      <c r="CH145" s="112"/>
      <c r="CI145" s="112"/>
      <c r="CJ145" s="112"/>
      <c r="CK145" s="112"/>
      <c r="CL145" s="112"/>
      <c r="CM145" s="112"/>
      <c r="CN145" s="112"/>
      <c r="CO145" s="112"/>
      <c r="CP145" s="112"/>
      <c r="CQ145" s="112"/>
      <c r="CR145" s="112"/>
      <c r="CS145" s="112"/>
      <c r="CT145" s="112"/>
      <c r="CU145" s="112"/>
      <c r="CV145" s="112"/>
      <c r="CW145" s="112"/>
      <c r="CX145" s="112"/>
      <c r="CY145" s="112"/>
      <c r="CZ145" s="112"/>
      <c r="DA145" s="112"/>
      <c r="DB145" s="112"/>
      <c r="DC145" s="112"/>
      <c r="DD145" s="112"/>
      <c r="DE145" s="112"/>
      <c r="DF145" s="112"/>
      <c r="DG145" s="112"/>
      <c r="DH145" s="112"/>
      <c r="DI145" s="112"/>
      <c r="DJ145" s="112"/>
      <c r="DK145" s="112"/>
      <c r="DL145" s="112"/>
      <c r="DM145" s="112"/>
      <c r="DN145" s="112"/>
    </row>
    <row r="146" spans="1:118" x14ac:dyDescent="0.25">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c r="DA146" s="112"/>
      <c r="DB146" s="112"/>
      <c r="DC146" s="112"/>
      <c r="DD146" s="112"/>
      <c r="DE146" s="112"/>
      <c r="DF146" s="112"/>
      <c r="DG146" s="112"/>
      <c r="DH146" s="112"/>
      <c r="DI146" s="112"/>
      <c r="DJ146" s="112"/>
      <c r="DK146" s="112"/>
      <c r="DL146" s="112"/>
      <c r="DM146" s="112"/>
      <c r="DN146" s="112"/>
    </row>
    <row r="147" spans="1:118" x14ac:dyDescent="0.25">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c r="CA147" s="112"/>
      <c r="CB147" s="112"/>
      <c r="CC147" s="112"/>
      <c r="CD147" s="112"/>
      <c r="CE147" s="112"/>
      <c r="CF147" s="112"/>
      <c r="CG147" s="112"/>
      <c r="CH147" s="112"/>
      <c r="CI147" s="112"/>
      <c r="CJ147" s="112"/>
      <c r="CK147" s="112"/>
      <c r="CL147" s="112"/>
      <c r="CM147" s="112"/>
      <c r="CN147" s="112"/>
      <c r="CO147" s="112"/>
      <c r="CP147" s="112"/>
      <c r="CQ147" s="112"/>
      <c r="CR147" s="112"/>
      <c r="CS147" s="112"/>
      <c r="CT147" s="112"/>
      <c r="CU147" s="112"/>
      <c r="CV147" s="112"/>
      <c r="CW147" s="112"/>
      <c r="CX147" s="112"/>
      <c r="CY147" s="112"/>
      <c r="CZ147" s="112"/>
      <c r="DA147" s="112"/>
      <c r="DB147" s="112"/>
      <c r="DC147" s="112"/>
      <c r="DD147" s="112"/>
      <c r="DE147" s="112"/>
      <c r="DF147" s="112"/>
      <c r="DG147" s="112"/>
      <c r="DH147" s="112"/>
      <c r="DI147" s="112"/>
      <c r="DJ147" s="112"/>
      <c r="DK147" s="112"/>
      <c r="DL147" s="112"/>
      <c r="DM147" s="112"/>
      <c r="DN147" s="112"/>
    </row>
    <row r="148" spans="1:118" x14ac:dyDescent="0.25">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c r="CA148" s="112"/>
      <c r="CB148" s="112"/>
      <c r="CC148" s="112"/>
      <c r="CD148" s="112"/>
      <c r="CE148" s="112"/>
      <c r="CF148" s="112"/>
      <c r="CG148" s="112"/>
      <c r="CH148" s="112"/>
      <c r="CI148" s="112"/>
      <c r="CJ148" s="112"/>
      <c r="CK148" s="112"/>
      <c r="CL148" s="112"/>
      <c r="CM148" s="112"/>
      <c r="CN148" s="112"/>
      <c r="CO148" s="112"/>
      <c r="CP148" s="112"/>
      <c r="CQ148" s="112"/>
      <c r="CR148" s="112"/>
      <c r="CS148" s="112"/>
      <c r="CT148" s="112"/>
      <c r="CU148" s="112"/>
      <c r="CV148" s="112"/>
      <c r="CW148" s="112"/>
      <c r="CX148" s="112"/>
      <c r="CY148" s="112"/>
      <c r="CZ148" s="112"/>
      <c r="DA148" s="112"/>
      <c r="DB148" s="112"/>
      <c r="DC148" s="112"/>
      <c r="DD148" s="112"/>
      <c r="DE148" s="112"/>
      <c r="DF148" s="112"/>
      <c r="DG148" s="112"/>
      <c r="DH148" s="112"/>
      <c r="DI148" s="112"/>
      <c r="DJ148" s="112"/>
      <c r="DK148" s="112"/>
      <c r="DL148" s="112"/>
      <c r="DM148" s="112"/>
      <c r="DN148" s="112"/>
    </row>
    <row r="149" spans="1:118" x14ac:dyDescent="0.25">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c r="CA149" s="112"/>
      <c r="CB149" s="112"/>
      <c r="CC149" s="112"/>
      <c r="CD149" s="112"/>
      <c r="CE149" s="112"/>
      <c r="CF149" s="112"/>
      <c r="CG149" s="112"/>
      <c r="CH149" s="112"/>
      <c r="CI149" s="112"/>
      <c r="CJ149" s="112"/>
      <c r="CK149" s="112"/>
      <c r="CL149" s="112"/>
      <c r="CM149" s="112"/>
      <c r="CN149" s="112"/>
      <c r="CO149" s="112"/>
      <c r="CP149" s="112"/>
      <c r="CQ149" s="112"/>
      <c r="CR149" s="112"/>
      <c r="CS149" s="112"/>
      <c r="CT149" s="112"/>
      <c r="CU149" s="112"/>
      <c r="CV149" s="112"/>
      <c r="CW149" s="112"/>
      <c r="CX149" s="112"/>
      <c r="CY149" s="112"/>
      <c r="CZ149" s="112"/>
      <c r="DA149" s="112"/>
      <c r="DB149" s="112"/>
      <c r="DC149" s="112"/>
      <c r="DD149" s="112"/>
      <c r="DE149" s="112"/>
      <c r="DF149" s="112"/>
      <c r="DG149" s="112"/>
      <c r="DH149" s="112"/>
      <c r="DI149" s="112"/>
      <c r="DJ149" s="112"/>
      <c r="DK149" s="112"/>
      <c r="DL149" s="112"/>
      <c r="DM149" s="112"/>
      <c r="DN149" s="112"/>
    </row>
    <row r="150" spans="1:118" x14ac:dyDescent="0.25">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c r="BR150" s="112"/>
      <c r="BS150" s="112"/>
      <c r="BT150" s="112"/>
      <c r="BU150" s="112"/>
      <c r="BV150" s="112"/>
      <c r="BW150" s="112"/>
      <c r="BX150" s="112"/>
      <c r="BY150" s="112"/>
      <c r="BZ150" s="112"/>
      <c r="CA150" s="112"/>
      <c r="CB150" s="112"/>
      <c r="CC150" s="112"/>
      <c r="CD150" s="112"/>
      <c r="CE150" s="112"/>
      <c r="CF150" s="112"/>
      <c r="CG150" s="112"/>
      <c r="CH150" s="112"/>
      <c r="CI150" s="112"/>
      <c r="CJ150" s="112"/>
      <c r="CK150" s="112"/>
      <c r="CL150" s="112"/>
      <c r="CM150" s="112"/>
      <c r="CN150" s="112"/>
      <c r="CO150" s="112"/>
      <c r="CP150" s="112"/>
      <c r="CQ150" s="112"/>
      <c r="CR150" s="112"/>
      <c r="CS150" s="112"/>
      <c r="CT150" s="112"/>
      <c r="CU150" s="112"/>
      <c r="CV150" s="112"/>
      <c r="CW150" s="112"/>
      <c r="CX150" s="112"/>
      <c r="CY150" s="112"/>
      <c r="CZ150" s="112"/>
      <c r="DA150" s="112"/>
      <c r="DB150" s="112"/>
      <c r="DC150" s="112"/>
      <c r="DD150" s="112"/>
      <c r="DE150" s="112"/>
      <c r="DF150" s="112"/>
      <c r="DG150" s="112"/>
      <c r="DH150" s="112"/>
      <c r="DI150" s="112"/>
      <c r="DJ150" s="112"/>
      <c r="DK150" s="112"/>
      <c r="DL150" s="112"/>
      <c r="DM150" s="112"/>
      <c r="DN150" s="112"/>
    </row>
    <row r="151" spans="1:118" x14ac:dyDescent="0.25">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c r="BR151" s="112"/>
      <c r="BS151" s="112"/>
      <c r="BT151" s="112"/>
      <c r="BU151" s="112"/>
      <c r="BV151" s="112"/>
      <c r="BW151" s="112"/>
      <c r="BX151" s="112"/>
      <c r="BY151" s="112"/>
      <c r="BZ151" s="112"/>
      <c r="CA151" s="112"/>
      <c r="CB151" s="112"/>
      <c r="CC151" s="112"/>
      <c r="CD151" s="112"/>
      <c r="CE151" s="112"/>
      <c r="CF151" s="112"/>
      <c r="CG151" s="112"/>
      <c r="CH151" s="112"/>
      <c r="CI151" s="112"/>
      <c r="CJ151" s="112"/>
      <c r="CK151" s="112"/>
      <c r="CL151" s="112"/>
      <c r="CM151" s="112"/>
      <c r="CN151" s="112"/>
      <c r="CO151" s="112"/>
      <c r="CP151" s="112"/>
      <c r="CQ151" s="112"/>
      <c r="CR151" s="112"/>
      <c r="CS151" s="112"/>
      <c r="CT151" s="112"/>
      <c r="CU151" s="112"/>
      <c r="CV151" s="112"/>
      <c r="CW151" s="112"/>
      <c r="CX151" s="112"/>
      <c r="CY151" s="112"/>
      <c r="CZ151" s="112"/>
      <c r="DA151" s="112"/>
      <c r="DB151" s="112"/>
      <c r="DC151" s="112"/>
      <c r="DD151" s="112"/>
      <c r="DE151" s="112"/>
      <c r="DF151" s="112"/>
      <c r="DG151" s="112"/>
      <c r="DH151" s="112"/>
      <c r="DI151" s="112"/>
      <c r="DJ151" s="112"/>
      <c r="DK151" s="112"/>
      <c r="DL151" s="112"/>
      <c r="DM151" s="112"/>
      <c r="DN151" s="112"/>
    </row>
    <row r="152" spans="1:118" x14ac:dyDescent="0.25">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c r="BR152" s="112"/>
      <c r="BS152" s="112"/>
      <c r="BT152" s="112"/>
      <c r="BU152" s="112"/>
      <c r="BV152" s="112"/>
      <c r="BW152" s="112"/>
      <c r="BX152" s="112"/>
      <c r="BY152" s="112"/>
      <c r="BZ152" s="112"/>
      <c r="CA152" s="112"/>
      <c r="CB152" s="112"/>
      <c r="CC152" s="112"/>
      <c r="CD152" s="112"/>
      <c r="CE152" s="112"/>
      <c r="CF152" s="112"/>
      <c r="CG152" s="112"/>
      <c r="CH152" s="112"/>
      <c r="CI152" s="112"/>
      <c r="CJ152" s="112"/>
      <c r="CK152" s="112"/>
      <c r="CL152" s="112"/>
      <c r="CM152" s="112"/>
      <c r="CN152" s="112"/>
      <c r="CO152" s="112"/>
      <c r="CP152" s="112"/>
      <c r="CQ152" s="112"/>
      <c r="CR152" s="112"/>
      <c r="CS152" s="112"/>
      <c r="CT152" s="112"/>
      <c r="CU152" s="112"/>
      <c r="CV152" s="112"/>
      <c r="CW152" s="112"/>
      <c r="CX152" s="112"/>
      <c r="CY152" s="112"/>
      <c r="CZ152" s="112"/>
      <c r="DA152" s="112"/>
      <c r="DB152" s="112"/>
      <c r="DC152" s="112"/>
      <c r="DD152" s="112"/>
      <c r="DE152" s="112"/>
      <c r="DF152" s="112"/>
      <c r="DG152" s="112"/>
      <c r="DH152" s="112"/>
      <c r="DI152" s="112"/>
      <c r="DJ152" s="112"/>
      <c r="DK152" s="112"/>
      <c r="DL152" s="112"/>
      <c r="DM152" s="112"/>
      <c r="DN152" s="112"/>
    </row>
    <row r="153" spans="1:118" x14ac:dyDescent="0.25">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c r="BR153" s="112"/>
      <c r="BS153" s="112"/>
      <c r="BT153" s="112"/>
      <c r="BU153" s="112"/>
      <c r="BV153" s="112"/>
      <c r="BW153" s="112"/>
      <c r="BX153" s="112"/>
      <c r="BY153" s="112"/>
      <c r="BZ153" s="112"/>
      <c r="CA153" s="112"/>
      <c r="CB153" s="112"/>
      <c r="CC153" s="112"/>
      <c r="CD153" s="112"/>
      <c r="CE153" s="112"/>
      <c r="CF153" s="112"/>
      <c r="CG153" s="112"/>
      <c r="CH153" s="112"/>
      <c r="CI153" s="112"/>
      <c r="CJ153" s="112"/>
      <c r="CK153" s="112"/>
      <c r="CL153" s="112"/>
      <c r="CM153" s="112"/>
      <c r="CN153" s="112"/>
      <c r="CO153" s="112"/>
      <c r="CP153" s="112"/>
      <c r="CQ153" s="112"/>
      <c r="CR153" s="112"/>
      <c r="CS153" s="112"/>
      <c r="CT153" s="112"/>
      <c r="CU153" s="112"/>
      <c r="CV153" s="112"/>
      <c r="CW153" s="112"/>
      <c r="CX153" s="112"/>
      <c r="CY153" s="112"/>
      <c r="CZ153" s="112"/>
      <c r="DA153" s="112"/>
      <c r="DB153" s="112"/>
      <c r="DC153" s="112"/>
      <c r="DD153" s="112"/>
      <c r="DE153" s="112"/>
      <c r="DF153" s="112"/>
      <c r="DG153" s="112"/>
      <c r="DH153" s="112"/>
      <c r="DI153" s="112"/>
      <c r="DJ153" s="112"/>
      <c r="DK153" s="112"/>
      <c r="DL153" s="112"/>
      <c r="DM153" s="112"/>
      <c r="DN153" s="112"/>
    </row>
    <row r="154" spans="1:118" x14ac:dyDescent="0.25">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c r="BR154" s="112"/>
      <c r="BS154" s="112"/>
      <c r="BT154" s="112"/>
      <c r="BU154" s="112"/>
      <c r="BV154" s="112"/>
      <c r="BW154" s="112"/>
      <c r="BX154" s="112"/>
      <c r="BY154" s="112"/>
      <c r="BZ154" s="112"/>
      <c r="CA154" s="112"/>
      <c r="CB154" s="112"/>
      <c r="CC154" s="112"/>
      <c r="CD154" s="112"/>
      <c r="CE154" s="112"/>
      <c r="CF154" s="112"/>
      <c r="CG154" s="112"/>
      <c r="CH154" s="112"/>
      <c r="CI154" s="112"/>
      <c r="CJ154" s="112"/>
      <c r="CK154" s="112"/>
      <c r="CL154" s="112"/>
      <c r="CM154" s="112"/>
      <c r="CN154" s="112"/>
      <c r="CO154" s="112"/>
      <c r="CP154" s="112"/>
      <c r="CQ154" s="112"/>
      <c r="CR154" s="112"/>
      <c r="CS154" s="112"/>
      <c r="CT154" s="112"/>
      <c r="CU154" s="112"/>
      <c r="CV154" s="112"/>
      <c r="CW154" s="112"/>
      <c r="CX154" s="112"/>
      <c r="CY154" s="112"/>
      <c r="CZ154" s="112"/>
      <c r="DA154" s="112"/>
      <c r="DB154" s="112"/>
      <c r="DC154" s="112"/>
      <c r="DD154" s="112"/>
      <c r="DE154" s="112"/>
      <c r="DF154" s="112"/>
      <c r="DG154" s="112"/>
      <c r="DH154" s="112"/>
      <c r="DI154" s="112"/>
      <c r="DJ154" s="112"/>
      <c r="DK154" s="112"/>
      <c r="DL154" s="112"/>
      <c r="DM154" s="112"/>
      <c r="DN154" s="112"/>
    </row>
    <row r="155" spans="1:118" x14ac:dyDescent="0.25">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c r="BR155" s="112"/>
      <c r="BS155" s="112"/>
      <c r="BT155" s="112"/>
      <c r="BU155" s="112"/>
      <c r="BV155" s="112"/>
      <c r="BW155" s="112"/>
      <c r="BX155" s="112"/>
      <c r="BY155" s="112"/>
      <c r="BZ155" s="112"/>
      <c r="CA155" s="112"/>
      <c r="CB155" s="112"/>
      <c r="CC155" s="112"/>
      <c r="CD155" s="112"/>
      <c r="CE155" s="112"/>
      <c r="CF155" s="112"/>
      <c r="CG155" s="112"/>
      <c r="CH155" s="112"/>
      <c r="CI155" s="112"/>
      <c r="CJ155" s="112"/>
      <c r="CK155" s="112"/>
      <c r="CL155" s="112"/>
      <c r="CM155" s="112"/>
      <c r="CN155" s="112"/>
      <c r="CO155" s="112"/>
      <c r="CP155" s="112"/>
      <c r="CQ155" s="112"/>
      <c r="CR155" s="112"/>
      <c r="CS155" s="112"/>
      <c r="CT155" s="112"/>
      <c r="CU155" s="112"/>
      <c r="CV155" s="112"/>
      <c r="CW155" s="112"/>
      <c r="CX155" s="112"/>
      <c r="CY155" s="112"/>
      <c r="CZ155" s="112"/>
      <c r="DA155" s="112"/>
      <c r="DB155" s="112"/>
      <c r="DC155" s="112"/>
      <c r="DD155" s="112"/>
      <c r="DE155" s="112"/>
      <c r="DF155" s="112"/>
      <c r="DG155" s="112"/>
      <c r="DH155" s="112"/>
      <c r="DI155" s="112"/>
      <c r="DJ155" s="112"/>
      <c r="DK155" s="112"/>
      <c r="DL155" s="112"/>
      <c r="DM155" s="112"/>
      <c r="DN155" s="112"/>
    </row>
    <row r="156" spans="1:118" x14ac:dyDescent="0.25">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c r="BR156" s="112"/>
      <c r="BS156" s="112"/>
      <c r="BT156" s="112"/>
      <c r="BU156" s="112"/>
      <c r="BV156" s="112"/>
      <c r="BW156" s="112"/>
      <c r="BX156" s="112"/>
      <c r="BY156" s="112"/>
      <c r="BZ156" s="112"/>
      <c r="CA156" s="112"/>
      <c r="CB156" s="112"/>
      <c r="CC156" s="112"/>
      <c r="CD156" s="112"/>
      <c r="CE156" s="112"/>
      <c r="CF156" s="112"/>
      <c r="CG156" s="112"/>
      <c r="CH156" s="112"/>
      <c r="CI156" s="112"/>
      <c r="CJ156" s="112"/>
      <c r="CK156" s="112"/>
      <c r="CL156" s="112"/>
      <c r="CM156" s="112"/>
      <c r="CN156" s="112"/>
      <c r="CO156" s="112"/>
      <c r="CP156" s="112"/>
      <c r="CQ156" s="112"/>
      <c r="CR156" s="112"/>
      <c r="CS156" s="112"/>
      <c r="CT156" s="112"/>
      <c r="CU156" s="112"/>
      <c r="CV156" s="112"/>
      <c r="CW156" s="112"/>
      <c r="CX156" s="112"/>
      <c r="CY156" s="112"/>
      <c r="CZ156" s="112"/>
      <c r="DA156" s="112"/>
      <c r="DB156" s="112"/>
      <c r="DC156" s="112"/>
      <c r="DD156" s="112"/>
      <c r="DE156" s="112"/>
      <c r="DF156" s="112"/>
      <c r="DG156" s="112"/>
      <c r="DH156" s="112"/>
      <c r="DI156" s="112"/>
      <c r="DJ156" s="112"/>
      <c r="DK156" s="112"/>
      <c r="DL156" s="112"/>
      <c r="DM156" s="112"/>
      <c r="DN156" s="112"/>
    </row>
    <row r="157" spans="1:118" x14ac:dyDescent="0.25">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c r="BR157" s="112"/>
      <c r="BS157" s="112"/>
      <c r="BT157" s="112"/>
      <c r="BU157" s="112"/>
      <c r="BV157" s="112"/>
      <c r="BW157" s="112"/>
      <c r="BX157" s="112"/>
      <c r="BY157" s="112"/>
      <c r="BZ157" s="112"/>
      <c r="CA157" s="112"/>
      <c r="CB157" s="112"/>
      <c r="CC157" s="112"/>
      <c r="CD157" s="112"/>
      <c r="CE157" s="112"/>
      <c r="CF157" s="112"/>
      <c r="CG157" s="112"/>
      <c r="CH157" s="112"/>
      <c r="CI157" s="112"/>
      <c r="CJ157" s="112"/>
      <c r="CK157" s="112"/>
      <c r="CL157" s="112"/>
      <c r="CM157" s="112"/>
      <c r="CN157" s="112"/>
      <c r="CO157" s="112"/>
      <c r="CP157" s="112"/>
      <c r="CQ157" s="112"/>
      <c r="CR157" s="112"/>
      <c r="CS157" s="112"/>
      <c r="CT157" s="112"/>
      <c r="CU157" s="112"/>
      <c r="CV157" s="112"/>
      <c r="CW157" s="112"/>
      <c r="CX157" s="112"/>
      <c r="CY157" s="112"/>
      <c r="CZ157" s="112"/>
      <c r="DA157" s="112"/>
      <c r="DB157" s="112"/>
      <c r="DC157" s="112"/>
      <c r="DD157" s="112"/>
      <c r="DE157" s="112"/>
      <c r="DF157" s="112"/>
      <c r="DG157" s="112"/>
      <c r="DH157" s="112"/>
      <c r="DI157" s="112"/>
      <c r="DJ157" s="112"/>
      <c r="DK157" s="112"/>
      <c r="DL157" s="112"/>
      <c r="DM157" s="112"/>
      <c r="DN157" s="112"/>
    </row>
    <row r="158" spans="1:118" x14ac:dyDescent="0.25">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c r="BR158" s="112"/>
      <c r="BS158" s="112"/>
      <c r="BT158" s="112"/>
      <c r="BU158" s="112"/>
      <c r="BV158" s="112"/>
      <c r="BW158" s="112"/>
      <c r="BX158" s="112"/>
      <c r="BY158" s="112"/>
      <c r="BZ158" s="112"/>
      <c r="CA158" s="112"/>
      <c r="CB158" s="112"/>
      <c r="CC158" s="112"/>
      <c r="CD158" s="112"/>
      <c r="CE158" s="112"/>
      <c r="CF158" s="112"/>
      <c r="CG158" s="112"/>
      <c r="CH158" s="112"/>
      <c r="CI158" s="112"/>
      <c r="CJ158" s="112"/>
      <c r="CK158" s="112"/>
      <c r="CL158" s="112"/>
      <c r="CM158" s="112"/>
      <c r="CN158" s="112"/>
      <c r="CO158" s="112"/>
      <c r="CP158" s="112"/>
      <c r="CQ158" s="112"/>
      <c r="CR158" s="112"/>
      <c r="CS158" s="112"/>
      <c r="CT158" s="112"/>
      <c r="CU158" s="112"/>
      <c r="CV158" s="112"/>
      <c r="CW158" s="112"/>
      <c r="CX158" s="112"/>
      <c r="CY158" s="112"/>
      <c r="CZ158" s="112"/>
      <c r="DA158" s="112"/>
      <c r="DB158" s="112"/>
      <c r="DC158" s="112"/>
      <c r="DD158" s="112"/>
      <c r="DE158" s="112"/>
      <c r="DF158" s="112"/>
      <c r="DG158" s="112"/>
      <c r="DH158" s="112"/>
      <c r="DI158" s="112"/>
      <c r="DJ158" s="112"/>
      <c r="DK158" s="112"/>
      <c r="DL158" s="112"/>
      <c r="DM158" s="112"/>
      <c r="DN158" s="112"/>
    </row>
    <row r="159" spans="1:118" x14ac:dyDescent="0.25">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c r="BR159" s="112"/>
      <c r="BS159" s="112"/>
      <c r="BT159" s="112"/>
      <c r="BU159" s="112"/>
      <c r="BV159" s="112"/>
      <c r="BW159" s="112"/>
      <c r="BX159" s="112"/>
      <c r="BY159" s="112"/>
      <c r="BZ159" s="112"/>
      <c r="CA159" s="112"/>
      <c r="CB159" s="112"/>
      <c r="CC159" s="112"/>
      <c r="CD159" s="112"/>
      <c r="CE159" s="112"/>
      <c r="CF159" s="112"/>
      <c r="CG159" s="112"/>
      <c r="CH159" s="112"/>
      <c r="CI159" s="112"/>
      <c r="CJ159" s="112"/>
      <c r="CK159" s="112"/>
      <c r="CL159" s="112"/>
      <c r="CM159" s="112"/>
      <c r="CN159" s="112"/>
      <c r="CO159" s="112"/>
      <c r="CP159" s="112"/>
      <c r="CQ159" s="112"/>
      <c r="CR159" s="112"/>
      <c r="CS159" s="112"/>
      <c r="CT159" s="112"/>
      <c r="CU159" s="112"/>
      <c r="CV159" s="112"/>
      <c r="CW159" s="112"/>
      <c r="CX159" s="112"/>
      <c r="CY159" s="112"/>
      <c r="CZ159" s="112"/>
      <c r="DA159" s="112"/>
      <c r="DB159" s="112"/>
      <c r="DC159" s="112"/>
      <c r="DD159" s="112"/>
      <c r="DE159" s="112"/>
      <c r="DF159" s="112"/>
      <c r="DG159" s="112"/>
      <c r="DH159" s="112"/>
      <c r="DI159" s="112"/>
      <c r="DJ159" s="112"/>
      <c r="DK159" s="112"/>
      <c r="DL159" s="112"/>
      <c r="DM159" s="112"/>
      <c r="DN159" s="112"/>
    </row>
    <row r="160" spans="1:118" x14ac:dyDescent="0.25">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c r="BR160" s="112"/>
      <c r="BS160" s="112"/>
      <c r="BT160" s="112"/>
      <c r="BU160" s="112"/>
      <c r="BV160" s="112"/>
      <c r="BW160" s="112"/>
      <c r="BX160" s="112"/>
      <c r="BY160" s="112"/>
      <c r="BZ160" s="112"/>
      <c r="CA160" s="112"/>
      <c r="CB160" s="112"/>
      <c r="CC160" s="112"/>
      <c r="CD160" s="112"/>
      <c r="CE160" s="112"/>
      <c r="CF160" s="112"/>
      <c r="CG160" s="112"/>
      <c r="CH160" s="112"/>
      <c r="CI160" s="112"/>
      <c r="CJ160" s="112"/>
      <c r="CK160" s="112"/>
      <c r="CL160" s="112"/>
      <c r="CM160" s="112"/>
      <c r="CN160" s="112"/>
      <c r="CO160" s="112"/>
      <c r="CP160" s="112"/>
      <c r="CQ160" s="112"/>
      <c r="CR160" s="112"/>
      <c r="CS160" s="112"/>
      <c r="CT160" s="112"/>
      <c r="CU160" s="112"/>
      <c r="CV160" s="112"/>
      <c r="CW160" s="112"/>
      <c r="CX160" s="112"/>
      <c r="CY160" s="112"/>
      <c r="CZ160" s="112"/>
      <c r="DA160" s="112"/>
      <c r="DB160" s="112"/>
      <c r="DC160" s="112"/>
      <c r="DD160" s="112"/>
      <c r="DE160" s="112"/>
      <c r="DF160" s="112"/>
      <c r="DG160" s="112"/>
      <c r="DH160" s="112"/>
      <c r="DI160" s="112"/>
      <c r="DJ160" s="112"/>
      <c r="DK160" s="112"/>
      <c r="DL160" s="112"/>
      <c r="DM160" s="112"/>
      <c r="DN160" s="112"/>
    </row>
    <row r="161" spans="1:118" x14ac:dyDescent="0.25">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c r="BR161" s="112"/>
      <c r="BS161" s="112"/>
      <c r="BT161" s="112"/>
      <c r="BU161" s="112"/>
      <c r="BV161" s="112"/>
      <c r="BW161" s="112"/>
      <c r="BX161" s="112"/>
      <c r="BY161" s="112"/>
      <c r="BZ161" s="112"/>
      <c r="CA161" s="112"/>
      <c r="CB161" s="112"/>
      <c r="CC161" s="112"/>
      <c r="CD161" s="112"/>
      <c r="CE161" s="112"/>
      <c r="CF161" s="112"/>
      <c r="CG161" s="112"/>
      <c r="CH161" s="112"/>
      <c r="CI161" s="112"/>
      <c r="CJ161" s="112"/>
      <c r="CK161" s="112"/>
      <c r="CL161" s="112"/>
      <c r="CM161" s="112"/>
      <c r="CN161" s="112"/>
      <c r="CO161" s="112"/>
      <c r="CP161" s="112"/>
      <c r="CQ161" s="112"/>
      <c r="CR161" s="112"/>
      <c r="CS161" s="112"/>
      <c r="CT161" s="112"/>
      <c r="CU161" s="112"/>
      <c r="CV161" s="112"/>
      <c r="CW161" s="112"/>
      <c r="CX161" s="112"/>
      <c r="CY161" s="112"/>
      <c r="CZ161" s="112"/>
      <c r="DA161" s="112"/>
      <c r="DB161" s="112"/>
      <c r="DC161" s="112"/>
      <c r="DD161" s="112"/>
      <c r="DE161" s="112"/>
      <c r="DF161" s="112"/>
      <c r="DG161" s="112"/>
      <c r="DH161" s="112"/>
      <c r="DI161" s="112"/>
      <c r="DJ161" s="112"/>
      <c r="DK161" s="112"/>
      <c r="DL161" s="112"/>
      <c r="DM161" s="112"/>
      <c r="DN161" s="112"/>
    </row>
    <row r="162" spans="1:118" x14ac:dyDescent="0.25">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c r="BR162" s="112"/>
      <c r="BS162" s="112"/>
      <c r="BT162" s="112"/>
      <c r="BU162" s="112"/>
      <c r="BV162" s="112"/>
      <c r="BW162" s="112"/>
      <c r="BX162" s="112"/>
      <c r="BY162" s="112"/>
      <c r="BZ162" s="112"/>
      <c r="CA162" s="112"/>
      <c r="CB162" s="112"/>
      <c r="CC162" s="112"/>
      <c r="CD162" s="112"/>
      <c r="CE162" s="112"/>
      <c r="CF162" s="112"/>
      <c r="CG162" s="112"/>
      <c r="CH162" s="112"/>
      <c r="CI162" s="112"/>
      <c r="CJ162" s="112"/>
      <c r="CK162" s="112"/>
      <c r="CL162" s="112"/>
      <c r="CM162" s="112"/>
      <c r="CN162" s="112"/>
      <c r="CO162" s="112"/>
      <c r="CP162" s="112"/>
      <c r="CQ162" s="112"/>
      <c r="CR162" s="112"/>
      <c r="CS162" s="112"/>
      <c r="CT162" s="112"/>
      <c r="CU162" s="112"/>
      <c r="CV162" s="112"/>
      <c r="CW162" s="112"/>
      <c r="CX162" s="112"/>
      <c r="CY162" s="112"/>
      <c r="CZ162" s="112"/>
      <c r="DA162" s="112"/>
      <c r="DB162" s="112"/>
      <c r="DC162" s="112"/>
      <c r="DD162" s="112"/>
      <c r="DE162" s="112"/>
      <c r="DF162" s="112"/>
      <c r="DG162" s="112"/>
      <c r="DH162" s="112"/>
      <c r="DI162" s="112"/>
      <c r="DJ162" s="112"/>
      <c r="DK162" s="112"/>
      <c r="DL162" s="112"/>
      <c r="DM162" s="112"/>
      <c r="DN162" s="112"/>
    </row>
    <row r="163" spans="1:118" x14ac:dyDescent="0.25">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c r="BR163" s="112"/>
      <c r="BS163" s="112"/>
      <c r="BT163" s="112"/>
      <c r="BU163" s="112"/>
      <c r="BV163" s="112"/>
      <c r="BW163" s="112"/>
      <c r="BX163" s="112"/>
      <c r="BY163" s="112"/>
      <c r="BZ163" s="112"/>
      <c r="CA163" s="112"/>
      <c r="CB163" s="112"/>
      <c r="CC163" s="112"/>
      <c r="CD163" s="112"/>
      <c r="CE163" s="112"/>
      <c r="CF163" s="112"/>
      <c r="CG163" s="112"/>
      <c r="CH163" s="112"/>
      <c r="CI163" s="112"/>
      <c r="CJ163" s="112"/>
      <c r="CK163" s="112"/>
      <c r="CL163" s="112"/>
      <c r="CM163" s="112"/>
      <c r="CN163" s="112"/>
      <c r="CO163" s="112"/>
      <c r="CP163" s="112"/>
      <c r="CQ163" s="112"/>
      <c r="CR163" s="112"/>
      <c r="CS163" s="112"/>
      <c r="CT163" s="112"/>
      <c r="CU163" s="112"/>
      <c r="CV163" s="112"/>
      <c r="CW163" s="112"/>
      <c r="CX163" s="112"/>
      <c r="CY163" s="112"/>
      <c r="CZ163" s="112"/>
      <c r="DA163" s="112"/>
      <c r="DB163" s="112"/>
      <c r="DC163" s="112"/>
      <c r="DD163" s="112"/>
      <c r="DE163" s="112"/>
      <c r="DF163" s="112"/>
      <c r="DG163" s="112"/>
      <c r="DH163" s="112"/>
      <c r="DI163" s="112"/>
      <c r="DJ163" s="112"/>
      <c r="DK163" s="112"/>
      <c r="DL163" s="112"/>
      <c r="DM163" s="112"/>
      <c r="DN163" s="112"/>
    </row>
    <row r="164" spans="1:118" x14ac:dyDescent="0.25">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c r="BR164" s="112"/>
      <c r="BS164" s="112"/>
      <c r="BT164" s="112"/>
      <c r="BU164" s="112"/>
      <c r="BV164" s="112"/>
      <c r="BW164" s="112"/>
      <c r="BX164" s="112"/>
      <c r="BY164" s="112"/>
      <c r="BZ164" s="112"/>
      <c r="CA164" s="112"/>
      <c r="CB164" s="112"/>
      <c r="CC164" s="112"/>
      <c r="CD164" s="112"/>
      <c r="CE164" s="112"/>
      <c r="CF164" s="112"/>
      <c r="CG164" s="112"/>
      <c r="CH164" s="112"/>
      <c r="CI164" s="112"/>
      <c r="CJ164" s="112"/>
      <c r="CK164" s="112"/>
      <c r="CL164" s="112"/>
      <c r="CM164" s="112"/>
      <c r="CN164" s="112"/>
      <c r="CO164" s="112"/>
      <c r="CP164" s="112"/>
      <c r="CQ164" s="112"/>
      <c r="CR164" s="112"/>
      <c r="CS164" s="112"/>
      <c r="CT164" s="112"/>
      <c r="CU164" s="112"/>
      <c r="CV164" s="112"/>
      <c r="CW164" s="112"/>
      <c r="CX164" s="112"/>
      <c r="CY164" s="112"/>
      <c r="CZ164" s="112"/>
      <c r="DA164" s="112"/>
      <c r="DB164" s="112"/>
      <c r="DC164" s="112"/>
      <c r="DD164" s="112"/>
      <c r="DE164" s="112"/>
      <c r="DF164" s="112"/>
      <c r="DG164" s="112"/>
      <c r="DH164" s="112"/>
      <c r="DI164" s="112"/>
      <c r="DJ164" s="112"/>
      <c r="DK164" s="112"/>
      <c r="DL164" s="112"/>
      <c r="DM164" s="112"/>
      <c r="DN164" s="112"/>
    </row>
    <row r="165" spans="1:118" x14ac:dyDescent="0.25">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c r="BR165" s="112"/>
      <c r="BS165" s="112"/>
      <c r="BT165" s="112"/>
      <c r="BU165" s="112"/>
      <c r="BV165" s="112"/>
      <c r="BW165" s="112"/>
      <c r="BX165" s="112"/>
      <c r="BY165" s="112"/>
      <c r="BZ165" s="112"/>
      <c r="CA165" s="112"/>
      <c r="CB165" s="112"/>
      <c r="CC165" s="112"/>
      <c r="CD165" s="112"/>
      <c r="CE165" s="112"/>
      <c r="CF165" s="112"/>
      <c r="CG165" s="112"/>
      <c r="CH165" s="112"/>
      <c r="CI165" s="112"/>
      <c r="CJ165" s="112"/>
      <c r="CK165" s="112"/>
      <c r="CL165" s="112"/>
      <c r="CM165" s="112"/>
      <c r="CN165" s="112"/>
      <c r="CO165" s="112"/>
      <c r="CP165" s="112"/>
      <c r="CQ165" s="112"/>
      <c r="CR165" s="112"/>
      <c r="CS165" s="112"/>
      <c r="CT165" s="112"/>
      <c r="CU165" s="112"/>
      <c r="CV165" s="112"/>
      <c r="CW165" s="112"/>
      <c r="CX165" s="112"/>
      <c r="CY165" s="112"/>
      <c r="CZ165" s="112"/>
      <c r="DA165" s="112"/>
      <c r="DB165" s="112"/>
      <c r="DC165" s="112"/>
      <c r="DD165" s="112"/>
      <c r="DE165" s="112"/>
      <c r="DF165" s="112"/>
      <c r="DG165" s="112"/>
      <c r="DH165" s="112"/>
      <c r="DI165" s="112"/>
      <c r="DJ165" s="112"/>
      <c r="DK165" s="112"/>
      <c r="DL165" s="112"/>
      <c r="DM165" s="112"/>
      <c r="DN165" s="112"/>
    </row>
    <row r="166" spans="1:118" x14ac:dyDescent="0.25">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c r="BR166" s="112"/>
      <c r="BS166" s="112"/>
      <c r="BT166" s="112"/>
      <c r="BU166" s="112"/>
      <c r="BV166" s="112"/>
      <c r="BW166" s="112"/>
      <c r="BX166" s="112"/>
      <c r="BY166" s="112"/>
      <c r="BZ166" s="112"/>
      <c r="CA166" s="112"/>
      <c r="CB166" s="112"/>
      <c r="CC166" s="112"/>
      <c r="CD166" s="112"/>
      <c r="CE166" s="112"/>
      <c r="CF166" s="112"/>
      <c r="CG166" s="112"/>
      <c r="CH166" s="112"/>
      <c r="CI166" s="112"/>
      <c r="CJ166" s="112"/>
      <c r="CK166" s="112"/>
      <c r="CL166" s="112"/>
      <c r="CM166" s="112"/>
      <c r="CN166" s="112"/>
      <c r="CO166" s="112"/>
      <c r="CP166" s="112"/>
      <c r="CQ166" s="112"/>
      <c r="CR166" s="112"/>
      <c r="CS166" s="112"/>
      <c r="CT166" s="112"/>
      <c r="CU166" s="112"/>
      <c r="CV166" s="112"/>
      <c r="CW166" s="112"/>
      <c r="CX166" s="112"/>
      <c r="CY166" s="112"/>
      <c r="CZ166" s="112"/>
      <c r="DA166" s="112"/>
      <c r="DB166" s="112"/>
      <c r="DC166" s="112"/>
      <c r="DD166" s="112"/>
      <c r="DE166" s="112"/>
      <c r="DF166" s="112"/>
      <c r="DG166" s="112"/>
      <c r="DH166" s="112"/>
      <c r="DI166" s="112"/>
      <c r="DJ166" s="112"/>
      <c r="DK166" s="112"/>
      <c r="DL166" s="112"/>
      <c r="DM166" s="112"/>
      <c r="DN166" s="112"/>
    </row>
    <row r="167" spans="1:118" x14ac:dyDescent="0.25">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c r="BR167" s="112"/>
      <c r="BS167" s="112"/>
      <c r="BT167" s="112"/>
      <c r="BU167" s="112"/>
      <c r="BV167" s="112"/>
      <c r="BW167" s="112"/>
      <c r="BX167" s="112"/>
      <c r="BY167" s="112"/>
      <c r="BZ167" s="112"/>
      <c r="CA167" s="112"/>
      <c r="CB167" s="112"/>
      <c r="CC167" s="112"/>
      <c r="CD167" s="112"/>
      <c r="CE167" s="112"/>
      <c r="CF167" s="112"/>
      <c r="CG167" s="112"/>
      <c r="CH167" s="112"/>
      <c r="CI167" s="112"/>
      <c r="CJ167" s="112"/>
      <c r="CK167" s="112"/>
      <c r="CL167" s="112"/>
      <c r="CM167" s="112"/>
      <c r="CN167" s="112"/>
      <c r="CO167" s="112"/>
      <c r="CP167" s="112"/>
      <c r="CQ167" s="112"/>
      <c r="CR167" s="112"/>
      <c r="CS167" s="112"/>
      <c r="CT167" s="112"/>
      <c r="CU167" s="112"/>
      <c r="CV167" s="112"/>
      <c r="CW167" s="112"/>
      <c r="CX167" s="112"/>
      <c r="CY167" s="112"/>
      <c r="CZ167" s="112"/>
      <c r="DA167" s="112"/>
      <c r="DB167" s="112"/>
      <c r="DC167" s="112"/>
      <c r="DD167" s="112"/>
      <c r="DE167" s="112"/>
      <c r="DF167" s="112"/>
      <c r="DG167" s="112"/>
      <c r="DH167" s="112"/>
      <c r="DI167" s="112"/>
      <c r="DJ167" s="112"/>
      <c r="DK167" s="112"/>
      <c r="DL167" s="112"/>
      <c r="DM167" s="112"/>
      <c r="DN167" s="112"/>
    </row>
    <row r="168" spans="1:118" x14ac:dyDescent="0.25">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c r="BR168" s="112"/>
      <c r="BS168" s="112"/>
      <c r="BT168" s="112"/>
      <c r="BU168" s="112"/>
      <c r="BV168" s="112"/>
      <c r="BW168" s="112"/>
      <c r="BX168" s="112"/>
      <c r="BY168" s="112"/>
      <c r="BZ168" s="112"/>
      <c r="CA168" s="112"/>
      <c r="CB168" s="112"/>
      <c r="CC168" s="112"/>
      <c r="CD168" s="112"/>
      <c r="CE168" s="112"/>
      <c r="CF168" s="112"/>
      <c r="CG168" s="112"/>
      <c r="CH168" s="112"/>
      <c r="CI168" s="112"/>
      <c r="CJ168" s="112"/>
      <c r="CK168" s="112"/>
      <c r="CL168" s="112"/>
      <c r="CM168" s="112"/>
      <c r="CN168" s="112"/>
      <c r="CO168" s="112"/>
      <c r="CP168" s="112"/>
      <c r="CQ168" s="112"/>
      <c r="CR168" s="112"/>
      <c r="CS168" s="112"/>
      <c r="CT168" s="112"/>
      <c r="CU168" s="112"/>
      <c r="CV168" s="112"/>
      <c r="CW168" s="112"/>
      <c r="CX168" s="112"/>
      <c r="CY168" s="112"/>
      <c r="CZ168" s="112"/>
      <c r="DA168" s="112"/>
      <c r="DB168" s="112"/>
      <c r="DC168" s="112"/>
      <c r="DD168" s="112"/>
      <c r="DE168" s="112"/>
      <c r="DF168" s="112"/>
      <c r="DG168" s="112"/>
      <c r="DH168" s="112"/>
      <c r="DI168" s="112"/>
      <c r="DJ168" s="112"/>
      <c r="DK168" s="112"/>
      <c r="DL168" s="112"/>
      <c r="DM168" s="112"/>
      <c r="DN168" s="112"/>
    </row>
    <row r="169" spans="1:118" x14ac:dyDescent="0.25">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c r="BR169" s="112"/>
      <c r="BS169" s="112"/>
      <c r="BT169" s="112"/>
      <c r="BU169" s="112"/>
      <c r="BV169" s="112"/>
      <c r="BW169" s="112"/>
      <c r="BX169" s="112"/>
      <c r="BY169" s="112"/>
      <c r="BZ169" s="112"/>
      <c r="CA169" s="112"/>
      <c r="CB169" s="112"/>
      <c r="CC169" s="112"/>
      <c r="CD169" s="112"/>
      <c r="CE169" s="112"/>
      <c r="CF169" s="112"/>
      <c r="CG169" s="112"/>
      <c r="CH169" s="112"/>
      <c r="CI169" s="112"/>
      <c r="CJ169" s="112"/>
      <c r="CK169" s="112"/>
      <c r="CL169" s="112"/>
      <c r="CM169" s="112"/>
      <c r="CN169" s="112"/>
      <c r="CO169" s="112"/>
      <c r="CP169" s="112"/>
      <c r="CQ169" s="112"/>
      <c r="CR169" s="112"/>
      <c r="CS169" s="112"/>
      <c r="CT169" s="112"/>
      <c r="CU169" s="112"/>
      <c r="CV169" s="112"/>
      <c r="CW169" s="112"/>
      <c r="CX169" s="112"/>
      <c r="CY169" s="112"/>
      <c r="CZ169" s="112"/>
      <c r="DA169" s="112"/>
      <c r="DB169" s="112"/>
      <c r="DC169" s="112"/>
      <c r="DD169" s="112"/>
      <c r="DE169" s="112"/>
      <c r="DF169" s="112"/>
      <c r="DG169" s="112"/>
      <c r="DH169" s="112"/>
      <c r="DI169" s="112"/>
      <c r="DJ169" s="112"/>
      <c r="DK169" s="112"/>
      <c r="DL169" s="112"/>
      <c r="DM169" s="112"/>
      <c r="DN169" s="112"/>
    </row>
    <row r="170" spans="1:118" x14ac:dyDescent="0.25">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c r="BR170" s="112"/>
      <c r="BS170" s="112"/>
      <c r="BT170" s="112"/>
      <c r="BU170" s="112"/>
      <c r="BV170" s="112"/>
      <c r="BW170" s="112"/>
      <c r="BX170" s="112"/>
      <c r="BY170" s="112"/>
      <c r="BZ170" s="112"/>
      <c r="CA170" s="112"/>
      <c r="CB170" s="112"/>
      <c r="CC170" s="112"/>
      <c r="CD170" s="112"/>
      <c r="CE170" s="112"/>
      <c r="CF170" s="112"/>
      <c r="CG170" s="112"/>
      <c r="CH170" s="112"/>
      <c r="CI170" s="112"/>
      <c r="CJ170" s="112"/>
      <c r="CK170" s="112"/>
      <c r="CL170" s="112"/>
      <c r="CM170" s="112"/>
      <c r="CN170" s="112"/>
      <c r="CO170" s="112"/>
      <c r="CP170" s="112"/>
      <c r="CQ170" s="112"/>
      <c r="CR170" s="112"/>
      <c r="CS170" s="112"/>
      <c r="CT170" s="112"/>
      <c r="CU170" s="112"/>
      <c r="CV170" s="112"/>
      <c r="CW170" s="112"/>
      <c r="CX170" s="112"/>
      <c r="CY170" s="112"/>
      <c r="CZ170" s="112"/>
      <c r="DA170" s="112"/>
      <c r="DB170" s="112"/>
      <c r="DC170" s="112"/>
      <c r="DD170" s="112"/>
      <c r="DE170" s="112"/>
      <c r="DF170" s="112"/>
      <c r="DG170" s="112"/>
      <c r="DH170" s="112"/>
      <c r="DI170" s="112"/>
      <c r="DJ170" s="112"/>
      <c r="DK170" s="112"/>
      <c r="DL170" s="112"/>
      <c r="DM170" s="112"/>
      <c r="DN170" s="112"/>
    </row>
    <row r="171" spans="1:118" x14ac:dyDescent="0.25">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c r="BR171" s="112"/>
      <c r="BS171" s="112"/>
      <c r="BT171" s="112"/>
      <c r="BU171" s="112"/>
      <c r="BV171" s="112"/>
      <c r="BW171" s="112"/>
      <c r="BX171" s="112"/>
      <c r="BY171" s="112"/>
      <c r="BZ171" s="112"/>
      <c r="CA171" s="112"/>
      <c r="CB171" s="112"/>
      <c r="CC171" s="112"/>
      <c r="CD171" s="112"/>
      <c r="CE171" s="112"/>
      <c r="CF171" s="112"/>
      <c r="CG171" s="112"/>
      <c r="CH171" s="112"/>
      <c r="CI171" s="112"/>
      <c r="CJ171" s="112"/>
      <c r="CK171" s="112"/>
      <c r="CL171" s="112"/>
      <c r="CM171" s="112"/>
      <c r="CN171" s="112"/>
      <c r="CO171" s="112"/>
      <c r="CP171" s="112"/>
      <c r="CQ171" s="112"/>
      <c r="CR171" s="112"/>
      <c r="CS171" s="112"/>
      <c r="CT171" s="112"/>
      <c r="CU171" s="112"/>
      <c r="CV171" s="112"/>
      <c r="CW171" s="112"/>
      <c r="CX171" s="112"/>
      <c r="CY171" s="112"/>
      <c r="CZ171" s="112"/>
      <c r="DA171" s="112"/>
      <c r="DB171" s="112"/>
      <c r="DC171" s="112"/>
      <c r="DD171" s="112"/>
      <c r="DE171" s="112"/>
      <c r="DF171" s="112"/>
      <c r="DG171" s="112"/>
      <c r="DH171" s="112"/>
      <c r="DI171" s="112"/>
      <c r="DJ171" s="112"/>
      <c r="DK171" s="112"/>
      <c r="DL171" s="112"/>
      <c r="DM171" s="112"/>
      <c r="DN171" s="112"/>
    </row>
    <row r="172" spans="1:118" x14ac:dyDescent="0.25">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c r="BR172" s="112"/>
      <c r="BS172" s="112"/>
      <c r="BT172" s="112"/>
      <c r="BU172" s="112"/>
      <c r="BV172" s="112"/>
      <c r="BW172" s="112"/>
      <c r="BX172" s="112"/>
      <c r="BY172" s="112"/>
      <c r="BZ172" s="112"/>
      <c r="CA172" s="112"/>
      <c r="CB172" s="112"/>
      <c r="CC172" s="112"/>
      <c r="CD172" s="112"/>
      <c r="CE172" s="112"/>
      <c r="CF172" s="112"/>
      <c r="CG172" s="112"/>
      <c r="CH172" s="112"/>
      <c r="CI172" s="112"/>
      <c r="CJ172" s="112"/>
      <c r="CK172" s="112"/>
      <c r="CL172" s="112"/>
      <c r="CM172" s="112"/>
      <c r="CN172" s="112"/>
      <c r="CO172" s="112"/>
      <c r="CP172" s="112"/>
      <c r="CQ172" s="112"/>
      <c r="CR172" s="112"/>
      <c r="CS172" s="112"/>
      <c r="CT172" s="112"/>
      <c r="CU172" s="112"/>
      <c r="CV172" s="112"/>
      <c r="CW172" s="112"/>
      <c r="CX172" s="112"/>
      <c r="CY172" s="112"/>
      <c r="CZ172" s="112"/>
      <c r="DA172" s="112"/>
      <c r="DB172" s="112"/>
      <c r="DC172" s="112"/>
      <c r="DD172" s="112"/>
      <c r="DE172" s="112"/>
      <c r="DF172" s="112"/>
      <c r="DG172" s="112"/>
      <c r="DH172" s="112"/>
      <c r="DI172" s="112"/>
      <c r="DJ172" s="112"/>
      <c r="DK172" s="112"/>
      <c r="DL172" s="112"/>
      <c r="DM172" s="112"/>
      <c r="DN172" s="112"/>
    </row>
    <row r="173" spans="1:118" x14ac:dyDescent="0.25">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c r="BR173" s="112"/>
      <c r="BS173" s="112"/>
      <c r="BT173" s="112"/>
      <c r="BU173" s="112"/>
      <c r="BV173" s="112"/>
      <c r="BW173" s="112"/>
      <c r="BX173" s="112"/>
      <c r="BY173" s="112"/>
      <c r="BZ173" s="112"/>
      <c r="CA173" s="112"/>
      <c r="CB173" s="112"/>
      <c r="CC173" s="112"/>
      <c r="CD173" s="112"/>
      <c r="CE173" s="112"/>
      <c r="CF173" s="112"/>
      <c r="CG173" s="112"/>
      <c r="CH173" s="112"/>
      <c r="CI173" s="112"/>
      <c r="CJ173" s="112"/>
      <c r="CK173" s="112"/>
      <c r="CL173" s="112"/>
      <c r="CM173" s="112"/>
      <c r="CN173" s="112"/>
      <c r="CO173" s="112"/>
      <c r="CP173" s="112"/>
      <c r="CQ173" s="112"/>
      <c r="CR173" s="112"/>
      <c r="CS173" s="112"/>
      <c r="CT173" s="112"/>
      <c r="CU173" s="112"/>
      <c r="CV173" s="112"/>
      <c r="CW173" s="112"/>
      <c r="CX173" s="112"/>
      <c r="CY173" s="112"/>
      <c r="CZ173" s="112"/>
      <c r="DA173" s="112"/>
      <c r="DB173" s="112"/>
      <c r="DC173" s="112"/>
      <c r="DD173" s="112"/>
      <c r="DE173" s="112"/>
      <c r="DF173" s="112"/>
      <c r="DG173" s="112"/>
      <c r="DH173" s="112"/>
      <c r="DI173" s="112"/>
      <c r="DJ173" s="112"/>
      <c r="DK173" s="112"/>
      <c r="DL173" s="112"/>
      <c r="DM173" s="112"/>
      <c r="DN173" s="112"/>
    </row>
    <row r="174" spans="1:118" x14ac:dyDescent="0.25">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c r="BR174" s="112"/>
      <c r="BS174" s="112"/>
      <c r="BT174" s="112"/>
      <c r="BU174" s="112"/>
      <c r="BV174" s="112"/>
      <c r="BW174" s="112"/>
      <c r="BX174" s="112"/>
      <c r="BY174" s="112"/>
      <c r="BZ174" s="112"/>
      <c r="CA174" s="112"/>
      <c r="CB174" s="112"/>
      <c r="CC174" s="112"/>
      <c r="CD174" s="112"/>
      <c r="CE174" s="112"/>
      <c r="CF174" s="112"/>
      <c r="CG174" s="112"/>
      <c r="CH174" s="112"/>
      <c r="CI174" s="112"/>
      <c r="CJ174" s="112"/>
      <c r="CK174" s="112"/>
      <c r="CL174" s="112"/>
      <c r="CM174" s="112"/>
      <c r="CN174" s="112"/>
      <c r="CO174" s="112"/>
      <c r="CP174" s="112"/>
      <c r="CQ174" s="112"/>
      <c r="CR174" s="112"/>
      <c r="CS174" s="112"/>
      <c r="CT174" s="112"/>
      <c r="CU174" s="112"/>
      <c r="CV174" s="112"/>
      <c r="CW174" s="112"/>
      <c r="CX174" s="112"/>
      <c r="CY174" s="112"/>
      <c r="CZ174" s="112"/>
      <c r="DA174" s="112"/>
      <c r="DB174" s="112"/>
      <c r="DC174" s="112"/>
      <c r="DD174" s="112"/>
      <c r="DE174" s="112"/>
      <c r="DF174" s="112"/>
      <c r="DG174" s="112"/>
      <c r="DH174" s="112"/>
      <c r="DI174" s="112"/>
      <c r="DJ174" s="112"/>
      <c r="DK174" s="112"/>
      <c r="DL174" s="112"/>
      <c r="DM174" s="112"/>
      <c r="DN174" s="112"/>
    </row>
    <row r="175" spans="1:118" x14ac:dyDescent="0.25">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c r="BR175" s="112"/>
      <c r="BS175" s="112"/>
      <c r="BT175" s="112"/>
      <c r="BU175" s="112"/>
      <c r="BV175" s="112"/>
      <c r="BW175" s="112"/>
      <c r="BX175" s="112"/>
      <c r="BY175" s="112"/>
      <c r="BZ175" s="112"/>
      <c r="CA175" s="112"/>
      <c r="CB175" s="112"/>
      <c r="CC175" s="112"/>
      <c r="CD175" s="112"/>
      <c r="CE175" s="112"/>
      <c r="CF175" s="112"/>
      <c r="CG175" s="112"/>
      <c r="CH175" s="112"/>
      <c r="CI175" s="112"/>
      <c r="CJ175" s="112"/>
      <c r="CK175" s="112"/>
      <c r="CL175" s="112"/>
      <c r="CM175" s="112"/>
      <c r="CN175" s="112"/>
      <c r="CO175" s="112"/>
      <c r="CP175" s="112"/>
      <c r="CQ175" s="112"/>
      <c r="CR175" s="112"/>
      <c r="CS175" s="112"/>
      <c r="CT175" s="112"/>
      <c r="CU175" s="112"/>
      <c r="CV175" s="112"/>
      <c r="CW175" s="112"/>
      <c r="CX175" s="112"/>
      <c r="CY175" s="112"/>
      <c r="CZ175" s="112"/>
      <c r="DA175" s="112"/>
      <c r="DB175" s="112"/>
      <c r="DC175" s="112"/>
      <c r="DD175" s="112"/>
      <c r="DE175" s="112"/>
      <c r="DF175" s="112"/>
      <c r="DG175" s="112"/>
      <c r="DH175" s="112"/>
      <c r="DI175" s="112"/>
      <c r="DJ175" s="112"/>
      <c r="DK175" s="112"/>
      <c r="DL175" s="112"/>
      <c r="DM175" s="112"/>
      <c r="DN175" s="112"/>
    </row>
    <row r="176" spans="1:118" x14ac:dyDescent="0.25">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c r="BR176" s="112"/>
      <c r="BS176" s="112"/>
      <c r="BT176" s="112"/>
      <c r="BU176" s="112"/>
      <c r="BV176" s="112"/>
      <c r="BW176" s="112"/>
      <c r="BX176" s="112"/>
      <c r="BY176" s="112"/>
      <c r="BZ176" s="112"/>
      <c r="CA176" s="112"/>
      <c r="CB176" s="112"/>
      <c r="CC176" s="112"/>
      <c r="CD176" s="112"/>
      <c r="CE176" s="112"/>
      <c r="CF176" s="112"/>
      <c r="CG176" s="112"/>
      <c r="CH176" s="112"/>
      <c r="CI176" s="112"/>
      <c r="CJ176" s="112"/>
      <c r="CK176" s="112"/>
      <c r="CL176" s="112"/>
      <c r="CM176" s="112"/>
      <c r="CN176" s="112"/>
      <c r="CO176" s="112"/>
      <c r="CP176" s="112"/>
      <c r="CQ176" s="112"/>
      <c r="CR176" s="112"/>
      <c r="CS176" s="112"/>
      <c r="CT176" s="112"/>
      <c r="CU176" s="112"/>
      <c r="CV176" s="112"/>
      <c r="CW176" s="112"/>
      <c r="CX176" s="112"/>
      <c r="CY176" s="112"/>
      <c r="CZ176" s="112"/>
      <c r="DA176" s="112"/>
      <c r="DB176" s="112"/>
      <c r="DC176" s="112"/>
      <c r="DD176" s="112"/>
      <c r="DE176" s="112"/>
      <c r="DF176" s="112"/>
      <c r="DG176" s="112"/>
      <c r="DH176" s="112"/>
      <c r="DI176" s="112"/>
      <c r="DJ176" s="112"/>
      <c r="DK176" s="112"/>
      <c r="DL176" s="112"/>
      <c r="DM176" s="112"/>
      <c r="DN176" s="112"/>
    </row>
    <row r="177" spans="1:118" x14ac:dyDescent="0.25">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c r="BR177" s="112"/>
      <c r="BS177" s="112"/>
      <c r="BT177" s="112"/>
      <c r="BU177" s="112"/>
      <c r="BV177" s="112"/>
      <c r="BW177" s="112"/>
      <c r="BX177" s="112"/>
      <c r="BY177" s="112"/>
      <c r="BZ177" s="112"/>
      <c r="CA177" s="112"/>
      <c r="CB177" s="112"/>
      <c r="CC177" s="112"/>
      <c r="CD177" s="112"/>
      <c r="CE177" s="112"/>
      <c r="CF177" s="112"/>
      <c r="CG177" s="112"/>
      <c r="CH177" s="112"/>
      <c r="CI177" s="112"/>
      <c r="CJ177" s="112"/>
      <c r="CK177" s="112"/>
      <c r="CL177" s="112"/>
      <c r="CM177" s="112"/>
      <c r="CN177" s="112"/>
      <c r="CO177" s="112"/>
      <c r="CP177" s="112"/>
      <c r="CQ177" s="112"/>
      <c r="CR177" s="112"/>
      <c r="CS177" s="112"/>
      <c r="CT177" s="112"/>
      <c r="CU177" s="112"/>
      <c r="CV177" s="112"/>
      <c r="CW177" s="112"/>
      <c r="CX177" s="112"/>
      <c r="CY177" s="112"/>
      <c r="CZ177" s="112"/>
      <c r="DA177" s="112"/>
      <c r="DB177" s="112"/>
      <c r="DC177" s="112"/>
      <c r="DD177" s="112"/>
      <c r="DE177" s="112"/>
      <c r="DF177" s="112"/>
      <c r="DG177" s="112"/>
      <c r="DH177" s="112"/>
      <c r="DI177" s="112"/>
      <c r="DJ177" s="112"/>
      <c r="DK177" s="112"/>
      <c r="DL177" s="112"/>
      <c r="DM177" s="112"/>
      <c r="DN177" s="112"/>
    </row>
    <row r="178" spans="1:118" x14ac:dyDescent="0.25">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c r="BR178" s="112"/>
      <c r="BS178" s="112"/>
      <c r="BT178" s="112"/>
      <c r="BU178" s="112"/>
      <c r="BV178" s="112"/>
      <c r="BW178" s="112"/>
      <c r="BX178" s="112"/>
      <c r="BY178" s="112"/>
      <c r="BZ178" s="112"/>
      <c r="CA178" s="112"/>
      <c r="CB178" s="112"/>
      <c r="CC178" s="112"/>
      <c r="CD178" s="112"/>
      <c r="CE178" s="112"/>
      <c r="CF178" s="112"/>
      <c r="CG178" s="112"/>
      <c r="CH178" s="112"/>
      <c r="CI178" s="112"/>
      <c r="CJ178" s="112"/>
      <c r="CK178" s="112"/>
      <c r="CL178" s="112"/>
      <c r="CM178" s="112"/>
      <c r="CN178" s="112"/>
      <c r="CO178" s="112"/>
      <c r="CP178" s="112"/>
      <c r="CQ178" s="112"/>
      <c r="CR178" s="112"/>
      <c r="CS178" s="112"/>
      <c r="CT178" s="112"/>
      <c r="CU178" s="112"/>
      <c r="CV178" s="112"/>
      <c r="CW178" s="112"/>
      <c r="CX178" s="112"/>
      <c r="CY178" s="112"/>
      <c r="CZ178" s="112"/>
      <c r="DA178" s="112"/>
      <c r="DB178" s="112"/>
      <c r="DC178" s="112"/>
      <c r="DD178" s="112"/>
      <c r="DE178" s="112"/>
      <c r="DF178" s="112"/>
      <c r="DG178" s="112"/>
      <c r="DH178" s="112"/>
      <c r="DI178" s="112"/>
      <c r="DJ178" s="112"/>
      <c r="DK178" s="112"/>
      <c r="DL178" s="112"/>
      <c r="DM178" s="112"/>
      <c r="DN178" s="112"/>
    </row>
    <row r="179" spans="1:118" x14ac:dyDescent="0.25">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c r="BR179" s="112"/>
      <c r="BS179" s="112"/>
      <c r="BT179" s="112"/>
      <c r="BU179" s="112"/>
      <c r="BV179" s="112"/>
      <c r="BW179" s="112"/>
      <c r="BX179" s="112"/>
      <c r="BY179" s="112"/>
      <c r="BZ179" s="112"/>
      <c r="CA179" s="112"/>
      <c r="CB179" s="112"/>
      <c r="CC179" s="112"/>
      <c r="CD179" s="112"/>
      <c r="CE179" s="112"/>
      <c r="CF179" s="112"/>
      <c r="CG179" s="112"/>
      <c r="CH179" s="112"/>
      <c r="CI179" s="112"/>
      <c r="CJ179" s="112"/>
      <c r="CK179" s="112"/>
      <c r="CL179" s="112"/>
      <c r="CM179" s="112"/>
      <c r="CN179" s="112"/>
      <c r="CO179" s="112"/>
      <c r="CP179" s="112"/>
      <c r="CQ179" s="112"/>
      <c r="CR179" s="112"/>
      <c r="CS179" s="112"/>
      <c r="CT179" s="112"/>
      <c r="CU179" s="112"/>
      <c r="CV179" s="112"/>
      <c r="CW179" s="112"/>
      <c r="CX179" s="112"/>
      <c r="CY179" s="112"/>
      <c r="CZ179" s="112"/>
      <c r="DA179" s="112"/>
      <c r="DB179" s="112"/>
      <c r="DC179" s="112"/>
      <c r="DD179" s="112"/>
      <c r="DE179" s="112"/>
      <c r="DF179" s="112"/>
      <c r="DG179" s="112"/>
      <c r="DH179" s="112"/>
      <c r="DI179" s="112"/>
      <c r="DJ179" s="112"/>
      <c r="DK179" s="112"/>
      <c r="DL179" s="112"/>
      <c r="DM179" s="112"/>
      <c r="DN179" s="112"/>
    </row>
    <row r="180" spans="1:118" x14ac:dyDescent="0.25">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c r="BR180" s="112"/>
      <c r="BS180" s="112"/>
      <c r="BT180" s="112"/>
      <c r="BU180" s="112"/>
      <c r="BV180" s="112"/>
      <c r="BW180" s="112"/>
      <c r="BX180" s="112"/>
      <c r="BY180" s="112"/>
      <c r="BZ180" s="112"/>
      <c r="CA180" s="112"/>
      <c r="CB180" s="112"/>
      <c r="CC180" s="112"/>
      <c r="CD180" s="112"/>
      <c r="CE180" s="112"/>
      <c r="CF180" s="112"/>
      <c r="CG180" s="112"/>
      <c r="CH180" s="112"/>
      <c r="CI180" s="112"/>
      <c r="CJ180" s="112"/>
      <c r="CK180" s="112"/>
      <c r="CL180" s="112"/>
      <c r="CM180" s="112"/>
      <c r="CN180" s="112"/>
      <c r="CO180" s="112"/>
      <c r="CP180" s="112"/>
      <c r="CQ180" s="112"/>
      <c r="CR180" s="112"/>
      <c r="CS180" s="112"/>
      <c r="CT180" s="112"/>
      <c r="CU180" s="112"/>
      <c r="CV180" s="112"/>
      <c r="CW180" s="112"/>
      <c r="CX180" s="112"/>
      <c r="CY180" s="112"/>
      <c r="CZ180" s="112"/>
      <c r="DA180" s="112"/>
      <c r="DB180" s="112"/>
      <c r="DC180" s="112"/>
      <c r="DD180" s="112"/>
      <c r="DE180" s="112"/>
      <c r="DF180" s="112"/>
      <c r="DG180" s="112"/>
      <c r="DH180" s="112"/>
      <c r="DI180" s="112"/>
      <c r="DJ180" s="112"/>
      <c r="DK180" s="112"/>
      <c r="DL180" s="112"/>
      <c r="DM180" s="112"/>
      <c r="DN180" s="112"/>
    </row>
    <row r="181" spans="1:118" x14ac:dyDescent="0.25">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c r="BR181" s="112"/>
      <c r="BS181" s="112"/>
      <c r="BT181" s="112"/>
      <c r="BU181" s="112"/>
      <c r="BV181" s="112"/>
      <c r="BW181" s="112"/>
      <c r="BX181" s="112"/>
      <c r="BY181" s="112"/>
      <c r="BZ181" s="112"/>
      <c r="CA181" s="112"/>
      <c r="CB181" s="112"/>
      <c r="CC181" s="112"/>
      <c r="CD181" s="112"/>
      <c r="CE181" s="112"/>
      <c r="CF181" s="112"/>
      <c r="CG181" s="112"/>
      <c r="CH181" s="112"/>
      <c r="CI181" s="112"/>
      <c r="CJ181" s="112"/>
      <c r="CK181" s="112"/>
      <c r="CL181" s="112"/>
      <c r="CM181" s="112"/>
      <c r="CN181" s="112"/>
      <c r="CO181" s="112"/>
      <c r="CP181" s="112"/>
      <c r="CQ181" s="112"/>
      <c r="CR181" s="112"/>
      <c r="CS181" s="112"/>
      <c r="CT181" s="112"/>
      <c r="CU181" s="112"/>
      <c r="CV181" s="112"/>
      <c r="CW181" s="112"/>
      <c r="CX181" s="112"/>
      <c r="CY181" s="112"/>
      <c r="CZ181" s="112"/>
      <c r="DA181" s="112"/>
      <c r="DB181" s="112"/>
      <c r="DC181" s="112"/>
      <c r="DD181" s="112"/>
      <c r="DE181" s="112"/>
      <c r="DF181" s="112"/>
      <c r="DG181" s="112"/>
      <c r="DH181" s="112"/>
      <c r="DI181" s="112"/>
      <c r="DJ181" s="112"/>
      <c r="DK181" s="112"/>
      <c r="DL181" s="112"/>
      <c r="DM181" s="112"/>
      <c r="DN181" s="112"/>
    </row>
    <row r="182" spans="1:118" x14ac:dyDescent="0.25">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c r="BR182" s="112"/>
      <c r="BS182" s="112"/>
      <c r="BT182" s="112"/>
      <c r="BU182" s="112"/>
      <c r="BV182" s="112"/>
      <c r="BW182" s="112"/>
      <c r="BX182" s="112"/>
      <c r="BY182" s="112"/>
      <c r="BZ182" s="112"/>
      <c r="CA182" s="112"/>
      <c r="CB182" s="112"/>
      <c r="CC182" s="112"/>
      <c r="CD182" s="112"/>
      <c r="CE182" s="112"/>
      <c r="CF182" s="112"/>
      <c r="CG182" s="112"/>
      <c r="CH182" s="112"/>
      <c r="CI182" s="112"/>
      <c r="CJ182" s="112"/>
      <c r="CK182" s="112"/>
      <c r="CL182" s="112"/>
      <c r="CM182" s="112"/>
      <c r="CN182" s="112"/>
      <c r="CO182" s="112"/>
      <c r="CP182" s="112"/>
      <c r="CQ182" s="112"/>
      <c r="CR182" s="112"/>
      <c r="CS182" s="112"/>
      <c r="CT182" s="112"/>
      <c r="CU182" s="112"/>
      <c r="CV182" s="112"/>
      <c r="CW182" s="112"/>
      <c r="CX182" s="112"/>
      <c r="CY182" s="112"/>
      <c r="CZ182" s="112"/>
      <c r="DA182" s="112"/>
      <c r="DB182" s="112"/>
      <c r="DC182" s="112"/>
      <c r="DD182" s="112"/>
      <c r="DE182" s="112"/>
      <c r="DF182" s="112"/>
      <c r="DG182" s="112"/>
      <c r="DH182" s="112"/>
      <c r="DI182" s="112"/>
      <c r="DJ182" s="112"/>
      <c r="DK182" s="112"/>
      <c r="DL182" s="112"/>
      <c r="DM182" s="112"/>
      <c r="DN182" s="112"/>
    </row>
    <row r="183" spans="1:118" x14ac:dyDescent="0.25">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c r="BR183" s="112"/>
      <c r="BS183" s="112"/>
      <c r="BT183" s="112"/>
      <c r="BU183" s="112"/>
      <c r="BV183" s="112"/>
      <c r="BW183" s="112"/>
      <c r="BX183" s="112"/>
      <c r="BY183" s="112"/>
      <c r="BZ183" s="112"/>
      <c r="CA183" s="112"/>
      <c r="CB183" s="112"/>
      <c r="CC183" s="112"/>
      <c r="CD183" s="112"/>
      <c r="CE183" s="112"/>
      <c r="CF183" s="112"/>
      <c r="CG183" s="112"/>
      <c r="CH183" s="112"/>
      <c r="CI183" s="112"/>
      <c r="CJ183" s="112"/>
      <c r="CK183" s="112"/>
      <c r="CL183" s="112"/>
      <c r="CM183" s="112"/>
      <c r="CN183" s="112"/>
      <c r="CO183" s="112"/>
      <c r="CP183" s="112"/>
      <c r="CQ183" s="112"/>
      <c r="CR183" s="112"/>
      <c r="CS183" s="112"/>
      <c r="CT183" s="112"/>
      <c r="CU183" s="112"/>
      <c r="CV183" s="112"/>
      <c r="CW183" s="112"/>
      <c r="CX183" s="112"/>
      <c r="CY183" s="112"/>
      <c r="CZ183" s="112"/>
      <c r="DA183" s="112"/>
      <c r="DB183" s="112"/>
      <c r="DC183" s="112"/>
      <c r="DD183" s="112"/>
      <c r="DE183" s="112"/>
      <c r="DF183" s="112"/>
      <c r="DG183" s="112"/>
      <c r="DH183" s="112"/>
      <c r="DI183" s="112"/>
      <c r="DJ183" s="112"/>
      <c r="DK183" s="112"/>
      <c r="DL183" s="112"/>
      <c r="DM183" s="112"/>
      <c r="DN183" s="112"/>
    </row>
    <row r="184" spans="1:118" x14ac:dyDescent="0.25">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c r="BR184" s="112"/>
      <c r="BS184" s="112"/>
      <c r="BT184" s="112"/>
      <c r="BU184" s="112"/>
      <c r="BV184" s="112"/>
      <c r="BW184" s="112"/>
      <c r="BX184" s="112"/>
      <c r="BY184" s="112"/>
      <c r="BZ184" s="112"/>
      <c r="CA184" s="112"/>
      <c r="CB184" s="112"/>
      <c r="CC184" s="112"/>
      <c r="CD184" s="112"/>
      <c r="CE184" s="112"/>
      <c r="CF184" s="112"/>
      <c r="CG184" s="112"/>
      <c r="CH184" s="112"/>
      <c r="CI184" s="112"/>
      <c r="CJ184" s="112"/>
      <c r="CK184" s="112"/>
      <c r="CL184" s="112"/>
      <c r="CM184" s="112"/>
      <c r="CN184" s="112"/>
      <c r="CO184" s="112"/>
      <c r="CP184" s="112"/>
      <c r="CQ184" s="112"/>
      <c r="CR184" s="112"/>
      <c r="CS184" s="112"/>
      <c r="CT184" s="112"/>
      <c r="CU184" s="112"/>
      <c r="CV184" s="112"/>
      <c r="CW184" s="112"/>
      <c r="CX184" s="112"/>
      <c r="CY184" s="112"/>
      <c r="CZ184" s="112"/>
      <c r="DA184" s="112"/>
      <c r="DB184" s="112"/>
      <c r="DC184" s="112"/>
      <c r="DD184" s="112"/>
      <c r="DE184" s="112"/>
      <c r="DF184" s="112"/>
      <c r="DG184" s="112"/>
      <c r="DH184" s="112"/>
      <c r="DI184" s="112"/>
      <c r="DJ184" s="112"/>
      <c r="DK184" s="112"/>
      <c r="DL184" s="112"/>
      <c r="DM184" s="112"/>
      <c r="DN184" s="112"/>
    </row>
    <row r="185" spans="1:118" x14ac:dyDescent="0.25">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c r="BR185" s="112"/>
      <c r="BS185" s="112"/>
      <c r="BT185" s="112"/>
      <c r="BU185" s="112"/>
      <c r="BV185" s="112"/>
      <c r="BW185" s="112"/>
      <c r="BX185" s="112"/>
      <c r="BY185" s="112"/>
      <c r="BZ185" s="112"/>
      <c r="CA185" s="112"/>
      <c r="CB185" s="112"/>
      <c r="CC185" s="112"/>
      <c r="CD185" s="112"/>
      <c r="CE185" s="112"/>
      <c r="CF185" s="112"/>
      <c r="CG185" s="112"/>
      <c r="CH185" s="112"/>
      <c r="CI185" s="112"/>
      <c r="CJ185" s="112"/>
      <c r="CK185" s="112"/>
      <c r="CL185" s="112"/>
      <c r="CM185" s="112"/>
      <c r="CN185" s="112"/>
      <c r="CO185" s="112"/>
      <c r="CP185" s="112"/>
      <c r="CQ185" s="112"/>
      <c r="CR185" s="112"/>
      <c r="CS185" s="112"/>
      <c r="CT185" s="112"/>
      <c r="CU185" s="112"/>
      <c r="CV185" s="112"/>
      <c r="CW185" s="112"/>
      <c r="CX185" s="112"/>
      <c r="CY185" s="112"/>
      <c r="CZ185" s="112"/>
      <c r="DA185" s="112"/>
      <c r="DB185" s="112"/>
      <c r="DC185" s="112"/>
      <c r="DD185" s="112"/>
      <c r="DE185" s="112"/>
      <c r="DF185" s="112"/>
      <c r="DG185" s="112"/>
      <c r="DH185" s="112"/>
      <c r="DI185" s="112"/>
      <c r="DJ185" s="112"/>
      <c r="DK185" s="112"/>
      <c r="DL185" s="112"/>
      <c r="DM185" s="112"/>
      <c r="DN185" s="112"/>
    </row>
    <row r="186" spans="1:118" x14ac:dyDescent="0.25">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c r="BR186" s="112"/>
      <c r="BS186" s="112"/>
      <c r="BT186" s="112"/>
      <c r="BU186" s="112"/>
      <c r="BV186" s="112"/>
      <c r="BW186" s="112"/>
      <c r="BX186" s="112"/>
      <c r="BY186" s="112"/>
      <c r="BZ186" s="112"/>
      <c r="CA186" s="112"/>
      <c r="CB186" s="112"/>
      <c r="CC186" s="112"/>
      <c r="CD186" s="112"/>
      <c r="CE186" s="112"/>
      <c r="CF186" s="112"/>
      <c r="CG186" s="112"/>
      <c r="CH186" s="112"/>
      <c r="CI186" s="112"/>
      <c r="CJ186" s="112"/>
      <c r="CK186" s="112"/>
      <c r="CL186" s="112"/>
      <c r="CM186" s="112"/>
      <c r="CN186" s="112"/>
      <c r="CO186" s="112"/>
      <c r="CP186" s="112"/>
      <c r="CQ186" s="112"/>
      <c r="CR186" s="112"/>
      <c r="CS186" s="112"/>
      <c r="CT186" s="112"/>
      <c r="CU186" s="112"/>
      <c r="CV186" s="112"/>
      <c r="CW186" s="112"/>
      <c r="CX186" s="112"/>
      <c r="CY186" s="112"/>
      <c r="CZ186" s="112"/>
      <c r="DA186" s="112"/>
      <c r="DB186" s="112"/>
      <c r="DC186" s="112"/>
      <c r="DD186" s="112"/>
      <c r="DE186" s="112"/>
      <c r="DF186" s="112"/>
      <c r="DG186" s="112"/>
      <c r="DH186" s="112"/>
      <c r="DI186" s="112"/>
      <c r="DJ186" s="112"/>
      <c r="DK186" s="112"/>
      <c r="DL186" s="112"/>
      <c r="DM186" s="112"/>
      <c r="DN186" s="112"/>
    </row>
    <row r="187" spans="1:118" x14ac:dyDescent="0.25">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c r="BR187" s="112"/>
      <c r="BS187" s="112"/>
      <c r="BT187" s="112"/>
      <c r="BU187" s="112"/>
      <c r="BV187" s="112"/>
      <c r="BW187" s="112"/>
      <c r="BX187" s="112"/>
      <c r="BY187" s="112"/>
      <c r="BZ187" s="112"/>
      <c r="CA187" s="112"/>
      <c r="CB187" s="112"/>
      <c r="CC187" s="112"/>
      <c r="CD187" s="112"/>
      <c r="CE187" s="112"/>
      <c r="CF187" s="112"/>
      <c r="CG187" s="112"/>
      <c r="CH187" s="112"/>
      <c r="CI187" s="112"/>
      <c r="CJ187" s="112"/>
      <c r="CK187" s="112"/>
      <c r="CL187" s="112"/>
      <c r="CM187" s="112"/>
      <c r="CN187" s="112"/>
      <c r="CO187" s="112"/>
      <c r="CP187" s="112"/>
      <c r="CQ187" s="112"/>
      <c r="CR187" s="112"/>
      <c r="CS187" s="112"/>
      <c r="CT187" s="112"/>
      <c r="CU187" s="112"/>
      <c r="CV187" s="112"/>
      <c r="CW187" s="112"/>
      <c r="CX187" s="112"/>
      <c r="CY187" s="112"/>
      <c r="CZ187" s="112"/>
      <c r="DA187" s="112"/>
      <c r="DB187" s="112"/>
      <c r="DC187" s="112"/>
      <c r="DD187" s="112"/>
      <c r="DE187" s="112"/>
      <c r="DF187" s="112"/>
      <c r="DG187" s="112"/>
      <c r="DH187" s="112"/>
      <c r="DI187" s="112"/>
      <c r="DJ187" s="112"/>
      <c r="DK187" s="112"/>
      <c r="DL187" s="112"/>
      <c r="DM187" s="112"/>
      <c r="DN187" s="112"/>
    </row>
    <row r="188" spans="1:118" x14ac:dyDescent="0.25">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c r="BR188" s="112"/>
      <c r="BS188" s="112"/>
      <c r="BT188" s="112"/>
      <c r="BU188" s="112"/>
      <c r="BV188" s="112"/>
      <c r="BW188" s="112"/>
      <c r="BX188" s="112"/>
      <c r="BY188" s="112"/>
      <c r="BZ188" s="112"/>
      <c r="CA188" s="112"/>
      <c r="CB188" s="112"/>
      <c r="CC188" s="112"/>
      <c r="CD188" s="112"/>
      <c r="CE188" s="112"/>
      <c r="CF188" s="112"/>
      <c r="CG188" s="112"/>
      <c r="CH188" s="112"/>
      <c r="CI188" s="112"/>
      <c r="CJ188" s="112"/>
      <c r="CK188" s="112"/>
      <c r="CL188" s="112"/>
      <c r="CM188" s="112"/>
      <c r="CN188" s="112"/>
      <c r="CO188" s="112"/>
      <c r="CP188" s="112"/>
      <c r="CQ188" s="112"/>
      <c r="CR188" s="112"/>
      <c r="CS188" s="112"/>
      <c r="CT188" s="112"/>
      <c r="CU188" s="112"/>
      <c r="CV188" s="112"/>
      <c r="CW188" s="112"/>
      <c r="CX188" s="112"/>
      <c r="CY188" s="112"/>
      <c r="CZ188" s="112"/>
      <c r="DA188" s="112"/>
      <c r="DB188" s="112"/>
      <c r="DC188" s="112"/>
      <c r="DD188" s="112"/>
      <c r="DE188" s="112"/>
      <c r="DF188" s="112"/>
      <c r="DG188" s="112"/>
      <c r="DH188" s="112"/>
      <c r="DI188" s="112"/>
      <c r="DJ188" s="112"/>
      <c r="DK188" s="112"/>
      <c r="DL188" s="112"/>
      <c r="DM188" s="112"/>
      <c r="DN188" s="112"/>
    </row>
    <row r="189" spans="1:118" x14ac:dyDescent="0.25">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c r="BR189" s="112"/>
      <c r="BS189" s="112"/>
      <c r="BT189" s="112"/>
      <c r="BU189" s="112"/>
      <c r="BV189" s="112"/>
      <c r="BW189" s="112"/>
      <c r="BX189" s="112"/>
      <c r="BY189" s="112"/>
      <c r="BZ189" s="112"/>
      <c r="CA189" s="112"/>
      <c r="CB189" s="112"/>
      <c r="CC189" s="112"/>
      <c r="CD189" s="112"/>
      <c r="CE189" s="112"/>
      <c r="CF189" s="112"/>
      <c r="CG189" s="112"/>
      <c r="CH189" s="112"/>
      <c r="CI189" s="112"/>
      <c r="CJ189" s="112"/>
      <c r="CK189" s="112"/>
      <c r="CL189" s="112"/>
      <c r="CM189" s="112"/>
      <c r="CN189" s="112"/>
      <c r="CO189" s="112"/>
      <c r="CP189" s="112"/>
      <c r="CQ189" s="112"/>
      <c r="CR189" s="112"/>
      <c r="CS189" s="112"/>
      <c r="CT189" s="112"/>
      <c r="CU189" s="112"/>
      <c r="CV189" s="112"/>
      <c r="CW189" s="112"/>
      <c r="CX189" s="112"/>
      <c r="CY189" s="112"/>
      <c r="CZ189" s="112"/>
      <c r="DA189" s="112"/>
      <c r="DB189" s="112"/>
      <c r="DC189" s="112"/>
      <c r="DD189" s="112"/>
      <c r="DE189" s="112"/>
      <c r="DF189" s="112"/>
      <c r="DG189" s="112"/>
      <c r="DH189" s="112"/>
      <c r="DI189" s="112"/>
      <c r="DJ189" s="112"/>
      <c r="DK189" s="112"/>
      <c r="DL189" s="112"/>
      <c r="DM189" s="112"/>
      <c r="DN189" s="112"/>
    </row>
    <row r="190" spans="1:118" x14ac:dyDescent="0.25">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c r="BR190" s="112"/>
      <c r="BS190" s="112"/>
      <c r="BT190" s="112"/>
      <c r="BU190" s="112"/>
      <c r="BV190" s="112"/>
      <c r="BW190" s="112"/>
      <c r="BX190" s="112"/>
      <c r="BY190" s="112"/>
      <c r="BZ190" s="112"/>
      <c r="CA190" s="112"/>
      <c r="CB190" s="112"/>
      <c r="CC190" s="112"/>
      <c r="CD190" s="112"/>
      <c r="CE190" s="112"/>
      <c r="CF190" s="112"/>
      <c r="CG190" s="112"/>
      <c r="CH190" s="112"/>
      <c r="CI190" s="112"/>
      <c r="CJ190" s="112"/>
      <c r="CK190" s="112"/>
      <c r="CL190" s="112"/>
      <c r="CM190" s="112"/>
      <c r="CN190" s="112"/>
      <c r="CO190" s="112"/>
      <c r="CP190" s="112"/>
      <c r="CQ190" s="112"/>
      <c r="CR190" s="112"/>
      <c r="CS190" s="112"/>
      <c r="CT190" s="112"/>
      <c r="CU190" s="112"/>
      <c r="CV190" s="112"/>
      <c r="CW190" s="112"/>
      <c r="CX190" s="112"/>
      <c r="CY190" s="112"/>
      <c r="CZ190" s="112"/>
      <c r="DA190" s="112"/>
      <c r="DB190" s="112"/>
      <c r="DC190" s="112"/>
      <c r="DD190" s="112"/>
      <c r="DE190" s="112"/>
      <c r="DF190" s="112"/>
      <c r="DG190" s="112"/>
      <c r="DH190" s="112"/>
      <c r="DI190" s="112"/>
      <c r="DJ190" s="112"/>
      <c r="DK190" s="112"/>
      <c r="DL190" s="112"/>
      <c r="DM190" s="112"/>
      <c r="DN190" s="112"/>
    </row>
    <row r="191" spans="1:118" x14ac:dyDescent="0.25">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c r="CA191" s="112"/>
      <c r="CB191" s="112"/>
      <c r="CC191" s="112"/>
      <c r="CD191" s="112"/>
      <c r="CE191" s="112"/>
      <c r="CF191" s="112"/>
      <c r="CG191" s="112"/>
      <c r="CH191" s="112"/>
      <c r="CI191" s="112"/>
      <c r="CJ191" s="112"/>
      <c r="CK191" s="112"/>
      <c r="CL191" s="112"/>
      <c r="CM191" s="112"/>
      <c r="CN191" s="112"/>
      <c r="CO191" s="112"/>
      <c r="CP191" s="112"/>
      <c r="CQ191" s="112"/>
      <c r="CR191" s="112"/>
      <c r="CS191" s="112"/>
      <c r="CT191" s="112"/>
      <c r="CU191" s="112"/>
      <c r="CV191" s="112"/>
      <c r="CW191" s="112"/>
      <c r="CX191" s="112"/>
      <c r="CY191" s="112"/>
      <c r="CZ191" s="112"/>
      <c r="DA191" s="112"/>
      <c r="DB191" s="112"/>
      <c r="DC191" s="112"/>
      <c r="DD191" s="112"/>
      <c r="DE191" s="112"/>
      <c r="DF191" s="112"/>
      <c r="DG191" s="112"/>
      <c r="DH191" s="112"/>
      <c r="DI191" s="112"/>
      <c r="DJ191" s="112"/>
      <c r="DK191" s="112"/>
      <c r="DL191" s="112"/>
      <c r="DM191" s="112"/>
      <c r="DN191" s="112"/>
    </row>
    <row r="192" spans="1:118" x14ac:dyDescent="0.25">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c r="BR192" s="112"/>
      <c r="BS192" s="112"/>
      <c r="BT192" s="112"/>
      <c r="BU192" s="112"/>
      <c r="BV192" s="112"/>
      <c r="BW192" s="112"/>
      <c r="BX192" s="112"/>
      <c r="BY192" s="112"/>
      <c r="BZ192" s="112"/>
      <c r="CA192" s="112"/>
      <c r="CB192" s="112"/>
      <c r="CC192" s="112"/>
      <c r="CD192" s="112"/>
      <c r="CE192" s="112"/>
      <c r="CF192" s="112"/>
      <c r="CG192" s="112"/>
      <c r="CH192" s="112"/>
      <c r="CI192" s="112"/>
      <c r="CJ192" s="112"/>
      <c r="CK192" s="112"/>
      <c r="CL192" s="112"/>
      <c r="CM192" s="112"/>
      <c r="CN192" s="112"/>
      <c r="CO192" s="112"/>
      <c r="CP192" s="112"/>
      <c r="CQ192" s="112"/>
      <c r="CR192" s="112"/>
      <c r="CS192" s="112"/>
      <c r="CT192" s="112"/>
      <c r="CU192" s="112"/>
      <c r="CV192" s="112"/>
      <c r="CW192" s="112"/>
      <c r="CX192" s="112"/>
      <c r="CY192" s="112"/>
      <c r="CZ192" s="112"/>
      <c r="DA192" s="112"/>
      <c r="DB192" s="112"/>
      <c r="DC192" s="112"/>
      <c r="DD192" s="112"/>
      <c r="DE192" s="112"/>
      <c r="DF192" s="112"/>
      <c r="DG192" s="112"/>
      <c r="DH192" s="112"/>
      <c r="DI192" s="112"/>
      <c r="DJ192" s="112"/>
      <c r="DK192" s="112"/>
      <c r="DL192" s="112"/>
      <c r="DM192" s="112"/>
      <c r="DN192" s="112"/>
    </row>
    <row r="193" spans="1:118" x14ac:dyDescent="0.25">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c r="BR193" s="112"/>
      <c r="BS193" s="112"/>
      <c r="BT193" s="112"/>
      <c r="BU193" s="112"/>
      <c r="BV193" s="112"/>
      <c r="BW193" s="112"/>
      <c r="BX193" s="112"/>
      <c r="BY193" s="112"/>
      <c r="BZ193" s="112"/>
      <c r="CA193" s="112"/>
      <c r="CB193" s="112"/>
      <c r="CC193" s="112"/>
      <c r="CD193" s="112"/>
      <c r="CE193" s="112"/>
      <c r="CF193" s="112"/>
      <c r="CG193" s="112"/>
      <c r="CH193" s="112"/>
      <c r="CI193" s="112"/>
      <c r="CJ193" s="112"/>
      <c r="CK193" s="112"/>
      <c r="CL193" s="112"/>
      <c r="CM193" s="112"/>
      <c r="CN193" s="112"/>
      <c r="CO193" s="112"/>
      <c r="CP193" s="112"/>
      <c r="CQ193" s="112"/>
      <c r="CR193" s="112"/>
      <c r="CS193" s="112"/>
      <c r="CT193" s="112"/>
      <c r="CU193" s="112"/>
      <c r="CV193" s="112"/>
      <c r="CW193" s="112"/>
      <c r="CX193" s="112"/>
      <c r="CY193" s="112"/>
      <c r="CZ193" s="112"/>
      <c r="DA193" s="112"/>
      <c r="DB193" s="112"/>
      <c r="DC193" s="112"/>
      <c r="DD193" s="112"/>
      <c r="DE193" s="112"/>
      <c r="DF193" s="112"/>
      <c r="DG193" s="112"/>
      <c r="DH193" s="112"/>
      <c r="DI193" s="112"/>
      <c r="DJ193" s="112"/>
      <c r="DK193" s="112"/>
      <c r="DL193" s="112"/>
      <c r="DM193" s="112"/>
      <c r="DN193" s="112"/>
    </row>
    <row r="194" spans="1:118" x14ac:dyDescent="0.25">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c r="BR194" s="112"/>
      <c r="BS194" s="112"/>
      <c r="BT194" s="112"/>
      <c r="BU194" s="112"/>
      <c r="BV194" s="112"/>
      <c r="BW194" s="112"/>
      <c r="BX194" s="112"/>
      <c r="BY194" s="112"/>
      <c r="BZ194" s="112"/>
      <c r="CA194" s="112"/>
      <c r="CB194" s="112"/>
      <c r="CC194" s="112"/>
      <c r="CD194" s="112"/>
      <c r="CE194" s="112"/>
      <c r="CF194" s="112"/>
      <c r="CG194" s="112"/>
      <c r="CH194" s="112"/>
      <c r="CI194" s="112"/>
      <c r="CJ194" s="112"/>
      <c r="CK194" s="112"/>
      <c r="CL194" s="112"/>
      <c r="CM194" s="112"/>
      <c r="CN194" s="112"/>
      <c r="CO194" s="112"/>
      <c r="CP194" s="112"/>
      <c r="CQ194" s="112"/>
      <c r="CR194" s="112"/>
      <c r="CS194" s="112"/>
      <c r="CT194" s="112"/>
      <c r="CU194" s="112"/>
      <c r="CV194" s="112"/>
      <c r="CW194" s="112"/>
      <c r="CX194" s="112"/>
      <c r="CY194" s="112"/>
      <c r="CZ194" s="112"/>
      <c r="DA194" s="112"/>
      <c r="DB194" s="112"/>
      <c r="DC194" s="112"/>
      <c r="DD194" s="112"/>
      <c r="DE194" s="112"/>
      <c r="DF194" s="112"/>
      <c r="DG194" s="112"/>
      <c r="DH194" s="112"/>
      <c r="DI194" s="112"/>
      <c r="DJ194" s="112"/>
      <c r="DK194" s="112"/>
      <c r="DL194" s="112"/>
      <c r="DM194" s="112"/>
      <c r="DN194" s="112"/>
    </row>
    <row r="195" spans="1:118" x14ac:dyDescent="0.25">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c r="BR195" s="112"/>
      <c r="BS195" s="112"/>
      <c r="BT195" s="112"/>
      <c r="BU195" s="112"/>
      <c r="BV195" s="112"/>
      <c r="BW195" s="112"/>
      <c r="BX195" s="112"/>
      <c r="BY195" s="112"/>
      <c r="BZ195" s="112"/>
      <c r="CA195" s="112"/>
      <c r="CB195" s="112"/>
      <c r="CC195" s="112"/>
      <c r="CD195" s="112"/>
      <c r="CE195" s="112"/>
      <c r="CF195" s="112"/>
      <c r="CG195" s="112"/>
      <c r="CH195" s="112"/>
      <c r="CI195" s="112"/>
      <c r="CJ195" s="112"/>
      <c r="CK195" s="112"/>
      <c r="CL195" s="112"/>
      <c r="CM195" s="112"/>
      <c r="CN195" s="112"/>
      <c r="CO195" s="112"/>
      <c r="CP195" s="112"/>
      <c r="CQ195" s="112"/>
      <c r="CR195" s="112"/>
      <c r="CS195" s="112"/>
      <c r="CT195" s="112"/>
      <c r="CU195" s="112"/>
      <c r="CV195" s="112"/>
      <c r="CW195" s="112"/>
      <c r="CX195" s="112"/>
      <c r="CY195" s="112"/>
      <c r="CZ195" s="112"/>
      <c r="DA195" s="112"/>
      <c r="DB195" s="112"/>
      <c r="DC195" s="112"/>
      <c r="DD195" s="112"/>
      <c r="DE195" s="112"/>
      <c r="DF195" s="112"/>
      <c r="DG195" s="112"/>
      <c r="DH195" s="112"/>
      <c r="DI195" s="112"/>
      <c r="DJ195" s="112"/>
      <c r="DK195" s="112"/>
      <c r="DL195" s="112"/>
      <c r="DM195" s="112"/>
      <c r="DN195" s="112"/>
    </row>
    <row r="196" spans="1:118" x14ac:dyDescent="0.25">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c r="CA196" s="112"/>
      <c r="CB196" s="112"/>
      <c r="CC196" s="112"/>
      <c r="CD196" s="112"/>
      <c r="CE196" s="112"/>
      <c r="CF196" s="112"/>
      <c r="CG196" s="112"/>
      <c r="CH196" s="112"/>
      <c r="CI196" s="112"/>
      <c r="CJ196" s="112"/>
      <c r="CK196" s="112"/>
      <c r="CL196" s="112"/>
      <c r="CM196" s="112"/>
      <c r="CN196" s="112"/>
      <c r="CO196" s="112"/>
      <c r="CP196" s="112"/>
      <c r="CQ196" s="112"/>
      <c r="CR196" s="112"/>
      <c r="CS196" s="112"/>
      <c r="CT196" s="112"/>
      <c r="CU196" s="112"/>
      <c r="CV196" s="112"/>
      <c r="CW196" s="112"/>
      <c r="CX196" s="112"/>
      <c r="CY196" s="112"/>
      <c r="CZ196" s="112"/>
      <c r="DA196" s="112"/>
      <c r="DB196" s="112"/>
      <c r="DC196" s="112"/>
      <c r="DD196" s="112"/>
      <c r="DE196" s="112"/>
      <c r="DF196" s="112"/>
      <c r="DG196" s="112"/>
      <c r="DH196" s="112"/>
      <c r="DI196" s="112"/>
      <c r="DJ196" s="112"/>
      <c r="DK196" s="112"/>
      <c r="DL196" s="112"/>
      <c r="DM196" s="112"/>
      <c r="DN196" s="112"/>
    </row>
    <row r="197" spans="1:118" x14ac:dyDescent="0.25">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c r="BR197" s="112"/>
      <c r="BS197" s="112"/>
      <c r="BT197" s="112"/>
      <c r="BU197" s="112"/>
      <c r="BV197" s="112"/>
      <c r="BW197" s="112"/>
      <c r="BX197" s="112"/>
      <c r="BY197" s="112"/>
      <c r="BZ197" s="112"/>
      <c r="CA197" s="112"/>
      <c r="CB197" s="112"/>
      <c r="CC197" s="112"/>
      <c r="CD197" s="112"/>
      <c r="CE197" s="112"/>
      <c r="CF197" s="112"/>
      <c r="CG197" s="112"/>
      <c r="CH197" s="112"/>
      <c r="CI197" s="112"/>
      <c r="CJ197" s="112"/>
      <c r="CK197" s="112"/>
      <c r="CL197" s="112"/>
      <c r="CM197" s="112"/>
      <c r="CN197" s="112"/>
      <c r="CO197" s="112"/>
      <c r="CP197" s="112"/>
      <c r="CQ197" s="112"/>
      <c r="CR197" s="112"/>
      <c r="CS197" s="112"/>
      <c r="CT197" s="112"/>
      <c r="CU197" s="112"/>
      <c r="CV197" s="112"/>
      <c r="CW197" s="112"/>
      <c r="CX197" s="112"/>
      <c r="CY197" s="112"/>
      <c r="CZ197" s="112"/>
      <c r="DA197" s="112"/>
      <c r="DB197" s="112"/>
      <c r="DC197" s="112"/>
      <c r="DD197" s="112"/>
      <c r="DE197" s="112"/>
      <c r="DF197" s="112"/>
      <c r="DG197" s="112"/>
      <c r="DH197" s="112"/>
      <c r="DI197" s="112"/>
      <c r="DJ197" s="112"/>
      <c r="DK197" s="112"/>
      <c r="DL197" s="112"/>
      <c r="DM197" s="112"/>
      <c r="DN197" s="112"/>
    </row>
    <row r="198" spans="1:118" x14ac:dyDescent="0.25">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c r="BR198" s="112"/>
      <c r="BS198" s="112"/>
      <c r="BT198" s="112"/>
      <c r="BU198" s="112"/>
      <c r="BV198" s="112"/>
      <c r="BW198" s="112"/>
      <c r="BX198" s="112"/>
      <c r="BY198" s="112"/>
      <c r="BZ198" s="112"/>
      <c r="CA198" s="112"/>
      <c r="CB198" s="112"/>
      <c r="CC198" s="112"/>
      <c r="CD198" s="112"/>
      <c r="CE198" s="112"/>
      <c r="CF198" s="112"/>
      <c r="CG198" s="112"/>
      <c r="CH198" s="112"/>
      <c r="CI198" s="112"/>
      <c r="CJ198" s="112"/>
      <c r="CK198" s="112"/>
      <c r="CL198" s="112"/>
      <c r="CM198" s="112"/>
      <c r="CN198" s="112"/>
      <c r="CO198" s="112"/>
      <c r="CP198" s="112"/>
      <c r="CQ198" s="112"/>
      <c r="CR198" s="112"/>
      <c r="CS198" s="112"/>
      <c r="CT198" s="112"/>
      <c r="CU198" s="112"/>
      <c r="CV198" s="112"/>
      <c r="CW198" s="112"/>
      <c r="CX198" s="112"/>
      <c r="CY198" s="112"/>
      <c r="CZ198" s="112"/>
      <c r="DA198" s="112"/>
      <c r="DB198" s="112"/>
      <c r="DC198" s="112"/>
      <c r="DD198" s="112"/>
      <c r="DE198" s="112"/>
      <c r="DF198" s="112"/>
      <c r="DG198" s="112"/>
      <c r="DH198" s="112"/>
      <c r="DI198" s="112"/>
      <c r="DJ198" s="112"/>
      <c r="DK198" s="112"/>
      <c r="DL198" s="112"/>
      <c r="DM198" s="112"/>
      <c r="DN198" s="112"/>
    </row>
    <row r="199" spans="1:118" x14ac:dyDescent="0.25">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c r="BR199" s="112"/>
      <c r="BS199" s="112"/>
      <c r="BT199" s="112"/>
      <c r="BU199" s="112"/>
      <c r="BV199" s="112"/>
      <c r="BW199" s="112"/>
      <c r="BX199" s="112"/>
      <c r="BY199" s="112"/>
      <c r="BZ199" s="112"/>
      <c r="CA199" s="112"/>
      <c r="CB199" s="112"/>
      <c r="CC199" s="112"/>
      <c r="CD199" s="112"/>
      <c r="CE199" s="112"/>
      <c r="CF199" s="112"/>
      <c r="CG199" s="112"/>
      <c r="CH199" s="112"/>
      <c r="CI199" s="112"/>
      <c r="CJ199" s="112"/>
      <c r="CK199" s="112"/>
      <c r="CL199" s="112"/>
      <c r="CM199" s="112"/>
      <c r="CN199" s="112"/>
      <c r="CO199" s="112"/>
      <c r="CP199" s="112"/>
      <c r="CQ199" s="112"/>
      <c r="CR199" s="112"/>
      <c r="CS199" s="112"/>
      <c r="CT199" s="112"/>
      <c r="CU199" s="112"/>
      <c r="CV199" s="112"/>
      <c r="CW199" s="112"/>
      <c r="CX199" s="112"/>
      <c r="CY199" s="112"/>
      <c r="CZ199" s="112"/>
      <c r="DA199" s="112"/>
      <c r="DB199" s="112"/>
      <c r="DC199" s="112"/>
      <c r="DD199" s="112"/>
      <c r="DE199" s="112"/>
      <c r="DF199" s="112"/>
      <c r="DG199" s="112"/>
      <c r="DH199" s="112"/>
      <c r="DI199" s="112"/>
      <c r="DJ199" s="112"/>
      <c r="DK199" s="112"/>
      <c r="DL199" s="112"/>
      <c r="DM199" s="112"/>
      <c r="DN199" s="112"/>
    </row>
    <row r="200" spans="1:118" x14ac:dyDescent="0.25">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c r="BR200" s="112"/>
      <c r="BS200" s="112"/>
      <c r="BT200" s="112"/>
      <c r="BU200" s="112"/>
      <c r="BV200" s="112"/>
      <c r="BW200" s="112"/>
      <c r="BX200" s="112"/>
      <c r="BY200" s="112"/>
      <c r="BZ200" s="112"/>
      <c r="CA200" s="112"/>
      <c r="CB200" s="112"/>
      <c r="CC200" s="112"/>
      <c r="CD200" s="112"/>
      <c r="CE200" s="112"/>
      <c r="CF200" s="112"/>
      <c r="CG200" s="112"/>
      <c r="CH200" s="112"/>
      <c r="CI200" s="112"/>
      <c r="CJ200" s="112"/>
      <c r="CK200" s="112"/>
      <c r="CL200" s="112"/>
      <c r="CM200" s="112"/>
      <c r="CN200" s="112"/>
      <c r="CO200" s="112"/>
      <c r="CP200" s="112"/>
      <c r="CQ200" s="112"/>
      <c r="CR200" s="112"/>
      <c r="CS200" s="112"/>
      <c r="CT200" s="112"/>
      <c r="CU200" s="112"/>
      <c r="CV200" s="112"/>
      <c r="CW200" s="112"/>
      <c r="CX200" s="112"/>
      <c r="CY200" s="112"/>
      <c r="CZ200" s="112"/>
      <c r="DA200" s="112"/>
      <c r="DB200" s="112"/>
      <c r="DC200" s="112"/>
      <c r="DD200" s="112"/>
      <c r="DE200" s="112"/>
      <c r="DF200" s="112"/>
      <c r="DG200" s="112"/>
      <c r="DH200" s="112"/>
      <c r="DI200" s="112"/>
      <c r="DJ200" s="112"/>
      <c r="DK200" s="112"/>
      <c r="DL200" s="112"/>
      <c r="DM200" s="112"/>
      <c r="DN200" s="112"/>
    </row>
    <row r="201" spans="1:118" x14ac:dyDescent="0.25">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c r="BR201" s="112"/>
      <c r="BS201" s="112"/>
      <c r="BT201" s="112"/>
      <c r="BU201" s="112"/>
      <c r="BV201" s="112"/>
      <c r="BW201" s="112"/>
      <c r="BX201" s="112"/>
      <c r="BY201" s="112"/>
      <c r="BZ201" s="112"/>
      <c r="CA201" s="112"/>
      <c r="CB201" s="112"/>
      <c r="CC201" s="112"/>
      <c r="CD201" s="112"/>
      <c r="CE201" s="112"/>
      <c r="CF201" s="112"/>
      <c r="CG201" s="112"/>
      <c r="CH201" s="112"/>
      <c r="CI201" s="112"/>
      <c r="CJ201" s="112"/>
      <c r="CK201" s="112"/>
      <c r="CL201" s="112"/>
      <c r="CM201" s="112"/>
      <c r="CN201" s="112"/>
      <c r="CO201" s="112"/>
      <c r="CP201" s="112"/>
      <c r="CQ201" s="112"/>
      <c r="CR201" s="112"/>
      <c r="CS201" s="112"/>
      <c r="CT201" s="112"/>
      <c r="CU201" s="112"/>
      <c r="CV201" s="112"/>
      <c r="CW201" s="112"/>
      <c r="CX201" s="112"/>
      <c r="CY201" s="112"/>
      <c r="CZ201" s="112"/>
      <c r="DA201" s="112"/>
      <c r="DB201" s="112"/>
      <c r="DC201" s="112"/>
      <c r="DD201" s="112"/>
      <c r="DE201" s="112"/>
      <c r="DF201" s="112"/>
      <c r="DG201" s="112"/>
      <c r="DH201" s="112"/>
      <c r="DI201" s="112"/>
      <c r="DJ201" s="112"/>
      <c r="DK201" s="112"/>
      <c r="DL201" s="112"/>
      <c r="DM201" s="112"/>
      <c r="DN201" s="112"/>
    </row>
    <row r="202" spans="1:118" x14ac:dyDescent="0.25">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c r="BR202" s="112"/>
      <c r="BS202" s="112"/>
      <c r="BT202" s="112"/>
      <c r="BU202" s="112"/>
      <c r="BV202" s="112"/>
      <c r="BW202" s="112"/>
      <c r="BX202" s="112"/>
      <c r="BY202" s="112"/>
      <c r="BZ202" s="112"/>
      <c r="CA202" s="112"/>
      <c r="CB202" s="112"/>
      <c r="CC202" s="112"/>
      <c r="CD202" s="112"/>
      <c r="CE202" s="112"/>
      <c r="CF202" s="112"/>
      <c r="CG202" s="112"/>
      <c r="CH202" s="112"/>
      <c r="CI202" s="112"/>
      <c r="CJ202" s="112"/>
      <c r="CK202" s="112"/>
      <c r="CL202" s="112"/>
      <c r="CM202" s="112"/>
      <c r="CN202" s="112"/>
      <c r="CO202" s="112"/>
      <c r="CP202" s="112"/>
      <c r="CQ202" s="112"/>
      <c r="CR202" s="112"/>
      <c r="CS202" s="112"/>
      <c r="CT202" s="112"/>
      <c r="CU202" s="112"/>
      <c r="CV202" s="112"/>
      <c r="CW202" s="112"/>
      <c r="CX202" s="112"/>
      <c r="CY202" s="112"/>
      <c r="CZ202" s="112"/>
      <c r="DA202" s="112"/>
      <c r="DB202" s="112"/>
      <c r="DC202" s="112"/>
      <c r="DD202" s="112"/>
      <c r="DE202" s="112"/>
      <c r="DF202" s="112"/>
      <c r="DG202" s="112"/>
      <c r="DH202" s="112"/>
      <c r="DI202" s="112"/>
      <c r="DJ202" s="112"/>
      <c r="DK202" s="112"/>
      <c r="DL202" s="112"/>
      <c r="DM202" s="112"/>
      <c r="DN202" s="112"/>
    </row>
    <row r="203" spans="1:118" x14ac:dyDescent="0.25">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c r="BR203" s="112"/>
      <c r="BS203" s="112"/>
      <c r="BT203" s="112"/>
      <c r="BU203" s="112"/>
      <c r="BV203" s="112"/>
      <c r="BW203" s="112"/>
      <c r="BX203" s="112"/>
      <c r="BY203" s="112"/>
      <c r="BZ203" s="112"/>
      <c r="CA203" s="112"/>
      <c r="CB203" s="112"/>
      <c r="CC203" s="112"/>
      <c r="CD203" s="112"/>
      <c r="CE203" s="112"/>
      <c r="CF203" s="112"/>
      <c r="CG203" s="112"/>
      <c r="CH203" s="112"/>
      <c r="CI203" s="112"/>
      <c r="CJ203" s="112"/>
      <c r="CK203" s="112"/>
      <c r="CL203" s="112"/>
      <c r="CM203" s="112"/>
      <c r="CN203" s="112"/>
      <c r="CO203" s="112"/>
      <c r="CP203" s="112"/>
      <c r="CQ203" s="112"/>
      <c r="CR203" s="112"/>
      <c r="CS203" s="112"/>
      <c r="CT203" s="112"/>
      <c r="CU203" s="112"/>
      <c r="CV203" s="112"/>
      <c r="CW203" s="112"/>
      <c r="CX203" s="112"/>
      <c r="CY203" s="112"/>
      <c r="CZ203" s="112"/>
      <c r="DA203" s="112"/>
      <c r="DB203" s="112"/>
      <c r="DC203" s="112"/>
      <c r="DD203" s="112"/>
      <c r="DE203" s="112"/>
      <c r="DF203" s="112"/>
      <c r="DG203" s="112"/>
      <c r="DH203" s="112"/>
      <c r="DI203" s="112"/>
      <c r="DJ203" s="112"/>
      <c r="DK203" s="112"/>
      <c r="DL203" s="112"/>
      <c r="DM203" s="112"/>
      <c r="DN203" s="112"/>
    </row>
    <row r="204" spans="1:118" x14ac:dyDescent="0.25">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c r="BR204" s="112"/>
      <c r="BS204" s="112"/>
      <c r="BT204" s="112"/>
      <c r="BU204" s="112"/>
      <c r="BV204" s="112"/>
      <c r="BW204" s="112"/>
      <c r="BX204" s="112"/>
      <c r="BY204" s="112"/>
      <c r="BZ204" s="112"/>
      <c r="CA204" s="112"/>
      <c r="CB204" s="112"/>
      <c r="CC204" s="112"/>
      <c r="CD204" s="112"/>
      <c r="CE204" s="112"/>
      <c r="CF204" s="112"/>
      <c r="CG204" s="112"/>
      <c r="CH204" s="112"/>
      <c r="CI204" s="112"/>
      <c r="CJ204" s="112"/>
      <c r="CK204" s="112"/>
      <c r="CL204" s="112"/>
      <c r="CM204" s="112"/>
      <c r="CN204" s="112"/>
      <c r="CO204" s="112"/>
      <c r="CP204" s="112"/>
      <c r="CQ204" s="112"/>
      <c r="CR204" s="112"/>
      <c r="CS204" s="112"/>
      <c r="CT204" s="112"/>
      <c r="CU204" s="112"/>
      <c r="CV204" s="112"/>
      <c r="CW204" s="112"/>
      <c r="CX204" s="112"/>
      <c r="CY204" s="112"/>
      <c r="CZ204" s="112"/>
      <c r="DA204" s="112"/>
      <c r="DB204" s="112"/>
      <c r="DC204" s="112"/>
      <c r="DD204" s="112"/>
      <c r="DE204" s="112"/>
      <c r="DF204" s="112"/>
      <c r="DG204" s="112"/>
      <c r="DH204" s="112"/>
      <c r="DI204" s="112"/>
      <c r="DJ204" s="112"/>
      <c r="DK204" s="112"/>
      <c r="DL204" s="112"/>
      <c r="DM204" s="112"/>
      <c r="DN204" s="112"/>
    </row>
    <row r="205" spans="1:118" x14ac:dyDescent="0.25">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c r="CA205" s="112"/>
      <c r="CB205" s="112"/>
      <c r="CC205" s="112"/>
      <c r="CD205" s="112"/>
      <c r="CE205" s="112"/>
      <c r="CF205" s="112"/>
      <c r="CG205" s="112"/>
      <c r="CH205" s="112"/>
      <c r="CI205" s="112"/>
      <c r="CJ205" s="112"/>
      <c r="CK205" s="112"/>
      <c r="CL205" s="112"/>
      <c r="CM205" s="112"/>
      <c r="CN205" s="112"/>
      <c r="CO205" s="112"/>
      <c r="CP205" s="112"/>
      <c r="CQ205" s="112"/>
      <c r="CR205" s="112"/>
      <c r="CS205" s="112"/>
      <c r="CT205" s="112"/>
      <c r="CU205" s="112"/>
      <c r="CV205" s="112"/>
      <c r="CW205" s="112"/>
      <c r="CX205" s="112"/>
      <c r="CY205" s="112"/>
      <c r="CZ205" s="112"/>
      <c r="DA205" s="112"/>
      <c r="DB205" s="112"/>
      <c r="DC205" s="112"/>
      <c r="DD205" s="112"/>
      <c r="DE205" s="112"/>
      <c r="DF205" s="112"/>
      <c r="DG205" s="112"/>
      <c r="DH205" s="112"/>
      <c r="DI205" s="112"/>
      <c r="DJ205" s="112"/>
      <c r="DK205" s="112"/>
      <c r="DL205" s="112"/>
      <c r="DM205" s="112"/>
      <c r="DN205" s="112"/>
    </row>
    <row r="206" spans="1:118" x14ac:dyDescent="0.25">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c r="BR206" s="112"/>
      <c r="BS206" s="112"/>
      <c r="BT206" s="112"/>
      <c r="BU206" s="112"/>
      <c r="BV206" s="112"/>
      <c r="BW206" s="112"/>
      <c r="BX206" s="112"/>
      <c r="BY206" s="112"/>
      <c r="BZ206" s="112"/>
      <c r="CA206" s="112"/>
      <c r="CB206" s="112"/>
      <c r="CC206" s="112"/>
      <c r="CD206" s="112"/>
      <c r="CE206" s="112"/>
      <c r="CF206" s="112"/>
      <c r="CG206" s="112"/>
      <c r="CH206" s="112"/>
      <c r="CI206" s="112"/>
      <c r="CJ206" s="112"/>
      <c r="CK206" s="112"/>
      <c r="CL206" s="112"/>
      <c r="CM206" s="112"/>
      <c r="CN206" s="112"/>
      <c r="CO206" s="112"/>
      <c r="CP206" s="112"/>
      <c r="CQ206" s="112"/>
      <c r="CR206" s="112"/>
      <c r="CS206" s="112"/>
      <c r="CT206" s="112"/>
      <c r="CU206" s="112"/>
      <c r="CV206" s="112"/>
      <c r="CW206" s="112"/>
      <c r="CX206" s="112"/>
      <c r="CY206" s="112"/>
      <c r="CZ206" s="112"/>
      <c r="DA206" s="112"/>
      <c r="DB206" s="112"/>
      <c r="DC206" s="112"/>
      <c r="DD206" s="112"/>
      <c r="DE206" s="112"/>
      <c r="DF206" s="112"/>
      <c r="DG206" s="112"/>
      <c r="DH206" s="112"/>
      <c r="DI206" s="112"/>
      <c r="DJ206" s="112"/>
      <c r="DK206" s="112"/>
      <c r="DL206" s="112"/>
      <c r="DM206" s="112"/>
      <c r="DN206" s="112"/>
    </row>
    <row r="207" spans="1:118" x14ac:dyDescent="0.25">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c r="BR207" s="112"/>
      <c r="BS207" s="112"/>
      <c r="BT207" s="112"/>
      <c r="BU207" s="112"/>
      <c r="BV207" s="112"/>
      <c r="BW207" s="112"/>
      <c r="BX207" s="112"/>
      <c r="BY207" s="112"/>
      <c r="BZ207" s="112"/>
      <c r="CA207" s="112"/>
      <c r="CB207" s="112"/>
      <c r="CC207" s="112"/>
      <c r="CD207" s="112"/>
      <c r="CE207" s="112"/>
      <c r="CF207" s="112"/>
      <c r="CG207" s="112"/>
      <c r="CH207" s="112"/>
      <c r="CI207" s="112"/>
      <c r="CJ207" s="112"/>
      <c r="CK207" s="112"/>
      <c r="CL207" s="112"/>
      <c r="CM207" s="112"/>
      <c r="CN207" s="112"/>
      <c r="CO207" s="112"/>
      <c r="CP207" s="112"/>
      <c r="CQ207" s="112"/>
      <c r="CR207" s="112"/>
      <c r="CS207" s="112"/>
      <c r="CT207" s="112"/>
      <c r="CU207" s="112"/>
      <c r="CV207" s="112"/>
      <c r="CW207" s="112"/>
      <c r="CX207" s="112"/>
      <c r="CY207" s="112"/>
      <c r="CZ207" s="112"/>
      <c r="DA207" s="112"/>
      <c r="DB207" s="112"/>
      <c r="DC207" s="112"/>
      <c r="DD207" s="112"/>
      <c r="DE207" s="112"/>
      <c r="DF207" s="112"/>
      <c r="DG207" s="112"/>
      <c r="DH207" s="112"/>
      <c r="DI207" s="112"/>
      <c r="DJ207" s="112"/>
      <c r="DK207" s="112"/>
      <c r="DL207" s="112"/>
      <c r="DM207" s="112"/>
      <c r="DN207" s="112"/>
    </row>
    <row r="208" spans="1:118" x14ac:dyDescent="0.25">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c r="BR208" s="112"/>
      <c r="BS208" s="112"/>
      <c r="BT208" s="112"/>
      <c r="BU208" s="112"/>
      <c r="BV208" s="112"/>
      <c r="BW208" s="112"/>
      <c r="BX208" s="112"/>
      <c r="BY208" s="112"/>
      <c r="BZ208" s="112"/>
      <c r="CA208" s="112"/>
      <c r="CB208" s="112"/>
      <c r="CC208" s="112"/>
      <c r="CD208" s="112"/>
      <c r="CE208" s="112"/>
      <c r="CF208" s="112"/>
      <c r="CG208" s="112"/>
      <c r="CH208" s="112"/>
      <c r="CI208" s="112"/>
      <c r="CJ208" s="112"/>
      <c r="CK208" s="112"/>
      <c r="CL208" s="112"/>
      <c r="CM208" s="112"/>
      <c r="CN208" s="112"/>
      <c r="CO208" s="112"/>
      <c r="CP208" s="112"/>
      <c r="CQ208" s="112"/>
      <c r="CR208" s="112"/>
      <c r="CS208" s="112"/>
      <c r="CT208" s="112"/>
      <c r="CU208" s="112"/>
      <c r="CV208" s="112"/>
      <c r="CW208" s="112"/>
      <c r="CX208" s="112"/>
      <c r="CY208" s="112"/>
      <c r="CZ208" s="112"/>
      <c r="DA208" s="112"/>
      <c r="DB208" s="112"/>
      <c r="DC208" s="112"/>
      <c r="DD208" s="112"/>
      <c r="DE208" s="112"/>
      <c r="DF208" s="112"/>
      <c r="DG208" s="112"/>
      <c r="DH208" s="112"/>
      <c r="DI208" s="112"/>
      <c r="DJ208" s="112"/>
      <c r="DK208" s="112"/>
      <c r="DL208" s="112"/>
      <c r="DM208" s="112"/>
      <c r="DN208" s="112"/>
    </row>
    <row r="209" spans="1:118" x14ac:dyDescent="0.25">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c r="BR209" s="112"/>
      <c r="BS209" s="112"/>
      <c r="BT209" s="112"/>
      <c r="BU209" s="112"/>
      <c r="BV209" s="112"/>
      <c r="BW209" s="112"/>
      <c r="BX209" s="112"/>
      <c r="BY209" s="112"/>
      <c r="BZ209" s="112"/>
      <c r="CA209" s="112"/>
      <c r="CB209" s="112"/>
      <c r="CC209" s="112"/>
      <c r="CD209" s="112"/>
      <c r="CE209" s="112"/>
      <c r="CF209" s="112"/>
      <c r="CG209" s="112"/>
      <c r="CH209" s="112"/>
      <c r="CI209" s="112"/>
      <c r="CJ209" s="112"/>
      <c r="CK209" s="112"/>
      <c r="CL209" s="112"/>
      <c r="CM209" s="112"/>
      <c r="CN209" s="112"/>
      <c r="CO209" s="112"/>
      <c r="CP209" s="112"/>
      <c r="CQ209" s="112"/>
      <c r="CR209" s="112"/>
      <c r="CS209" s="112"/>
      <c r="CT209" s="112"/>
      <c r="CU209" s="112"/>
      <c r="CV209" s="112"/>
      <c r="CW209" s="112"/>
      <c r="CX209" s="112"/>
      <c r="CY209" s="112"/>
      <c r="CZ209" s="112"/>
      <c r="DA209" s="112"/>
      <c r="DB209" s="112"/>
      <c r="DC209" s="112"/>
      <c r="DD209" s="112"/>
      <c r="DE209" s="112"/>
      <c r="DF209" s="112"/>
      <c r="DG209" s="112"/>
      <c r="DH209" s="112"/>
      <c r="DI209" s="112"/>
      <c r="DJ209" s="112"/>
      <c r="DK209" s="112"/>
      <c r="DL209" s="112"/>
      <c r="DM209" s="112"/>
      <c r="DN209" s="112"/>
    </row>
    <row r="210" spans="1:118" x14ac:dyDescent="0.25">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c r="BR210" s="112"/>
      <c r="BS210" s="112"/>
      <c r="BT210" s="112"/>
      <c r="BU210" s="112"/>
      <c r="BV210" s="112"/>
      <c r="BW210" s="112"/>
      <c r="BX210" s="112"/>
      <c r="BY210" s="112"/>
      <c r="BZ210" s="112"/>
      <c r="CA210" s="112"/>
      <c r="CB210" s="112"/>
      <c r="CC210" s="112"/>
      <c r="CD210" s="112"/>
      <c r="CE210" s="112"/>
      <c r="CF210" s="112"/>
      <c r="CG210" s="112"/>
      <c r="CH210" s="112"/>
      <c r="CI210" s="112"/>
      <c r="CJ210" s="112"/>
      <c r="CK210" s="112"/>
      <c r="CL210" s="112"/>
      <c r="CM210" s="112"/>
      <c r="CN210" s="112"/>
      <c r="CO210" s="112"/>
      <c r="CP210" s="112"/>
      <c r="CQ210" s="112"/>
      <c r="CR210" s="112"/>
      <c r="CS210" s="112"/>
      <c r="CT210" s="112"/>
      <c r="CU210" s="112"/>
      <c r="CV210" s="112"/>
      <c r="CW210" s="112"/>
      <c r="CX210" s="112"/>
      <c r="CY210" s="112"/>
      <c r="CZ210" s="112"/>
      <c r="DA210" s="112"/>
      <c r="DB210" s="112"/>
      <c r="DC210" s="112"/>
      <c r="DD210" s="112"/>
      <c r="DE210" s="112"/>
      <c r="DF210" s="112"/>
      <c r="DG210" s="112"/>
      <c r="DH210" s="112"/>
      <c r="DI210" s="112"/>
      <c r="DJ210" s="112"/>
      <c r="DK210" s="112"/>
      <c r="DL210" s="112"/>
      <c r="DM210" s="112"/>
      <c r="DN210" s="112"/>
    </row>
    <row r="211" spans="1:118" x14ac:dyDescent="0.25">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c r="BR211" s="112"/>
      <c r="BS211" s="112"/>
      <c r="BT211" s="112"/>
      <c r="BU211" s="112"/>
      <c r="BV211" s="112"/>
      <c r="BW211" s="112"/>
      <c r="BX211" s="112"/>
      <c r="BY211" s="112"/>
      <c r="BZ211" s="112"/>
      <c r="CA211" s="112"/>
      <c r="CB211" s="112"/>
      <c r="CC211" s="112"/>
      <c r="CD211" s="112"/>
      <c r="CE211" s="112"/>
      <c r="CF211" s="112"/>
      <c r="CG211" s="112"/>
      <c r="CH211" s="112"/>
      <c r="CI211" s="112"/>
      <c r="CJ211" s="112"/>
      <c r="CK211" s="112"/>
      <c r="CL211" s="112"/>
      <c r="CM211" s="112"/>
      <c r="CN211" s="112"/>
      <c r="CO211" s="112"/>
      <c r="CP211" s="112"/>
      <c r="CQ211" s="112"/>
      <c r="CR211" s="112"/>
      <c r="CS211" s="112"/>
      <c r="CT211" s="112"/>
      <c r="CU211" s="112"/>
      <c r="CV211" s="112"/>
      <c r="CW211" s="112"/>
      <c r="CX211" s="112"/>
      <c r="CY211" s="112"/>
      <c r="CZ211" s="112"/>
      <c r="DA211" s="112"/>
      <c r="DB211" s="112"/>
      <c r="DC211" s="112"/>
      <c r="DD211" s="112"/>
      <c r="DE211" s="112"/>
      <c r="DF211" s="112"/>
      <c r="DG211" s="112"/>
      <c r="DH211" s="112"/>
      <c r="DI211" s="112"/>
      <c r="DJ211" s="112"/>
      <c r="DK211" s="112"/>
      <c r="DL211" s="112"/>
      <c r="DM211" s="112"/>
      <c r="DN211" s="112"/>
    </row>
    <row r="212" spans="1:118" x14ac:dyDescent="0.25">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c r="BR212" s="112"/>
      <c r="BS212" s="112"/>
      <c r="BT212" s="112"/>
      <c r="BU212" s="112"/>
      <c r="BV212" s="112"/>
      <c r="BW212" s="112"/>
      <c r="BX212" s="112"/>
      <c r="BY212" s="112"/>
      <c r="BZ212" s="112"/>
      <c r="CA212" s="112"/>
      <c r="CB212" s="112"/>
      <c r="CC212" s="112"/>
      <c r="CD212" s="112"/>
      <c r="CE212" s="112"/>
      <c r="CF212" s="112"/>
      <c r="CG212" s="112"/>
      <c r="CH212" s="112"/>
      <c r="CI212" s="112"/>
      <c r="CJ212" s="112"/>
      <c r="CK212" s="112"/>
      <c r="CL212" s="112"/>
      <c r="CM212" s="112"/>
      <c r="CN212" s="112"/>
      <c r="CO212" s="112"/>
      <c r="CP212" s="112"/>
      <c r="CQ212" s="112"/>
      <c r="CR212" s="112"/>
      <c r="CS212" s="112"/>
      <c r="CT212" s="112"/>
      <c r="CU212" s="112"/>
      <c r="CV212" s="112"/>
      <c r="CW212" s="112"/>
      <c r="CX212" s="112"/>
      <c r="CY212" s="112"/>
      <c r="CZ212" s="112"/>
      <c r="DA212" s="112"/>
      <c r="DB212" s="112"/>
      <c r="DC212" s="112"/>
      <c r="DD212" s="112"/>
      <c r="DE212" s="112"/>
      <c r="DF212" s="112"/>
      <c r="DG212" s="112"/>
      <c r="DH212" s="112"/>
      <c r="DI212" s="112"/>
      <c r="DJ212" s="112"/>
      <c r="DK212" s="112"/>
      <c r="DL212" s="112"/>
      <c r="DM212" s="112"/>
      <c r="DN212" s="112"/>
    </row>
    <row r="213" spans="1:118" x14ac:dyDescent="0.25">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c r="BR213" s="112"/>
      <c r="BS213" s="112"/>
      <c r="BT213" s="112"/>
      <c r="BU213" s="112"/>
      <c r="BV213" s="112"/>
      <c r="BW213" s="112"/>
      <c r="BX213" s="112"/>
      <c r="BY213" s="112"/>
      <c r="BZ213" s="112"/>
      <c r="CA213" s="112"/>
      <c r="CB213" s="112"/>
      <c r="CC213" s="112"/>
      <c r="CD213" s="112"/>
      <c r="CE213" s="112"/>
      <c r="CF213" s="112"/>
      <c r="CG213" s="112"/>
      <c r="CH213" s="112"/>
      <c r="CI213" s="112"/>
      <c r="CJ213" s="112"/>
      <c r="CK213" s="112"/>
      <c r="CL213" s="112"/>
      <c r="CM213" s="112"/>
      <c r="CN213" s="112"/>
      <c r="CO213" s="112"/>
      <c r="CP213" s="112"/>
      <c r="CQ213" s="112"/>
      <c r="CR213" s="112"/>
      <c r="CS213" s="112"/>
      <c r="CT213" s="112"/>
      <c r="CU213" s="112"/>
      <c r="CV213" s="112"/>
      <c r="CW213" s="112"/>
      <c r="CX213" s="112"/>
      <c r="CY213" s="112"/>
      <c r="CZ213" s="112"/>
      <c r="DA213" s="112"/>
      <c r="DB213" s="112"/>
      <c r="DC213" s="112"/>
      <c r="DD213" s="112"/>
      <c r="DE213" s="112"/>
      <c r="DF213" s="112"/>
      <c r="DG213" s="112"/>
      <c r="DH213" s="112"/>
      <c r="DI213" s="112"/>
      <c r="DJ213" s="112"/>
      <c r="DK213" s="112"/>
      <c r="DL213" s="112"/>
      <c r="DM213" s="112"/>
      <c r="DN213" s="112"/>
    </row>
    <row r="214" spans="1:118" x14ac:dyDescent="0.25">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c r="BR214" s="112"/>
      <c r="BS214" s="112"/>
      <c r="BT214" s="112"/>
      <c r="BU214" s="112"/>
      <c r="BV214" s="112"/>
      <c r="BW214" s="112"/>
      <c r="BX214" s="112"/>
      <c r="BY214" s="112"/>
      <c r="BZ214" s="112"/>
      <c r="CA214" s="112"/>
      <c r="CB214" s="112"/>
      <c r="CC214" s="112"/>
      <c r="CD214" s="112"/>
      <c r="CE214" s="112"/>
      <c r="CF214" s="112"/>
      <c r="CG214" s="112"/>
      <c r="CH214" s="112"/>
      <c r="CI214" s="112"/>
      <c r="CJ214" s="112"/>
      <c r="CK214" s="112"/>
      <c r="CL214" s="112"/>
      <c r="CM214" s="112"/>
      <c r="CN214" s="112"/>
      <c r="CO214" s="112"/>
      <c r="CP214" s="112"/>
      <c r="CQ214" s="112"/>
      <c r="CR214" s="112"/>
      <c r="CS214" s="112"/>
      <c r="CT214" s="112"/>
      <c r="CU214" s="112"/>
      <c r="CV214" s="112"/>
      <c r="CW214" s="112"/>
      <c r="CX214" s="112"/>
      <c r="CY214" s="112"/>
      <c r="CZ214" s="112"/>
      <c r="DA214" s="112"/>
      <c r="DB214" s="112"/>
      <c r="DC214" s="112"/>
      <c r="DD214" s="112"/>
      <c r="DE214" s="112"/>
      <c r="DF214" s="112"/>
      <c r="DG214" s="112"/>
      <c r="DH214" s="112"/>
      <c r="DI214" s="112"/>
      <c r="DJ214" s="112"/>
      <c r="DK214" s="112"/>
      <c r="DL214" s="112"/>
      <c r="DM214" s="112"/>
      <c r="DN214" s="112"/>
    </row>
    <row r="215" spans="1:118" x14ac:dyDescent="0.25">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c r="BR215" s="112"/>
      <c r="BS215" s="112"/>
      <c r="BT215" s="112"/>
      <c r="BU215" s="112"/>
      <c r="BV215" s="112"/>
      <c r="BW215" s="112"/>
      <c r="BX215" s="112"/>
      <c r="BY215" s="112"/>
      <c r="BZ215" s="112"/>
      <c r="CA215" s="112"/>
      <c r="CB215" s="112"/>
      <c r="CC215" s="112"/>
      <c r="CD215" s="112"/>
      <c r="CE215" s="112"/>
      <c r="CF215" s="112"/>
      <c r="CG215" s="112"/>
      <c r="CH215" s="112"/>
      <c r="CI215" s="112"/>
      <c r="CJ215" s="112"/>
      <c r="CK215" s="112"/>
      <c r="CL215" s="112"/>
      <c r="CM215" s="112"/>
      <c r="CN215" s="112"/>
      <c r="CO215" s="112"/>
      <c r="CP215" s="112"/>
      <c r="CQ215" s="112"/>
      <c r="CR215" s="112"/>
      <c r="CS215" s="112"/>
      <c r="CT215" s="112"/>
      <c r="CU215" s="112"/>
      <c r="CV215" s="112"/>
      <c r="CW215" s="112"/>
      <c r="CX215" s="112"/>
      <c r="CY215" s="112"/>
      <c r="CZ215" s="112"/>
      <c r="DA215" s="112"/>
      <c r="DB215" s="112"/>
      <c r="DC215" s="112"/>
      <c r="DD215" s="112"/>
      <c r="DE215" s="112"/>
      <c r="DF215" s="112"/>
      <c r="DG215" s="112"/>
      <c r="DH215" s="112"/>
      <c r="DI215" s="112"/>
      <c r="DJ215" s="112"/>
      <c r="DK215" s="112"/>
      <c r="DL215" s="112"/>
      <c r="DM215" s="112"/>
      <c r="DN215" s="112"/>
    </row>
    <row r="216" spans="1:118" x14ac:dyDescent="0.25">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c r="BR216" s="112"/>
      <c r="BS216" s="112"/>
      <c r="BT216" s="112"/>
      <c r="BU216" s="112"/>
      <c r="BV216" s="112"/>
      <c r="BW216" s="112"/>
      <c r="BX216" s="112"/>
      <c r="BY216" s="112"/>
      <c r="BZ216" s="112"/>
      <c r="CA216" s="112"/>
      <c r="CB216" s="112"/>
      <c r="CC216" s="112"/>
      <c r="CD216" s="112"/>
      <c r="CE216" s="112"/>
      <c r="CF216" s="112"/>
      <c r="CG216" s="112"/>
      <c r="CH216" s="112"/>
      <c r="CI216" s="112"/>
      <c r="CJ216" s="112"/>
      <c r="CK216" s="112"/>
      <c r="CL216" s="112"/>
      <c r="CM216" s="112"/>
      <c r="CN216" s="112"/>
      <c r="CO216" s="112"/>
      <c r="CP216" s="112"/>
      <c r="CQ216" s="112"/>
      <c r="CR216" s="112"/>
      <c r="CS216" s="112"/>
      <c r="CT216" s="112"/>
      <c r="CU216" s="112"/>
      <c r="CV216" s="112"/>
      <c r="CW216" s="112"/>
      <c r="CX216" s="112"/>
      <c r="CY216" s="112"/>
      <c r="CZ216" s="112"/>
      <c r="DA216" s="112"/>
      <c r="DB216" s="112"/>
      <c r="DC216" s="112"/>
      <c r="DD216" s="112"/>
      <c r="DE216" s="112"/>
      <c r="DF216" s="112"/>
      <c r="DG216" s="112"/>
      <c r="DH216" s="112"/>
      <c r="DI216" s="112"/>
      <c r="DJ216" s="112"/>
      <c r="DK216" s="112"/>
      <c r="DL216" s="112"/>
      <c r="DM216" s="112"/>
      <c r="DN216" s="112"/>
    </row>
    <row r="217" spans="1:118" x14ac:dyDescent="0.25">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c r="BR217" s="112"/>
      <c r="BS217" s="112"/>
      <c r="BT217" s="112"/>
      <c r="BU217" s="112"/>
      <c r="BV217" s="112"/>
      <c r="BW217" s="112"/>
      <c r="BX217" s="112"/>
      <c r="BY217" s="112"/>
      <c r="BZ217" s="112"/>
      <c r="CA217" s="112"/>
      <c r="CB217" s="112"/>
      <c r="CC217" s="112"/>
      <c r="CD217" s="112"/>
      <c r="CE217" s="112"/>
      <c r="CF217" s="112"/>
      <c r="CG217" s="112"/>
      <c r="CH217" s="112"/>
      <c r="CI217" s="112"/>
      <c r="CJ217" s="112"/>
      <c r="CK217" s="112"/>
      <c r="CL217" s="112"/>
      <c r="CM217" s="112"/>
      <c r="CN217" s="112"/>
      <c r="CO217" s="112"/>
      <c r="CP217" s="112"/>
      <c r="CQ217" s="112"/>
      <c r="CR217" s="112"/>
      <c r="CS217" s="112"/>
      <c r="CT217" s="112"/>
      <c r="CU217" s="112"/>
      <c r="CV217" s="112"/>
      <c r="CW217" s="112"/>
      <c r="CX217" s="112"/>
      <c r="CY217" s="112"/>
      <c r="CZ217" s="112"/>
      <c r="DA217" s="112"/>
      <c r="DB217" s="112"/>
      <c r="DC217" s="112"/>
      <c r="DD217" s="112"/>
      <c r="DE217" s="112"/>
      <c r="DF217" s="112"/>
      <c r="DG217" s="112"/>
      <c r="DH217" s="112"/>
      <c r="DI217" s="112"/>
      <c r="DJ217" s="112"/>
      <c r="DK217" s="112"/>
      <c r="DL217" s="112"/>
      <c r="DM217" s="112"/>
      <c r="DN217" s="112"/>
    </row>
    <row r="218" spans="1:118" x14ac:dyDescent="0.25">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c r="BR218" s="112"/>
      <c r="BS218" s="112"/>
      <c r="BT218" s="112"/>
      <c r="BU218" s="112"/>
      <c r="BV218" s="112"/>
      <c r="BW218" s="112"/>
      <c r="BX218" s="112"/>
      <c r="BY218" s="112"/>
      <c r="BZ218" s="112"/>
      <c r="CA218" s="112"/>
      <c r="CB218" s="112"/>
      <c r="CC218" s="112"/>
      <c r="CD218" s="112"/>
      <c r="CE218" s="112"/>
      <c r="CF218" s="112"/>
      <c r="CG218" s="112"/>
      <c r="CH218" s="112"/>
      <c r="CI218" s="112"/>
      <c r="CJ218" s="112"/>
      <c r="CK218" s="112"/>
      <c r="CL218" s="112"/>
      <c r="CM218" s="112"/>
      <c r="CN218" s="112"/>
      <c r="CO218" s="112"/>
      <c r="CP218" s="112"/>
      <c r="CQ218" s="112"/>
      <c r="CR218" s="112"/>
      <c r="CS218" s="112"/>
      <c r="CT218" s="112"/>
      <c r="CU218" s="112"/>
      <c r="CV218" s="112"/>
      <c r="CW218" s="112"/>
      <c r="CX218" s="112"/>
      <c r="CY218" s="112"/>
      <c r="CZ218" s="112"/>
      <c r="DA218" s="112"/>
      <c r="DB218" s="112"/>
      <c r="DC218" s="112"/>
      <c r="DD218" s="112"/>
      <c r="DE218" s="112"/>
      <c r="DF218" s="112"/>
      <c r="DG218" s="112"/>
      <c r="DH218" s="112"/>
      <c r="DI218" s="112"/>
      <c r="DJ218" s="112"/>
      <c r="DK218" s="112"/>
      <c r="DL218" s="112"/>
      <c r="DM218" s="112"/>
      <c r="DN218" s="112"/>
    </row>
    <row r="219" spans="1:118" x14ac:dyDescent="0.25">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c r="BR219" s="112"/>
      <c r="BS219" s="112"/>
      <c r="BT219" s="112"/>
      <c r="BU219" s="112"/>
      <c r="BV219" s="112"/>
      <c r="BW219" s="112"/>
      <c r="BX219" s="112"/>
      <c r="BY219" s="112"/>
      <c r="BZ219" s="112"/>
      <c r="CA219" s="112"/>
      <c r="CB219" s="112"/>
      <c r="CC219" s="112"/>
      <c r="CD219" s="112"/>
      <c r="CE219" s="112"/>
      <c r="CF219" s="112"/>
      <c r="CG219" s="112"/>
      <c r="CH219" s="112"/>
      <c r="CI219" s="112"/>
      <c r="CJ219" s="112"/>
      <c r="CK219" s="112"/>
      <c r="CL219" s="112"/>
      <c r="CM219" s="112"/>
      <c r="CN219" s="112"/>
      <c r="CO219" s="112"/>
      <c r="CP219" s="112"/>
      <c r="CQ219" s="112"/>
      <c r="CR219" s="112"/>
      <c r="CS219" s="112"/>
      <c r="CT219" s="112"/>
      <c r="CU219" s="112"/>
      <c r="CV219" s="112"/>
      <c r="CW219" s="112"/>
      <c r="CX219" s="112"/>
      <c r="CY219" s="112"/>
      <c r="CZ219" s="112"/>
      <c r="DA219" s="112"/>
      <c r="DB219" s="112"/>
      <c r="DC219" s="112"/>
      <c r="DD219" s="112"/>
      <c r="DE219" s="112"/>
      <c r="DF219" s="112"/>
      <c r="DG219" s="112"/>
      <c r="DH219" s="112"/>
      <c r="DI219" s="112"/>
      <c r="DJ219" s="112"/>
      <c r="DK219" s="112"/>
      <c r="DL219" s="112"/>
      <c r="DM219" s="112"/>
      <c r="DN219" s="112"/>
    </row>
    <row r="220" spans="1:118" x14ac:dyDescent="0.25">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c r="BR220" s="112"/>
      <c r="BS220" s="112"/>
      <c r="BT220" s="112"/>
      <c r="BU220" s="112"/>
      <c r="BV220" s="112"/>
      <c r="BW220" s="112"/>
      <c r="BX220" s="112"/>
      <c r="BY220" s="112"/>
      <c r="BZ220" s="112"/>
      <c r="CA220" s="112"/>
      <c r="CB220" s="112"/>
      <c r="CC220" s="112"/>
      <c r="CD220" s="112"/>
      <c r="CE220" s="112"/>
      <c r="CF220" s="112"/>
      <c r="CG220" s="112"/>
      <c r="CH220" s="112"/>
      <c r="CI220" s="112"/>
      <c r="CJ220" s="112"/>
      <c r="CK220" s="112"/>
      <c r="CL220" s="112"/>
      <c r="CM220" s="112"/>
      <c r="CN220" s="112"/>
      <c r="CO220" s="112"/>
      <c r="CP220" s="112"/>
      <c r="CQ220" s="112"/>
      <c r="CR220" s="112"/>
      <c r="CS220" s="112"/>
      <c r="CT220" s="112"/>
      <c r="CU220" s="112"/>
      <c r="CV220" s="112"/>
      <c r="CW220" s="112"/>
      <c r="CX220" s="112"/>
      <c r="CY220" s="112"/>
      <c r="CZ220" s="112"/>
      <c r="DA220" s="112"/>
      <c r="DB220" s="112"/>
      <c r="DC220" s="112"/>
      <c r="DD220" s="112"/>
      <c r="DE220" s="112"/>
      <c r="DF220" s="112"/>
      <c r="DG220" s="112"/>
      <c r="DH220" s="112"/>
      <c r="DI220" s="112"/>
      <c r="DJ220" s="112"/>
      <c r="DK220" s="112"/>
      <c r="DL220" s="112"/>
      <c r="DM220" s="112"/>
      <c r="DN220" s="112"/>
    </row>
    <row r="221" spans="1:118" x14ac:dyDescent="0.25">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c r="BR221" s="112"/>
      <c r="BS221" s="112"/>
      <c r="BT221" s="112"/>
      <c r="BU221" s="112"/>
      <c r="BV221" s="112"/>
      <c r="BW221" s="112"/>
      <c r="BX221" s="112"/>
      <c r="BY221" s="112"/>
      <c r="BZ221" s="112"/>
      <c r="CA221" s="112"/>
      <c r="CB221" s="112"/>
      <c r="CC221" s="112"/>
      <c r="CD221" s="112"/>
      <c r="CE221" s="112"/>
      <c r="CF221" s="112"/>
      <c r="CG221" s="112"/>
      <c r="CH221" s="112"/>
      <c r="CI221" s="112"/>
      <c r="CJ221" s="112"/>
      <c r="CK221" s="112"/>
      <c r="CL221" s="112"/>
      <c r="CM221" s="112"/>
      <c r="CN221" s="112"/>
      <c r="CO221" s="112"/>
      <c r="CP221" s="112"/>
      <c r="CQ221" s="112"/>
      <c r="CR221" s="112"/>
      <c r="CS221" s="112"/>
      <c r="CT221" s="112"/>
      <c r="CU221" s="112"/>
      <c r="CV221" s="112"/>
      <c r="CW221" s="112"/>
      <c r="CX221" s="112"/>
      <c r="CY221" s="112"/>
      <c r="CZ221" s="112"/>
      <c r="DA221" s="112"/>
      <c r="DB221" s="112"/>
      <c r="DC221" s="112"/>
      <c r="DD221" s="112"/>
      <c r="DE221" s="112"/>
      <c r="DF221" s="112"/>
      <c r="DG221" s="112"/>
      <c r="DH221" s="112"/>
      <c r="DI221" s="112"/>
      <c r="DJ221" s="112"/>
      <c r="DK221" s="112"/>
      <c r="DL221" s="112"/>
      <c r="DM221" s="112"/>
      <c r="DN221" s="112"/>
    </row>
    <row r="222" spans="1:118" x14ac:dyDescent="0.25">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c r="BR222" s="112"/>
      <c r="BS222" s="112"/>
      <c r="BT222" s="112"/>
      <c r="BU222" s="112"/>
      <c r="BV222" s="112"/>
      <c r="BW222" s="112"/>
      <c r="BX222" s="112"/>
      <c r="BY222" s="112"/>
      <c r="BZ222" s="112"/>
      <c r="CA222" s="112"/>
      <c r="CB222" s="112"/>
      <c r="CC222" s="112"/>
      <c r="CD222" s="112"/>
      <c r="CE222" s="112"/>
      <c r="CF222" s="112"/>
      <c r="CG222" s="112"/>
      <c r="CH222" s="112"/>
      <c r="CI222" s="112"/>
      <c r="CJ222" s="112"/>
      <c r="CK222" s="112"/>
      <c r="CL222" s="112"/>
      <c r="CM222" s="112"/>
      <c r="CN222" s="112"/>
      <c r="CO222" s="112"/>
      <c r="CP222" s="112"/>
      <c r="CQ222" s="112"/>
      <c r="CR222" s="112"/>
      <c r="CS222" s="112"/>
      <c r="CT222" s="112"/>
      <c r="CU222" s="112"/>
      <c r="CV222" s="112"/>
      <c r="CW222" s="112"/>
      <c r="CX222" s="112"/>
      <c r="CY222" s="112"/>
      <c r="CZ222" s="112"/>
      <c r="DA222" s="112"/>
      <c r="DB222" s="112"/>
      <c r="DC222" s="112"/>
      <c r="DD222" s="112"/>
      <c r="DE222" s="112"/>
      <c r="DF222" s="112"/>
      <c r="DG222" s="112"/>
      <c r="DH222" s="112"/>
      <c r="DI222" s="112"/>
      <c r="DJ222" s="112"/>
      <c r="DK222" s="112"/>
      <c r="DL222" s="112"/>
      <c r="DM222" s="112"/>
      <c r="DN222" s="112"/>
    </row>
    <row r="223" spans="1:118" x14ac:dyDescent="0.25">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c r="BR223" s="112"/>
      <c r="BS223" s="112"/>
      <c r="BT223" s="112"/>
      <c r="BU223" s="112"/>
      <c r="BV223" s="112"/>
      <c r="BW223" s="112"/>
      <c r="BX223" s="112"/>
      <c r="BY223" s="112"/>
      <c r="BZ223" s="112"/>
      <c r="CA223" s="112"/>
      <c r="CB223" s="112"/>
      <c r="CC223" s="112"/>
      <c r="CD223" s="112"/>
      <c r="CE223" s="112"/>
      <c r="CF223" s="112"/>
      <c r="CG223" s="112"/>
      <c r="CH223" s="112"/>
      <c r="CI223" s="112"/>
      <c r="CJ223" s="112"/>
      <c r="CK223" s="112"/>
      <c r="CL223" s="112"/>
      <c r="CM223" s="112"/>
      <c r="CN223" s="112"/>
      <c r="CO223" s="112"/>
      <c r="CP223" s="112"/>
      <c r="CQ223" s="112"/>
      <c r="CR223" s="112"/>
      <c r="CS223" s="112"/>
      <c r="CT223" s="112"/>
      <c r="CU223" s="112"/>
      <c r="CV223" s="112"/>
      <c r="CW223" s="112"/>
      <c r="CX223" s="112"/>
      <c r="CY223" s="112"/>
      <c r="CZ223" s="112"/>
      <c r="DA223" s="112"/>
      <c r="DB223" s="112"/>
      <c r="DC223" s="112"/>
      <c r="DD223" s="112"/>
      <c r="DE223" s="112"/>
      <c r="DF223" s="112"/>
      <c r="DG223" s="112"/>
      <c r="DH223" s="112"/>
      <c r="DI223" s="112"/>
      <c r="DJ223" s="112"/>
      <c r="DK223" s="112"/>
      <c r="DL223" s="112"/>
      <c r="DM223" s="112"/>
      <c r="DN223" s="112"/>
    </row>
    <row r="224" spans="1:118" x14ac:dyDescent="0.25">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c r="BR224" s="112"/>
      <c r="BS224" s="112"/>
      <c r="BT224" s="112"/>
      <c r="BU224" s="112"/>
      <c r="BV224" s="112"/>
      <c r="BW224" s="112"/>
      <c r="BX224" s="112"/>
      <c r="BY224" s="112"/>
      <c r="BZ224" s="112"/>
      <c r="CA224" s="112"/>
      <c r="CB224" s="112"/>
      <c r="CC224" s="112"/>
      <c r="CD224" s="112"/>
      <c r="CE224" s="112"/>
      <c r="CF224" s="112"/>
      <c r="CG224" s="112"/>
      <c r="CH224" s="112"/>
      <c r="CI224" s="112"/>
      <c r="CJ224" s="112"/>
      <c r="CK224" s="112"/>
      <c r="CL224" s="112"/>
      <c r="CM224" s="112"/>
      <c r="CN224" s="112"/>
      <c r="CO224" s="112"/>
      <c r="CP224" s="112"/>
      <c r="CQ224" s="112"/>
      <c r="CR224" s="112"/>
      <c r="CS224" s="112"/>
      <c r="CT224" s="112"/>
      <c r="CU224" s="112"/>
      <c r="CV224" s="112"/>
      <c r="CW224" s="112"/>
      <c r="CX224" s="112"/>
      <c r="CY224" s="112"/>
      <c r="CZ224" s="112"/>
      <c r="DA224" s="112"/>
      <c r="DB224" s="112"/>
      <c r="DC224" s="112"/>
      <c r="DD224" s="112"/>
      <c r="DE224" s="112"/>
      <c r="DF224" s="112"/>
      <c r="DG224" s="112"/>
      <c r="DH224" s="112"/>
      <c r="DI224" s="112"/>
      <c r="DJ224" s="112"/>
      <c r="DK224" s="112"/>
      <c r="DL224" s="112"/>
      <c r="DM224" s="112"/>
      <c r="DN224" s="112"/>
    </row>
    <row r="225" spans="1:118" x14ac:dyDescent="0.25">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c r="BR225" s="112"/>
      <c r="BS225" s="112"/>
      <c r="BT225" s="112"/>
      <c r="BU225" s="112"/>
      <c r="BV225" s="112"/>
      <c r="BW225" s="112"/>
      <c r="BX225" s="112"/>
      <c r="BY225" s="112"/>
      <c r="BZ225" s="112"/>
      <c r="CA225" s="112"/>
      <c r="CB225" s="112"/>
      <c r="CC225" s="112"/>
      <c r="CD225" s="112"/>
      <c r="CE225" s="112"/>
      <c r="CF225" s="112"/>
      <c r="CG225" s="112"/>
      <c r="CH225" s="112"/>
      <c r="CI225" s="112"/>
      <c r="CJ225" s="112"/>
      <c r="CK225" s="112"/>
      <c r="CL225" s="112"/>
      <c r="CM225" s="112"/>
      <c r="CN225" s="112"/>
      <c r="CO225" s="112"/>
      <c r="CP225" s="112"/>
      <c r="CQ225" s="112"/>
      <c r="CR225" s="112"/>
      <c r="CS225" s="112"/>
      <c r="CT225" s="112"/>
      <c r="CU225" s="112"/>
      <c r="CV225" s="112"/>
      <c r="CW225" s="112"/>
      <c r="CX225" s="112"/>
      <c r="CY225" s="112"/>
      <c r="CZ225" s="112"/>
      <c r="DA225" s="112"/>
      <c r="DB225" s="112"/>
      <c r="DC225" s="112"/>
      <c r="DD225" s="112"/>
      <c r="DE225" s="112"/>
      <c r="DF225" s="112"/>
      <c r="DG225" s="112"/>
      <c r="DH225" s="112"/>
      <c r="DI225" s="112"/>
      <c r="DJ225" s="112"/>
      <c r="DK225" s="112"/>
      <c r="DL225" s="112"/>
      <c r="DM225" s="112"/>
      <c r="DN225" s="112"/>
    </row>
    <row r="226" spans="1:118" x14ac:dyDescent="0.25">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c r="BR226" s="112"/>
      <c r="BS226" s="112"/>
      <c r="BT226" s="112"/>
      <c r="BU226" s="112"/>
      <c r="BV226" s="112"/>
      <c r="BW226" s="112"/>
      <c r="BX226" s="112"/>
      <c r="BY226" s="112"/>
      <c r="BZ226" s="112"/>
      <c r="CA226" s="112"/>
      <c r="CB226" s="112"/>
      <c r="CC226" s="112"/>
      <c r="CD226" s="112"/>
      <c r="CE226" s="112"/>
      <c r="CF226" s="112"/>
      <c r="CG226" s="112"/>
      <c r="CH226" s="112"/>
      <c r="CI226" s="112"/>
      <c r="CJ226" s="112"/>
      <c r="CK226" s="112"/>
      <c r="CL226" s="112"/>
      <c r="CM226" s="112"/>
      <c r="CN226" s="112"/>
      <c r="CO226" s="112"/>
      <c r="CP226" s="112"/>
      <c r="CQ226" s="112"/>
      <c r="CR226" s="112"/>
      <c r="CS226" s="112"/>
      <c r="CT226" s="112"/>
      <c r="CU226" s="112"/>
      <c r="CV226" s="112"/>
      <c r="CW226" s="112"/>
      <c r="CX226" s="112"/>
      <c r="CY226" s="112"/>
      <c r="CZ226" s="112"/>
      <c r="DA226" s="112"/>
      <c r="DB226" s="112"/>
      <c r="DC226" s="112"/>
      <c r="DD226" s="112"/>
      <c r="DE226" s="112"/>
      <c r="DF226" s="112"/>
      <c r="DG226" s="112"/>
      <c r="DH226" s="112"/>
      <c r="DI226" s="112"/>
      <c r="DJ226" s="112"/>
      <c r="DK226" s="112"/>
      <c r="DL226" s="112"/>
      <c r="DM226" s="112"/>
      <c r="DN226" s="112"/>
    </row>
    <row r="227" spans="1:118" x14ac:dyDescent="0.25">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c r="BR227" s="112"/>
      <c r="BS227" s="112"/>
      <c r="BT227" s="112"/>
      <c r="BU227" s="112"/>
      <c r="BV227" s="112"/>
      <c r="BW227" s="112"/>
      <c r="BX227" s="112"/>
      <c r="BY227" s="112"/>
      <c r="BZ227" s="112"/>
      <c r="CA227" s="112"/>
      <c r="CB227" s="112"/>
      <c r="CC227" s="112"/>
      <c r="CD227" s="112"/>
      <c r="CE227" s="112"/>
      <c r="CF227" s="112"/>
      <c r="CG227" s="112"/>
      <c r="CH227" s="112"/>
      <c r="CI227" s="112"/>
      <c r="CJ227" s="112"/>
      <c r="CK227" s="112"/>
      <c r="CL227" s="112"/>
      <c r="CM227" s="112"/>
      <c r="CN227" s="112"/>
      <c r="CO227" s="112"/>
      <c r="CP227" s="112"/>
      <c r="CQ227" s="112"/>
      <c r="CR227" s="112"/>
      <c r="CS227" s="112"/>
      <c r="CT227" s="112"/>
      <c r="CU227" s="112"/>
      <c r="CV227" s="112"/>
      <c r="CW227" s="112"/>
      <c r="CX227" s="112"/>
      <c r="CY227" s="112"/>
      <c r="CZ227" s="112"/>
      <c r="DA227" s="112"/>
      <c r="DB227" s="112"/>
      <c r="DC227" s="112"/>
      <c r="DD227" s="112"/>
      <c r="DE227" s="112"/>
      <c r="DF227" s="112"/>
      <c r="DG227" s="112"/>
      <c r="DH227" s="112"/>
      <c r="DI227" s="112"/>
      <c r="DJ227" s="112"/>
      <c r="DK227" s="112"/>
      <c r="DL227" s="112"/>
      <c r="DM227" s="112"/>
      <c r="DN227" s="112"/>
    </row>
    <row r="228" spans="1:118" x14ac:dyDescent="0.25">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c r="BR228" s="112"/>
      <c r="BS228" s="112"/>
      <c r="BT228" s="112"/>
      <c r="BU228" s="112"/>
      <c r="BV228" s="112"/>
      <c r="BW228" s="112"/>
      <c r="BX228" s="112"/>
      <c r="BY228" s="112"/>
      <c r="BZ228" s="112"/>
      <c r="CA228" s="112"/>
      <c r="CB228" s="112"/>
      <c r="CC228" s="112"/>
      <c r="CD228" s="112"/>
      <c r="CE228" s="112"/>
      <c r="CF228" s="112"/>
      <c r="CG228" s="112"/>
      <c r="CH228" s="112"/>
      <c r="CI228" s="112"/>
      <c r="CJ228" s="112"/>
      <c r="CK228" s="112"/>
      <c r="CL228" s="112"/>
      <c r="CM228" s="112"/>
      <c r="CN228" s="112"/>
      <c r="CO228" s="112"/>
      <c r="CP228" s="112"/>
      <c r="CQ228" s="112"/>
      <c r="CR228" s="112"/>
      <c r="CS228" s="112"/>
      <c r="CT228" s="112"/>
      <c r="CU228" s="112"/>
      <c r="CV228" s="112"/>
      <c r="CW228" s="112"/>
      <c r="CX228" s="112"/>
      <c r="CY228" s="112"/>
      <c r="CZ228" s="112"/>
      <c r="DA228" s="112"/>
      <c r="DB228" s="112"/>
      <c r="DC228" s="112"/>
      <c r="DD228" s="112"/>
      <c r="DE228" s="112"/>
      <c r="DF228" s="112"/>
      <c r="DG228" s="112"/>
      <c r="DH228" s="112"/>
      <c r="DI228" s="112"/>
      <c r="DJ228" s="112"/>
      <c r="DK228" s="112"/>
      <c r="DL228" s="112"/>
      <c r="DM228" s="112"/>
      <c r="DN228" s="112"/>
    </row>
    <row r="229" spans="1:118" x14ac:dyDescent="0.25">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c r="CA229" s="112"/>
      <c r="CB229" s="112"/>
      <c r="CC229" s="112"/>
      <c r="CD229" s="112"/>
      <c r="CE229" s="112"/>
      <c r="CF229" s="112"/>
      <c r="CG229" s="112"/>
      <c r="CH229" s="112"/>
      <c r="CI229" s="112"/>
      <c r="CJ229" s="112"/>
      <c r="CK229" s="112"/>
      <c r="CL229" s="112"/>
      <c r="CM229" s="112"/>
      <c r="CN229" s="112"/>
      <c r="CO229" s="112"/>
      <c r="CP229" s="112"/>
      <c r="CQ229" s="112"/>
      <c r="CR229" s="112"/>
      <c r="CS229" s="112"/>
      <c r="CT229" s="112"/>
      <c r="CU229" s="112"/>
      <c r="CV229" s="112"/>
      <c r="CW229" s="112"/>
      <c r="CX229" s="112"/>
      <c r="CY229" s="112"/>
      <c r="CZ229" s="112"/>
      <c r="DA229" s="112"/>
      <c r="DB229" s="112"/>
      <c r="DC229" s="112"/>
      <c r="DD229" s="112"/>
      <c r="DE229" s="112"/>
      <c r="DF229" s="112"/>
      <c r="DG229" s="112"/>
      <c r="DH229" s="112"/>
      <c r="DI229" s="112"/>
      <c r="DJ229" s="112"/>
      <c r="DK229" s="112"/>
      <c r="DL229" s="112"/>
      <c r="DM229" s="112"/>
      <c r="DN229" s="112"/>
    </row>
    <row r="230" spans="1:118" x14ac:dyDescent="0.25">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c r="CA230" s="112"/>
      <c r="CB230" s="112"/>
      <c r="CC230" s="112"/>
      <c r="CD230" s="112"/>
      <c r="CE230" s="112"/>
      <c r="CF230" s="112"/>
      <c r="CG230" s="112"/>
      <c r="CH230" s="112"/>
      <c r="CI230" s="112"/>
      <c r="CJ230" s="112"/>
      <c r="CK230" s="112"/>
      <c r="CL230" s="112"/>
      <c r="CM230" s="112"/>
      <c r="CN230" s="112"/>
      <c r="CO230" s="112"/>
      <c r="CP230" s="112"/>
      <c r="CQ230" s="112"/>
      <c r="CR230" s="112"/>
      <c r="CS230" s="112"/>
      <c r="CT230" s="112"/>
      <c r="CU230" s="112"/>
      <c r="CV230" s="112"/>
      <c r="CW230" s="112"/>
      <c r="CX230" s="112"/>
      <c r="CY230" s="112"/>
      <c r="CZ230" s="112"/>
      <c r="DA230" s="112"/>
      <c r="DB230" s="112"/>
      <c r="DC230" s="112"/>
      <c r="DD230" s="112"/>
      <c r="DE230" s="112"/>
      <c r="DF230" s="112"/>
      <c r="DG230" s="112"/>
      <c r="DH230" s="112"/>
      <c r="DI230" s="112"/>
      <c r="DJ230" s="112"/>
      <c r="DK230" s="112"/>
      <c r="DL230" s="112"/>
      <c r="DM230" s="112"/>
      <c r="DN230" s="112"/>
    </row>
    <row r="231" spans="1:118" x14ac:dyDescent="0.25">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c r="CA231" s="112"/>
      <c r="CB231" s="112"/>
      <c r="CC231" s="112"/>
      <c r="CD231" s="112"/>
      <c r="CE231" s="112"/>
      <c r="CF231" s="112"/>
      <c r="CG231" s="112"/>
      <c r="CH231" s="112"/>
      <c r="CI231" s="112"/>
      <c r="CJ231" s="112"/>
      <c r="CK231" s="112"/>
      <c r="CL231" s="112"/>
      <c r="CM231" s="112"/>
      <c r="CN231" s="112"/>
      <c r="CO231" s="112"/>
      <c r="CP231" s="112"/>
      <c r="CQ231" s="112"/>
      <c r="CR231" s="112"/>
      <c r="CS231" s="112"/>
      <c r="CT231" s="112"/>
      <c r="CU231" s="112"/>
      <c r="CV231" s="112"/>
      <c r="CW231" s="112"/>
      <c r="CX231" s="112"/>
      <c r="CY231" s="112"/>
      <c r="CZ231" s="112"/>
      <c r="DA231" s="112"/>
      <c r="DB231" s="112"/>
      <c r="DC231" s="112"/>
      <c r="DD231" s="112"/>
      <c r="DE231" s="112"/>
      <c r="DF231" s="112"/>
      <c r="DG231" s="112"/>
      <c r="DH231" s="112"/>
      <c r="DI231" s="112"/>
      <c r="DJ231" s="112"/>
      <c r="DK231" s="112"/>
      <c r="DL231" s="112"/>
      <c r="DM231" s="112"/>
      <c r="DN231" s="112"/>
    </row>
    <row r="232" spans="1:118" x14ac:dyDescent="0.25">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c r="CA232" s="112"/>
      <c r="CB232" s="112"/>
      <c r="CC232" s="112"/>
      <c r="CD232" s="112"/>
      <c r="CE232" s="112"/>
      <c r="CF232" s="112"/>
      <c r="CG232" s="112"/>
      <c r="CH232" s="112"/>
      <c r="CI232" s="112"/>
      <c r="CJ232" s="112"/>
      <c r="CK232" s="112"/>
      <c r="CL232" s="112"/>
      <c r="CM232" s="112"/>
      <c r="CN232" s="112"/>
      <c r="CO232" s="112"/>
      <c r="CP232" s="112"/>
      <c r="CQ232" s="112"/>
      <c r="CR232" s="112"/>
      <c r="CS232" s="112"/>
      <c r="CT232" s="112"/>
      <c r="CU232" s="112"/>
      <c r="CV232" s="112"/>
      <c r="CW232" s="112"/>
      <c r="CX232" s="112"/>
      <c r="CY232" s="112"/>
      <c r="CZ232" s="112"/>
      <c r="DA232" s="112"/>
      <c r="DB232" s="112"/>
      <c r="DC232" s="112"/>
      <c r="DD232" s="112"/>
      <c r="DE232" s="112"/>
      <c r="DF232" s="112"/>
      <c r="DG232" s="112"/>
      <c r="DH232" s="112"/>
      <c r="DI232" s="112"/>
      <c r="DJ232" s="112"/>
      <c r="DK232" s="112"/>
      <c r="DL232" s="112"/>
      <c r="DM232" s="112"/>
      <c r="DN232" s="112"/>
    </row>
    <row r="233" spans="1:118" x14ac:dyDescent="0.25">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c r="CA233" s="112"/>
      <c r="CB233" s="112"/>
      <c r="CC233" s="112"/>
      <c r="CD233" s="112"/>
      <c r="CE233" s="112"/>
      <c r="CF233" s="112"/>
      <c r="CG233" s="112"/>
      <c r="CH233" s="112"/>
      <c r="CI233" s="112"/>
      <c r="CJ233" s="112"/>
      <c r="CK233" s="112"/>
      <c r="CL233" s="112"/>
      <c r="CM233" s="112"/>
      <c r="CN233" s="112"/>
      <c r="CO233" s="112"/>
      <c r="CP233" s="112"/>
      <c r="CQ233" s="112"/>
      <c r="CR233" s="112"/>
      <c r="CS233" s="112"/>
      <c r="CT233" s="112"/>
      <c r="CU233" s="112"/>
      <c r="CV233" s="112"/>
      <c r="CW233" s="112"/>
      <c r="CX233" s="112"/>
      <c r="CY233" s="112"/>
      <c r="CZ233" s="112"/>
      <c r="DA233" s="112"/>
      <c r="DB233" s="112"/>
      <c r="DC233" s="112"/>
      <c r="DD233" s="112"/>
      <c r="DE233" s="112"/>
      <c r="DF233" s="112"/>
      <c r="DG233" s="112"/>
      <c r="DH233" s="112"/>
      <c r="DI233" s="112"/>
      <c r="DJ233" s="112"/>
      <c r="DK233" s="112"/>
      <c r="DL233" s="112"/>
      <c r="DM233" s="112"/>
      <c r="DN233" s="112"/>
    </row>
    <row r="234" spans="1:118" x14ac:dyDescent="0.25">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c r="BR234" s="112"/>
      <c r="BS234" s="112"/>
      <c r="BT234" s="112"/>
      <c r="BU234" s="112"/>
      <c r="BV234" s="112"/>
      <c r="BW234" s="112"/>
      <c r="BX234" s="112"/>
      <c r="BY234" s="112"/>
      <c r="BZ234" s="112"/>
      <c r="CA234" s="112"/>
      <c r="CB234" s="112"/>
      <c r="CC234" s="112"/>
      <c r="CD234" s="112"/>
      <c r="CE234" s="112"/>
      <c r="CF234" s="112"/>
      <c r="CG234" s="112"/>
      <c r="CH234" s="112"/>
      <c r="CI234" s="112"/>
      <c r="CJ234" s="112"/>
      <c r="CK234" s="112"/>
      <c r="CL234" s="112"/>
      <c r="CM234" s="112"/>
      <c r="CN234" s="112"/>
      <c r="CO234" s="112"/>
      <c r="CP234" s="112"/>
      <c r="CQ234" s="112"/>
      <c r="CR234" s="112"/>
      <c r="CS234" s="112"/>
      <c r="CT234" s="112"/>
      <c r="CU234" s="112"/>
      <c r="CV234" s="112"/>
      <c r="CW234" s="112"/>
      <c r="CX234" s="112"/>
      <c r="CY234" s="112"/>
      <c r="CZ234" s="112"/>
      <c r="DA234" s="112"/>
      <c r="DB234" s="112"/>
      <c r="DC234" s="112"/>
      <c r="DD234" s="112"/>
      <c r="DE234" s="112"/>
      <c r="DF234" s="112"/>
      <c r="DG234" s="112"/>
      <c r="DH234" s="112"/>
      <c r="DI234" s="112"/>
      <c r="DJ234" s="112"/>
      <c r="DK234" s="112"/>
      <c r="DL234" s="112"/>
      <c r="DM234" s="112"/>
      <c r="DN234" s="112"/>
    </row>
    <row r="235" spans="1:118" x14ac:dyDescent="0.25">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c r="BR235" s="112"/>
      <c r="BS235" s="112"/>
      <c r="BT235" s="112"/>
      <c r="BU235" s="112"/>
      <c r="BV235" s="112"/>
      <c r="BW235" s="112"/>
      <c r="BX235" s="112"/>
      <c r="BY235" s="112"/>
      <c r="BZ235" s="112"/>
      <c r="CA235" s="112"/>
      <c r="CB235" s="112"/>
      <c r="CC235" s="112"/>
      <c r="CD235" s="112"/>
      <c r="CE235" s="112"/>
      <c r="CF235" s="112"/>
      <c r="CG235" s="112"/>
      <c r="CH235" s="112"/>
      <c r="CI235" s="112"/>
      <c r="CJ235" s="112"/>
      <c r="CK235" s="112"/>
      <c r="CL235" s="112"/>
      <c r="CM235" s="112"/>
      <c r="CN235" s="112"/>
      <c r="CO235" s="112"/>
      <c r="CP235" s="112"/>
      <c r="CQ235" s="112"/>
      <c r="CR235" s="112"/>
      <c r="CS235" s="112"/>
      <c r="CT235" s="112"/>
      <c r="CU235" s="112"/>
      <c r="CV235" s="112"/>
      <c r="CW235" s="112"/>
      <c r="CX235" s="112"/>
      <c r="CY235" s="112"/>
      <c r="CZ235" s="112"/>
      <c r="DA235" s="112"/>
      <c r="DB235" s="112"/>
      <c r="DC235" s="112"/>
      <c r="DD235" s="112"/>
      <c r="DE235" s="112"/>
      <c r="DF235" s="112"/>
      <c r="DG235" s="112"/>
      <c r="DH235" s="112"/>
      <c r="DI235" s="112"/>
      <c r="DJ235" s="112"/>
      <c r="DK235" s="112"/>
      <c r="DL235" s="112"/>
      <c r="DM235" s="112"/>
      <c r="DN235" s="112"/>
    </row>
    <row r="236" spans="1:118" x14ac:dyDescent="0.25">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c r="BR236" s="112"/>
      <c r="BS236" s="112"/>
      <c r="BT236" s="112"/>
      <c r="BU236" s="112"/>
      <c r="BV236" s="112"/>
      <c r="BW236" s="112"/>
      <c r="BX236" s="112"/>
      <c r="BY236" s="112"/>
      <c r="BZ236" s="112"/>
      <c r="CA236" s="112"/>
      <c r="CB236" s="112"/>
      <c r="CC236" s="112"/>
      <c r="CD236" s="112"/>
      <c r="CE236" s="112"/>
      <c r="CF236" s="112"/>
      <c r="CG236" s="112"/>
      <c r="CH236" s="112"/>
      <c r="CI236" s="112"/>
      <c r="CJ236" s="112"/>
      <c r="CK236" s="112"/>
      <c r="CL236" s="112"/>
      <c r="CM236" s="112"/>
      <c r="CN236" s="112"/>
      <c r="CO236" s="112"/>
      <c r="CP236" s="112"/>
      <c r="CQ236" s="112"/>
      <c r="CR236" s="112"/>
      <c r="CS236" s="112"/>
      <c r="CT236" s="112"/>
      <c r="CU236" s="112"/>
      <c r="CV236" s="112"/>
      <c r="CW236" s="112"/>
      <c r="CX236" s="112"/>
      <c r="CY236" s="112"/>
      <c r="CZ236" s="112"/>
      <c r="DA236" s="112"/>
      <c r="DB236" s="112"/>
      <c r="DC236" s="112"/>
      <c r="DD236" s="112"/>
      <c r="DE236" s="112"/>
      <c r="DF236" s="112"/>
      <c r="DG236" s="112"/>
      <c r="DH236" s="112"/>
      <c r="DI236" s="112"/>
      <c r="DJ236" s="112"/>
      <c r="DK236" s="112"/>
      <c r="DL236" s="112"/>
      <c r="DM236" s="112"/>
      <c r="DN236" s="112"/>
    </row>
    <row r="237" spans="1:118" x14ac:dyDescent="0.25">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c r="BR237" s="112"/>
      <c r="BS237" s="112"/>
      <c r="BT237" s="112"/>
      <c r="BU237" s="112"/>
      <c r="BV237" s="112"/>
      <c r="BW237" s="112"/>
      <c r="BX237" s="112"/>
      <c r="BY237" s="112"/>
      <c r="BZ237" s="112"/>
      <c r="CA237" s="112"/>
      <c r="CB237" s="112"/>
      <c r="CC237" s="112"/>
      <c r="CD237" s="112"/>
      <c r="CE237" s="112"/>
      <c r="CF237" s="112"/>
      <c r="CG237" s="112"/>
      <c r="CH237" s="112"/>
      <c r="CI237" s="112"/>
      <c r="CJ237" s="112"/>
      <c r="CK237" s="112"/>
      <c r="CL237" s="112"/>
      <c r="CM237" s="112"/>
      <c r="CN237" s="112"/>
      <c r="CO237" s="112"/>
      <c r="CP237" s="112"/>
      <c r="CQ237" s="112"/>
      <c r="CR237" s="112"/>
      <c r="CS237" s="112"/>
      <c r="CT237" s="112"/>
      <c r="CU237" s="112"/>
      <c r="CV237" s="112"/>
      <c r="CW237" s="112"/>
      <c r="CX237" s="112"/>
      <c r="CY237" s="112"/>
      <c r="CZ237" s="112"/>
      <c r="DA237" s="112"/>
      <c r="DB237" s="112"/>
      <c r="DC237" s="112"/>
      <c r="DD237" s="112"/>
      <c r="DE237" s="112"/>
      <c r="DF237" s="112"/>
      <c r="DG237" s="112"/>
      <c r="DH237" s="112"/>
      <c r="DI237" s="112"/>
      <c r="DJ237" s="112"/>
      <c r="DK237" s="112"/>
      <c r="DL237" s="112"/>
      <c r="DM237" s="112"/>
      <c r="DN237" s="112"/>
    </row>
    <row r="238" spans="1:118" x14ac:dyDescent="0.25">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c r="BR238" s="112"/>
      <c r="BS238" s="112"/>
      <c r="BT238" s="112"/>
      <c r="BU238" s="112"/>
      <c r="BV238" s="112"/>
      <c r="BW238" s="112"/>
      <c r="BX238" s="112"/>
      <c r="BY238" s="112"/>
      <c r="BZ238" s="112"/>
      <c r="CA238" s="112"/>
      <c r="CB238" s="112"/>
      <c r="CC238" s="112"/>
      <c r="CD238" s="112"/>
      <c r="CE238" s="112"/>
      <c r="CF238" s="112"/>
      <c r="CG238" s="112"/>
      <c r="CH238" s="112"/>
      <c r="CI238" s="112"/>
      <c r="CJ238" s="112"/>
      <c r="CK238" s="112"/>
      <c r="CL238" s="112"/>
      <c r="CM238" s="112"/>
      <c r="CN238" s="112"/>
      <c r="CO238" s="112"/>
      <c r="CP238" s="112"/>
      <c r="CQ238" s="112"/>
      <c r="CR238" s="112"/>
      <c r="CS238" s="112"/>
      <c r="CT238" s="112"/>
      <c r="CU238" s="112"/>
      <c r="CV238" s="112"/>
      <c r="CW238" s="112"/>
      <c r="CX238" s="112"/>
      <c r="CY238" s="112"/>
      <c r="CZ238" s="112"/>
      <c r="DA238" s="112"/>
      <c r="DB238" s="112"/>
      <c r="DC238" s="112"/>
      <c r="DD238" s="112"/>
      <c r="DE238" s="112"/>
      <c r="DF238" s="112"/>
      <c r="DG238" s="112"/>
      <c r="DH238" s="112"/>
      <c r="DI238" s="112"/>
      <c r="DJ238" s="112"/>
      <c r="DK238" s="112"/>
      <c r="DL238" s="112"/>
      <c r="DM238" s="112"/>
      <c r="DN238" s="112"/>
    </row>
    <row r="239" spans="1:118" x14ac:dyDescent="0.25">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c r="BR239" s="112"/>
      <c r="BS239" s="112"/>
      <c r="BT239" s="112"/>
      <c r="BU239" s="112"/>
      <c r="BV239" s="112"/>
      <c r="BW239" s="112"/>
      <c r="BX239" s="112"/>
      <c r="BY239" s="112"/>
      <c r="BZ239" s="112"/>
      <c r="CA239" s="112"/>
      <c r="CB239" s="112"/>
      <c r="CC239" s="112"/>
      <c r="CD239" s="112"/>
      <c r="CE239" s="112"/>
      <c r="CF239" s="112"/>
      <c r="CG239" s="112"/>
      <c r="CH239" s="112"/>
      <c r="CI239" s="112"/>
      <c r="CJ239" s="112"/>
      <c r="CK239" s="112"/>
      <c r="CL239" s="112"/>
      <c r="CM239" s="112"/>
      <c r="CN239" s="112"/>
      <c r="CO239" s="112"/>
      <c r="CP239" s="112"/>
      <c r="CQ239" s="112"/>
      <c r="CR239" s="112"/>
      <c r="CS239" s="112"/>
      <c r="CT239" s="112"/>
      <c r="CU239" s="112"/>
      <c r="CV239" s="112"/>
      <c r="CW239" s="112"/>
      <c r="CX239" s="112"/>
      <c r="CY239" s="112"/>
      <c r="CZ239" s="112"/>
      <c r="DA239" s="112"/>
      <c r="DB239" s="112"/>
      <c r="DC239" s="112"/>
      <c r="DD239" s="112"/>
      <c r="DE239" s="112"/>
      <c r="DF239" s="112"/>
      <c r="DG239" s="112"/>
      <c r="DH239" s="112"/>
      <c r="DI239" s="112"/>
      <c r="DJ239" s="112"/>
      <c r="DK239" s="112"/>
      <c r="DL239" s="112"/>
      <c r="DM239" s="112"/>
      <c r="DN239" s="112"/>
    </row>
    <row r="240" spans="1:118" x14ac:dyDescent="0.25">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112"/>
      <c r="BO240" s="112"/>
      <c r="BP240" s="112"/>
      <c r="BQ240" s="112"/>
      <c r="BR240" s="112"/>
      <c r="BS240" s="112"/>
      <c r="BT240" s="112"/>
      <c r="BU240" s="112"/>
      <c r="BV240" s="112"/>
      <c r="BW240" s="112"/>
      <c r="BX240" s="112"/>
      <c r="BY240" s="112"/>
      <c r="BZ240" s="112"/>
      <c r="CA240" s="112"/>
      <c r="CB240" s="112"/>
      <c r="CC240" s="112"/>
      <c r="CD240" s="112"/>
      <c r="CE240" s="112"/>
      <c r="CF240" s="112"/>
      <c r="CG240" s="112"/>
      <c r="CH240" s="112"/>
      <c r="CI240" s="112"/>
      <c r="CJ240" s="112"/>
      <c r="CK240" s="112"/>
      <c r="CL240" s="112"/>
      <c r="CM240" s="112"/>
      <c r="CN240" s="112"/>
      <c r="CO240" s="112"/>
      <c r="CP240" s="112"/>
      <c r="CQ240" s="112"/>
      <c r="CR240" s="112"/>
      <c r="CS240" s="112"/>
      <c r="CT240" s="112"/>
      <c r="CU240" s="112"/>
      <c r="CV240" s="112"/>
      <c r="CW240" s="112"/>
      <c r="CX240" s="112"/>
      <c r="CY240" s="112"/>
      <c r="CZ240" s="112"/>
      <c r="DA240" s="112"/>
      <c r="DB240" s="112"/>
      <c r="DC240" s="112"/>
      <c r="DD240" s="112"/>
      <c r="DE240" s="112"/>
      <c r="DF240" s="112"/>
      <c r="DG240" s="112"/>
      <c r="DH240" s="112"/>
      <c r="DI240" s="112"/>
      <c r="DJ240" s="112"/>
      <c r="DK240" s="112"/>
      <c r="DL240" s="112"/>
      <c r="DM240" s="112"/>
      <c r="DN240" s="112"/>
    </row>
    <row r="241" spans="1:118" x14ac:dyDescent="0.25">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112"/>
      <c r="BO241" s="112"/>
      <c r="BP241" s="112"/>
      <c r="BQ241" s="112"/>
      <c r="BR241" s="112"/>
      <c r="BS241" s="112"/>
      <c r="BT241" s="112"/>
      <c r="BU241" s="112"/>
      <c r="BV241" s="112"/>
      <c r="BW241" s="112"/>
      <c r="BX241" s="112"/>
      <c r="BY241" s="112"/>
      <c r="BZ241" s="112"/>
      <c r="CA241" s="112"/>
      <c r="CB241" s="112"/>
      <c r="CC241" s="112"/>
      <c r="CD241" s="112"/>
      <c r="CE241" s="112"/>
      <c r="CF241" s="112"/>
      <c r="CG241" s="112"/>
      <c r="CH241" s="112"/>
      <c r="CI241" s="112"/>
      <c r="CJ241" s="112"/>
      <c r="CK241" s="112"/>
      <c r="CL241" s="112"/>
      <c r="CM241" s="112"/>
      <c r="CN241" s="112"/>
      <c r="CO241" s="112"/>
      <c r="CP241" s="112"/>
      <c r="CQ241" s="112"/>
      <c r="CR241" s="112"/>
      <c r="CS241" s="112"/>
      <c r="CT241" s="112"/>
      <c r="CU241" s="112"/>
      <c r="CV241" s="112"/>
      <c r="CW241" s="112"/>
      <c r="CX241" s="112"/>
      <c r="CY241" s="112"/>
      <c r="CZ241" s="112"/>
      <c r="DA241" s="112"/>
      <c r="DB241" s="112"/>
      <c r="DC241" s="112"/>
      <c r="DD241" s="112"/>
      <c r="DE241" s="112"/>
      <c r="DF241" s="112"/>
      <c r="DG241" s="112"/>
      <c r="DH241" s="112"/>
      <c r="DI241" s="112"/>
      <c r="DJ241" s="112"/>
      <c r="DK241" s="112"/>
      <c r="DL241" s="112"/>
      <c r="DM241" s="112"/>
      <c r="DN241" s="112"/>
    </row>
    <row r="242" spans="1:118" x14ac:dyDescent="0.25">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12"/>
      <c r="BL242" s="112"/>
      <c r="BM242" s="112"/>
      <c r="BN242" s="112"/>
      <c r="BO242" s="112"/>
      <c r="BP242" s="112"/>
      <c r="BQ242" s="112"/>
      <c r="BR242" s="112"/>
      <c r="BS242" s="112"/>
      <c r="BT242" s="112"/>
      <c r="BU242" s="112"/>
      <c r="BV242" s="112"/>
      <c r="BW242" s="112"/>
      <c r="BX242" s="112"/>
      <c r="BY242" s="112"/>
      <c r="BZ242" s="112"/>
      <c r="CA242" s="112"/>
      <c r="CB242" s="112"/>
      <c r="CC242" s="112"/>
      <c r="CD242" s="112"/>
      <c r="CE242" s="112"/>
      <c r="CF242" s="112"/>
      <c r="CG242" s="112"/>
      <c r="CH242" s="112"/>
      <c r="CI242" s="112"/>
      <c r="CJ242" s="112"/>
      <c r="CK242" s="112"/>
      <c r="CL242" s="112"/>
      <c r="CM242" s="112"/>
      <c r="CN242" s="112"/>
      <c r="CO242" s="112"/>
      <c r="CP242" s="112"/>
      <c r="CQ242" s="112"/>
      <c r="CR242" s="112"/>
      <c r="CS242" s="112"/>
      <c r="CT242" s="112"/>
      <c r="CU242" s="112"/>
      <c r="CV242" s="112"/>
      <c r="CW242" s="112"/>
      <c r="CX242" s="112"/>
      <c r="CY242" s="112"/>
      <c r="CZ242" s="112"/>
      <c r="DA242" s="112"/>
      <c r="DB242" s="112"/>
      <c r="DC242" s="112"/>
      <c r="DD242" s="112"/>
      <c r="DE242" s="112"/>
      <c r="DF242" s="112"/>
      <c r="DG242" s="112"/>
      <c r="DH242" s="112"/>
      <c r="DI242" s="112"/>
      <c r="DJ242" s="112"/>
      <c r="DK242" s="112"/>
      <c r="DL242" s="112"/>
      <c r="DM242" s="112"/>
      <c r="DN242" s="112"/>
    </row>
    <row r="243" spans="1:118" x14ac:dyDescent="0.25">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112"/>
      <c r="AS243" s="112"/>
      <c r="AT243" s="112"/>
      <c r="AU243" s="112"/>
      <c r="AV243" s="112"/>
      <c r="AW243" s="112"/>
      <c r="AX243" s="112"/>
      <c r="AY243" s="112"/>
      <c r="AZ243" s="112"/>
      <c r="BA243" s="112"/>
      <c r="BB243" s="112"/>
      <c r="BC243" s="112"/>
      <c r="BD243" s="112"/>
      <c r="BE243" s="112"/>
      <c r="BF243" s="112"/>
      <c r="BG243" s="112"/>
      <c r="BH243" s="112"/>
      <c r="BI243" s="112"/>
      <c r="BJ243" s="112"/>
      <c r="BK243" s="112"/>
      <c r="BL243" s="112"/>
      <c r="BM243" s="112"/>
      <c r="BN243" s="112"/>
      <c r="BO243" s="112"/>
      <c r="BP243" s="112"/>
      <c r="BQ243" s="112"/>
      <c r="BR243" s="112"/>
      <c r="BS243" s="112"/>
      <c r="BT243" s="112"/>
      <c r="BU243" s="112"/>
      <c r="BV243" s="112"/>
      <c r="BW243" s="112"/>
      <c r="BX243" s="112"/>
      <c r="BY243" s="112"/>
      <c r="BZ243" s="112"/>
      <c r="CA243" s="112"/>
      <c r="CB243" s="112"/>
      <c r="CC243" s="112"/>
      <c r="CD243" s="112"/>
      <c r="CE243" s="112"/>
      <c r="CF243" s="112"/>
      <c r="CG243" s="112"/>
      <c r="CH243" s="112"/>
      <c r="CI243" s="112"/>
      <c r="CJ243" s="112"/>
      <c r="CK243" s="112"/>
      <c r="CL243" s="112"/>
      <c r="CM243" s="112"/>
      <c r="CN243" s="112"/>
      <c r="CO243" s="112"/>
      <c r="CP243" s="112"/>
      <c r="CQ243" s="112"/>
      <c r="CR243" s="112"/>
      <c r="CS243" s="112"/>
      <c r="CT243" s="112"/>
      <c r="CU243" s="112"/>
      <c r="CV243" s="112"/>
      <c r="CW243" s="112"/>
      <c r="CX243" s="112"/>
      <c r="CY243" s="112"/>
      <c r="CZ243" s="112"/>
      <c r="DA243" s="112"/>
      <c r="DB243" s="112"/>
      <c r="DC243" s="112"/>
      <c r="DD243" s="112"/>
      <c r="DE243" s="112"/>
      <c r="DF243" s="112"/>
      <c r="DG243" s="112"/>
      <c r="DH243" s="112"/>
      <c r="DI243" s="112"/>
      <c r="DJ243" s="112"/>
      <c r="DK243" s="112"/>
      <c r="DL243" s="112"/>
      <c r="DM243" s="112"/>
      <c r="DN243" s="112"/>
    </row>
    <row r="244" spans="1:118" x14ac:dyDescent="0.25">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c r="BK244" s="112"/>
      <c r="BL244" s="112"/>
      <c r="BM244" s="112"/>
      <c r="BN244" s="112"/>
      <c r="BO244" s="112"/>
      <c r="BP244" s="112"/>
      <c r="BQ244" s="112"/>
      <c r="BR244" s="112"/>
      <c r="BS244" s="112"/>
      <c r="BT244" s="112"/>
      <c r="BU244" s="112"/>
      <c r="BV244" s="112"/>
      <c r="BW244" s="112"/>
      <c r="BX244" s="112"/>
      <c r="BY244" s="112"/>
      <c r="BZ244" s="112"/>
      <c r="CA244" s="112"/>
      <c r="CB244" s="112"/>
      <c r="CC244" s="112"/>
      <c r="CD244" s="112"/>
      <c r="CE244" s="112"/>
      <c r="CF244" s="112"/>
      <c r="CG244" s="112"/>
      <c r="CH244" s="112"/>
      <c r="CI244" s="112"/>
      <c r="CJ244" s="112"/>
      <c r="CK244" s="112"/>
      <c r="CL244" s="112"/>
      <c r="CM244" s="112"/>
      <c r="CN244" s="112"/>
      <c r="CO244" s="112"/>
      <c r="CP244" s="112"/>
      <c r="CQ244" s="112"/>
      <c r="CR244" s="112"/>
      <c r="CS244" s="112"/>
      <c r="CT244" s="112"/>
      <c r="CU244" s="112"/>
      <c r="CV244" s="112"/>
      <c r="CW244" s="112"/>
      <c r="CX244" s="112"/>
      <c r="CY244" s="112"/>
      <c r="CZ244" s="112"/>
      <c r="DA244" s="112"/>
      <c r="DB244" s="112"/>
      <c r="DC244" s="112"/>
      <c r="DD244" s="112"/>
      <c r="DE244" s="112"/>
      <c r="DF244" s="112"/>
      <c r="DG244" s="112"/>
      <c r="DH244" s="112"/>
      <c r="DI244" s="112"/>
      <c r="DJ244" s="112"/>
      <c r="DK244" s="112"/>
      <c r="DL244" s="112"/>
      <c r="DM244" s="112"/>
      <c r="DN244" s="112"/>
    </row>
    <row r="245" spans="1:118" x14ac:dyDescent="0.25">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c r="BK245" s="112"/>
      <c r="BL245" s="112"/>
      <c r="BM245" s="112"/>
      <c r="BN245" s="112"/>
      <c r="BO245" s="112"/>
      <c r="BP245" s="112"/>
      <c r="BQ245" s="112"/>
      <c r="BR245" s="112"/>
      <c r="BS245" s="112"/>
      <c r="BT245" s="112"/>
      <c r="BU245" s="112"/>
      <c r="BV245" s="112"/>
      <c r="BW245" s="112"/>
      <c r="BX245" s="112"/>
      <c r="BY245" s="112"/>
      <c r="BZ245" s="112"/>
      <c r="CA245" s="112"/>
      <c r="CB245" s="112"/>
      <c r="CC245" s="112"/>
      <c r="CD245" s="112"/>
      <c r="CE245" s="112"/>
      <c r="CF245" s="112"/>
      <c r="CG245" s="112"/>
      <c r="CH245" s="112"/>
      <c r="CI245" s="112"/>
      <c r="CJ245" s="112"/>
      <c r="CK245" s="112"/>
      <c r="CL245" s="112"/>
      <c r="CM245" s="112"/>
      <c r="CN245" s="112"/>
      <c r="CO245" s="112"/>
      <c r="CP245" s="112"/>
      <c r="CQ245" s="112"/>
      <c r="CR245" s="112"/>
      <c r="CS245" s="112"/>
      <c r="CT245" s="112"/>
      <c r="CU245" s="112"/>
      <c r="CV245" s="112"/>
      <c r="CW245" s="112"/>
      <c r="CX245" s="112"/>
      <c r="CY245" s="112"/>
      <c r="CZ245" s="112"/>
      <c r="DA245" s="112"/>
      <c r="DB245" s="112"/>
      <c r="DC245" s="112"/>
      <c r="DD245" s="112"/>
      <c r="DE245" s="112"/>
      <c r="DF245" s="112"/>
      <c r="DG245" s="112"/>
      <c r="DH245" s="112"/>
      <c r="DI245" s="112"/>
      <c r="DJ245" s="112"/>
      <c r="DK245" s="112"/>
      <c r="DL245" s="112"/>
      <c r="DM245" s="112"/>
      <c r="DN245" s="112"/>
    </row>
    <row r="246" spans="1:118" x14ac:dyDescent="0.25">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12"/>
      <c r="BL246" s="112"/>
      <c r="BM246" s="112"/>
      <c r="BN246" s="112"/>
      <c r="BO246" s="112"/>
      <c r="BP246" s="112"/>
      <c r="BQ246" s="112"/>
      <c r="BR246" s="112"/>
      <c r="BS246" s="112"/>
      <c r="BT246" s="112"/>
      <c r="BU246" s="112"/>
      <c r="BV246" s="112"/>
      <c r="BW246" s="112"/>
      <c r="BX246" s="112"/>
      <c r="BY246" s="112"/>
      <c r="BZ246" s="112"/>
      <c r="CA246" s="112"/>
      <c r="CB246" s="112"/>
      <c r="CC246" s="112"/>
      <c r="CD246" s="112"/>
      <c r="CE246" s="112"/>
      <c r="CF246" s="112"/>
      <c r="CG246" s="112"/>
      <c r="CH246" s="112"/>
      <c r="CI246" s="112"/>
      <c r="CJ246" s="112"/>
      <c r="CK246" s="112"/>
      <c r="CL246" s="112"/>
      <c r="CM246" s="112"/>
      <c r="CN246" s="112"/>
      <c r="CO246" s="112"/>
      <c r="CP246" s="112"/>
      <c r="CQ246" s="112"/>
      <c r="CR246" s="112"/>
      <c r="CS246" s="112"/>
      <c r="CT246" s="112"/>
      <c r="CU246" s="112"/>
      <c r="CV246" s="112"/>
      <c r="CW246" s="112"/>
      <c r="CX246" s="112"/>
      <c r="CY246" s="112"/>
      <c r="CZ246" s="112"/>
      <c r="DA246" s="112"/>
      <c r="DB246" s="112"/>
      <c r="DC246" s="112"/>
      <c r="DD246" s="112"/>
      <c r="DE246" s="112"/>
      <c r="DF246" s="112"/>
      <c r="DG246" s="112"/>
      <c r="DH246" s="112"/>
      <c r="DI246" s="112"/>
      <c r="DJ246" s="112"/>
      <c r="DK246" s="112"/>
      <c r="DL246" s="112"/>
      <c r="DM246" s="112"/>
      <c r="DN246" s="112"/>
    </row>
    <row r="247" spans="1:118" x14ac:dyDescent="0.25">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c r="BK247" s="112"/>
      <c r="BL247" s="112"/>
      <c r="BM247" s="112"/>
      <c r="BN247" s="112"/>
      <c r="BO247" s="112"/>
      <c r="BP247" s="112"/>
      <c r="BQ247" s="112"/>
      <c r="BR247" s="112"/>
      <c r="BS247" s="112"/>
      <c r="BT247" s="112"/>
      <c r="BU247" s="112"/>
      <c r="BV247" s="112"/>
      <c r="BW247" s="112"/>
      <c r="BX247" s="112"/>
      <c r="BY247" s="112"/>
      <c r="BZ247" s="112"/>
      <c r="CA247" s="112"/>
      <c r="CB247" s="112"/>
      <c r="CC247" s="112"/>
      <c r="CD247" s="112"/>
      <c r="CE247" s="112"/>
      <c r="CF247" s="112"/>
      <c r="CG247" s="112"/>
      <c r="CH247" s="112"/>
      <c r="CI247" s="112"/>
      <c r="CJ247" s="112"/>
      <c r="CK247" s="112"/>
      <c r="CL247" s="112"/>
      <c r="CM247" s="112"/>
      <c r="CN247" s="112"/>
      <c r="CO247" s="112"/>
      <c r="CP247" s="112"/>
      <c r="CQ247" s="112"/>
      <c r="CR247" s="112"/>
      <c r="CS247" s="112"/>
      <c r="CT247" s="112"/>
      <c r="CU247" s="112"/>
      <c r="CV247" s="112"/>
      <c r="CW247" s="112"/>
      <c r="CX247" s="112"/>
      <c r="CY247" s="112"/>
      <c r="CZ247" s="112"/>
      <c r="DA247" s="112"/>
      <c r="DB247" s="112"/>
      <c r="DC247" s="112"/>
      <c r="DD247" s="112"/>
      <c r="DE247" s="112"/>
      <c r="DF247" s="112"/>
      <c r="DG247" s="112"/>
      <c r="DH247" s="112"/>
      <c r="DI247" s="112"/>
      <c r="DJ247" s="112"/>
      <c r="DK247" s="112"/>
      <c r="DL247" s="112"/>
      <c r="DM247" s="112"/>
      <c r="DN247" s="112"/>
    </row>
    <row r="248" spans="1:118" x14ac:dyDescent="0.25">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c r="AD248" s="112"/>
      <c r="AE248" s="112"/>
      <c r="AF248" s="112"/>
      <c r="AG248" s="112"/>
      <c r="AH248" s="112"/>
      <c r="AI248" s="112"/>
      <c r="AJ248" s="112"/>
      <c r="AK248" s="112"/>
      <c r="AL248" s="112"/>
      <c r="AM248" s="112"/>
      <c r="AN248" s="112"/>
      <c r="AO248" s="112"/>
      <c r="AP248" s="112"/>
      <c r="AQ248" s="112"/>
      <c r="AR248" s="112"/>
      <c r="AS248" s="112"/>
      <c r="AT248" s="112"/>
      <c r="AU248" s="112"/>
      <c r="AV248" s="112"/>
      <c r="AW248" s="112"/>
      <c r="AX248" s="112"/>
      <c r="AY248" s="112"/>
      <c r="AZ248" s="112"/>
      <c r="BA248" s="112"/>
      <c r="BB248" s="112"/>
      <c r="BC248" s="112"/>
      <c r="BD248" s="112"/>
      <c r="BE248" s="112"/>
      <c r="BF248" s="112"/>
      <c r="BG248" s="112"/>
      <c r="BH248" s="112"/>
      <c r="BI248" s="112"/>
      <c r="BJ248" s="112"/>
      <c r="BK248" s="112"/>
      <c r="BL248" s="112"/>
      <c r="BM248" s="112"/>
      <c r="BN248" s="112"/>
      <c r="BO248" s="112"/>
      <c r="BP248" s="112"/>
      <c r="BQ248" s="112"/>
      <c r="BR248" s="112"/>
      <c r="BS248" s="112"/>
      <c r="BT248" s="112"/>
      <c r="BU248" s="112"/>
      <c r="BV248" s="112"/>
      <c r="BW248" s="112"/>
      <c r="BX248" s="112"/>
      <c r="BY248" s="112"/>
      <c r="BZ248" s="112"/>
      <c r="CA248" s="112"/>
      <c r="CB248" s="112"/>
      <c r="CC248" s="112"/>
      <c r="CD248" s="112"/>
      <c r="CE248" s="112"/>
      <c r="CF248" s="112"/>
      <c r="CG248" s="112"/>
      <c r="CH248" s="112"/>
      <c r="CI248" s="112"/>
      <c r="CJ248" s="112"/>
      <c r="CK248" s="112"/>
      <c r="CL248" s="112"/>
      <c r="CM248" s="112"/>
      <c r="CN248" s="112"/>
      <c r="CO248" s="112"/>
      <c r="CP248" s="112"/>
      <c r="CQ248" s="112"/>
      <c r="CR248" s="112"/>
      <c r="CS248" s="112"/>
      <c r="CT248" s="112"/>
      <c r="CU248" s="112"/>
      <c r="CV248" s="112"/>
      <c r="CW248" s="112"/>
      <c r="CX248" s="112"/>
      <c r="CY248" s="112"/>
      <c r="CZ248" s="112"/>
      <c r="DA248" s="112"/>
      <c r="DB248" s="112"/>
      <c r="DC248" s="112"/>
      <c r="DD248" s="112"/>
      <c r="DE248" s="112"/>
      <c r="DF248" s="112"/>
      <c r="DG248" s="112"/>
      <c r="DH248" s="112"/>
      <c r="DI248" s="112"/>
      <c r="DJ248" s="112"/>
      <c r="DK248" s="112"/>
      <c r="DL248" s="112"/>
      <c r="DM248" s="112"/>
      <c r="DN248" s="112"/>
    </row>
    <row r="249" spans="1:118" x14ac:dyDescent="0.25">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c r="AH249" s="112"/>
      <c r="AI249" s="112"/>
      <c r="AJ249" s="112"/>
      <c r="AK249" s="112"/>
      <c r="AL249" s="112"/>
      <c r="AM249" s="112"/>
      <c r="AN249" s="112"/>
      <c r="AO249" s="112"/>
      <c r="AP249" s="112"/>
      <c r="AQ249" s="112"/>
      <c r="AR249" s="112"/>
      <c r="AS249" s="112"/>
      <c r="AT249" s="112"/>
      <c r="AU249" s="112"/>
      <c r="AV249" s="112"/>
      <c r="AW249" s="112"/>
      <c r="AX249" s="112"/>
      <c r="AY249" s="112"/>
      <c r="AZ249" s="112"/>
      <c r="BA249" s="112"/>
      <c r="BB249" s="112"/>
      <c r="BC249" s="112"/>
      <c r="BD249" s="112"/>
      <c r="BE249" s="112"/>
      <c r="BF249" s="112"/>
      <c r="BG249" s="112"/>
      <c r="BH249" s="112"/>
      <c r="BI249" s="112"/>
      <c r="BJ249" s="112"/>
      <c r="BK249" s="112"/>
      <c r="BL249" s="112"/>
      <c r="BM249" s="112"/>
      <c r="BN249" s="112"/>
      <c r="BO249" s="112"/>
      <c r="BP249" s="112"/>
      <c r="BQ249" s="112"/>
      <c r="BR249" s="112"/>
      <c r="BS249" s="112"/>
      <c r="BT249" s="112"/>
      <c r="BU249" s="112"/>
      <c r="BV249" s="112"/>
      <c r="BW249" s="112"/>
      <c r="BX249" s="112"/>
      <c r="BY249" s="112"/>
      <c r="BZ249" s="112"/>
      <c r="CA249" s="112"/>
      <c r="CB249" s="112"/>
      <c r="CC249" s="112"/>
      <c r="CD249" s="112"/>
      <c r="CE249" s="112"/>
      <c r="CF249" s="112"/>
      <c r="CG249" s="112"/>
      <c r="CH249" s="112"/>
      <c r="CI249" s="112"/>
      <c r="CJ249" s="112"/>
      <c r="CK249" s="112"/>
      <c r="CL249" s="112"/>
      <c r="CM249" s="112"/>
      <c r="CN249" s="112"/>
      <c r="CO249" s="112"/>
      <c r="CP249" s="112"/>
      <c r="CQ249" s="112"/>
      <c r="CR249" s="112"/>
      <c r="CS249" s="112"/>
      <c r="CT249" s="112"/>
      <c r="CU249" s="112"/>
      <c r="CV249" s="112"/>
      <c r="CW249" s="112"/>
      <c r="CX249" s="112"/>
      <c r="CY249" s="112"/>
      <c r="CZ249" s="112"/>
      <c r="DA249" s="112"/>
      <c r="DB249" s="112"/>
      <c r="DC249" s="112"/>
      <c r="DD249" s="112"/>
      <c r="DE249" s="112"/>
      <c r="DF249" s="112"/>
      <c r="DG249" s="112"/>
      <c r="DH249" s="112"/>
      <c r="DI249" s="112"/>
      <c r="DJ249" s="112"/>
      <c r="DK249" s="112"/>
      <c r="DL249" s="112"/>
      <c r="DM249" s="112"/>
      <c r="DN249" s="112"/>
    </row>
  </sheetData>
  <conditionalFormatting sqref="C8:JL8">
    <cfRule type="colorScale" priority="314">
      <colorScale>
        <cfvo type="min"/>
        <cfvo type="percentile" val="50"/>
        <cfvo type="max"/>
        <color rgb="FFF8696B"/>
        <color rgb="FFFFEB84"/>
        <color rgb="FF63BE7B"/>
      </colorScale>
    </cfRule>
  </conditionalFormatting>
  <conditionalFormatting sqref="C8:JL13">
    <cfRule type="colorScale" priority="546">
      <colorScale>
        <cfvo type="min"/>
        <cfvo type="percentile" val="50"/>
        <cfvo type="max"/>
        <color rgb="FFF8696B"/>
        <color rgb="FFFFEB84"/>
        <color rgb="FF63BE7B"/>
      </colorScale>
    </cfRule>
  </conditionalFormatting>
  <conditionalFormatting sqref="C8:JL11">
    <cfRule type="colorScale" priority="561">
      <colorScale>
        <cfvo type="min"/>
        <cfvo type="percentile" val="50"/>
        <cfvo type="max"/>
        <color rgb="FFF8696B"/>
        <color rgb="FFFFEB84"/>
        <color rgb="FF63BE7B"/>
      </colorScale>
    </cfRule>
  </conditionalFormatting>
  <conditionalFormatting sqref="C8:JL12">
    <cfRule type="colorScale" priority="615">
      <colorScale>
        <cfvo type="min"/>
        <cfvo type="percentile" val="50"/>
        <cfvo type="max"/>
        <color rgb="FFF8696B"/>
        <color rgb="FFFFEB84"/>
        <color rgb="FF63BE7B"/>
      </colorScale>
    </cfRule>
  </conditionalFormatting>
  <conditionalFormatting sqref="C8:JL24">
    <cfRule type="colorScale" priority="628">
      <colorScale>
        <cfvo type="min"/>
        <cfvo type="percentile" val="50"/>
        <cfvo type="max"/>
        <color rgb="FFF8696B"/>
        <color rgb="FFFFEB84"/>
        <color rgb="FF63BE7B"/>
      </colorScale>
    </cfRule>
  </conditionalFormatting>
  <conditionalFormatting sqref="C8:JL31">
    <cfRule type="colorScale" priority="629">
      <colorScale>
        <cfvo type="min"/>
        <cfvo type="percentile" val="50"/>
        <cfvo type="max"/>
        <color rgb="FFF8696B"/>
        <color rgb="FFFFEB84"/>
        <color rgb="FF63BE7B"/>
      </colorScale>
    </cfRule>
  </conditionalFormatting>
  <conditionalFormatting sqref="D8:JM199">
    <cfRule type="colorScale" priority="1">
      <colorScale>
        <cfvo type="min"/>
        <cfvo type="percentile" val="50"/>
        <cfvo type="max"/>
        <color rgb="FFF8696B"/>
        <color rgb="FFFFEB84"/>
        <color rgb="FF63BE7B"/>
      </colorScale>
    </cfRule>
  </conditionalFormatting>
  <dataValidations count="1">
    <dataValidation allowBlank="1" showErrorMessage="1" promptTitle="TRAFO" prompt="$B$8:$BJ$161" sqref="B7" xr:uid="{9460004F-FAE4-41DF-B63F-A6B8A5501264}"/>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omboBox2">
          <controlPr defaultSize="0" autoLine="0" autoPict="0" linkedCell="Subjects!J1" listFillRange="Subjects!J3:J35" r:id="rId5">
            <anchor moveWithCells="1">
              <from>
                <xdr:col>1</xdr:col>
                <xdr:colOff>0</xdr:colOff>
                <xdr:row>1</xdr:row>
                <xdr:rowOff>152400</xdr:rowOff>
              </from>
              <to>
                <xdr:col>6</xdr:col>
                <xdr:colOff>9525</xdr:colOff>
                <xdr:row>3</xdr:row>
                <xdr:rowOff>76200</xdr:rowOff>
              </to>
            </anchor>
          </controlPr>
        </control>
      </mc:Choice>
      <mc:Fallback>
        <control shapeId="3075" r:id="rId4" name="ComboBox2"/>
      </mc:Fallback>
    </mc:AlternateContent>
    <mc:AlternateContent xmlns:mc="http://schemas.openxmlformats.org/markup-compatibility/2006">
      <mc:Choice Requires="x14">
        <control shapeId="3074" r:id="rId6" name="ComboBox1">
          <controlPr defaultSize="0" autoLine="0" linkedCell="Country_list!AR3" listFillRange="Country_list!AR4:AR8" r:id="rId7">
            <anchor moveWithCells="1">
              <from>
                <xdr:col>1</xdr:col>
                <xdr:colOff>0</xdr:colOff>
                <xdr:row>3</xdr:row>
                <xdr:rowOff>133350</xdr:rowOff>
              </from>
              <to>
                <xdr:col>1</xdr:col>
                <xdr:colOff>1133475</xdr:colOff>
                <xdr:row>5</xdr:row>
                <xdr:rowOff>19050</xdr:rowOff>
              </to>
            </anchor>
          </controlPr>
        </control>
      </mc:Choice>
      <mc:Fallback>
        <control shapeId="3074" r:id="rId6" name="ComboBox1"/>
      </mc:Fallback>
    </mc:AlternateContent>
    <mc:AlternateContent xmlns:mc="http://schemas.openxmlformats.org/markup-compatibility/2006">
      <mc:Choice Requires="x14">
        <control shapeId="3076" r:id="rId8" name="btnProcessTable">
          <controlPr defaultSize="0" autoFill="0" autoLine="0" autoPict="0" macro="[0]!btnProcessTable_Click">
            <anchor>
              <from>
                <xdr:col>9</xdr:col>
                <xdr:colOff>390525</xdr:colOff>
                <xdr:row>1</xdr:row>
                <xdr:rowOff>171450</xdr:rowOff>
              </from>
              <to>
                <xdr:col>13</xdr:col>
                <xdr:colOff>228600</xdr:colOff>
                <xdr:row>5</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134DE-E32D-4116-A338-EFFA1283B9A5}">
  <sheetPr codeName="Sheet4"/>
  <dimension ref="B2:AR189"/>
  <sheetViews>
    <sheetView workbookViewId="0">
      <pane ySplit="3" topLeftCell="A115" activePane="bottomLeft" state="frozen"/>
      <selection activeCell="K29" sqref="K29"/>
      <selection pane="bottomLeft" activeCell="B68" sqref="B68"/>
    </sheetView>
  </sheetViews>
  <sheetFormatPr defaultColWidth="9.140625" defaultRowHeight="12.75" x14ac:dyDescent="0.2"/>
  <cols>
    <col min="1" max="1" width="4.140625" style="66" customWidth="1"/>
    <col min="2" max="2" width="39.28515625" style="66" bestFit="1" customWidth="1"/>
    <col min="3" max="3" width="9.42578125" style="66" bestFit="1" customWidth="1"/>
    <col min="4" max="36" width="12.7109375" style="66" customWidth="1"/>
    <col min="37" max="37" width="9.140625" style="66"/>
    <col min="38" max="38" width="26.85546875" style="66" customWidth="1"/>
    <col min="39" max="16384" width="9.140625" style="66"/>
  </cols>
  <sheetData>
    <row r="2" spans="2:44" ht="9" customHeight="1" thickBot="1" x14ac:dyDescent="0.25"/>
    <row r="3" spans="2:44" s="70" customFormat="1" ht="42" customHeight="1" thickBot="1" x14ac:dyDescent="0.25">
      <c r="B3" s="67" t="s">
        <v>40</v>
      </c>
      <c r="C3" s="68" t="s">
        <v>41</v>
      </c>
      <c r="D3" s="68" t="s">
        <v>42</v>
      </c>
      <c r="E3" s="68" t="s">
        <v>43</v>
      </c>
      <c r="F3" s="68" t="s">
        <v>44</v>
      </c>
      <c r="G3" s="68" t="s">
        <v>45</v>
      </c>
      <c r="H3" s="68" t="s">
        <v>46</v>
      </c>
      <c r="I3" s="68" t="s">
        <v>47</v>
      </c>
      <c r="J3" s="68" t="s">
        <v>48</v>
      </c>
      <c r="K3" s="68" t="s">
        <v>49</v>
      </c>
      <c r="L3" s="68" t="s">
        <v>50</v>
      </c>
      <c r="M3" s="68" t="s">
        <v>51</v>
      </c>
      <c r="N3" s="68" t="s">
        <v>52</v>
      </c>
      <c r="O3" s="68" t="s">
        <v>53</v>
      </c>
      <c r="P3" s="68" t="s">
        <v>54</v>
      </c>
      <c r="Q3" s="68" t="s">
        <v>55</v>
      </c>
      <c r="R3" s="68" t="s">
        <v>56</v>
      </c>
      <c r="S3" s="68" t="s">
        <v>57</v>
      </c>
      <c r="T3" s="68" t="s">
        <v>58</v>
      </c>
      <c r="U3" s="68" t="s">
        <v>59</v>
      </c>
      <c r="V3" s="68" t="s">
        <v>60</v>
      </c>
      <c r="W3" s="68" t="s">
        <v>61</v>
      </c>
      <c r="X3" s="68" t="s">
        <v>62</v>
      </c>
      <c r="Y3" s="68" t="s">
        <v>63</v>
      </c>
      <c r="Z3" s="68" t="s">
        <v>64</v>
      </c>
      <c r="AA3" s="68" t="s">
        <v>65</v>
      </c>
      <c r="AB3" s="68" t="s">
        <v>66</v>
      </c>
      <c r="AC3" s="68" t="s">
        <v>67</v>
      </c>
      <c r="AD3" s="68" t="s">
        <v>68</v>
      </c>
      <c r="AE3" s="68" t="s">
        <v>69</v>
      </c>
      <c r="AF3" s="68" t="s">
        <v>70</v>
      </c>
      <c r="AG3" s="68" t="s">
        <v>71</v>
      </c>
      <c r="AH3" s="68" t="s">
        <v>72</v>
      </c>
      <c r="AI3" s="68" t="s">
        <v>73</v>
      </c>
      <c r="AJ3" s="69" t="s">
        <v>74</v>
      </c>
      <c r="AL3" s="71" t="str">
        <f>HLOOKUP(Subjects!K1,Country_list!$D$3:$AJ$4,2,0)</f>
        <v>='Country_list'!E165:E190</v>
      </c>
      <c r="AR3" s="70" t="s">
        <v>104</v>
      </c>
    </row>
    <row r="4" spans="2:44" s="70" customFormat="1" ht="42" customHeight="1" thickBot="1" x14ac:dyDescent="0.25">
      <c r="B4" s="72"/>
      <c r="C4" s="73"/>
      <c r="D4" s="74" t="str">
        <f>"='Country_list'!D165:D190"</f>
        <v>='Country_list'!D165:D190</v>
      </c>
      <c r="E4" s="74" t="str">
        <f>"='Country_list'!E165:E190"</f>
        <v>='Country_list'!E165:E190</v>
      </c>
      <c r="F4" s="74" t="str">
        <f>"='Country_list'!F165:F190"</f>
        <v>='Country_list'!F165:F190</v>
      </c>
      <c r="G4" s="74" t="str">
        <f>"='Country_list'!G165:G190"</f>
        <v>='Country_list'!G165:G190</v>
      </c>
      <c r="H4" s="74" t="str">
        <f>"='Country_list'!H165:H190"</f>
        <v>='Country_list'!H165:H190</v>
      </c>
      <c r="I4" s="74" t="str">
        <f>"='Country_list'!I165:I190"</f>
        <v>='Country_list'!I165:I190</v>
      </c>
      <c r="J4" s="74" t="str">
        <f>"='Country_list'!J165:J190"</f>
        <v>='Country_list'!J165:J190</v>
      </c>
      <c r="K4" s="74" t="str">
        <f>"='Country_list'!K165:K190"</f>
        <v>='Country_list'!K165:K190</v>
      </c>
      <c r="L4" s="74" t="str">
        <f>"='Country_list'!L165:L190"</f>
        <v>='Country_list'!L165:L190</v>
      </c>
      <c r="M4" s="74" t="str">
        <f>"='Country_list'!M165:M190"</f>
        <v>='Country_list'!M165:M190</v>
      </c>
      <c r="N4" s="74" t="str">
        <f>"='Country_list'!N165:N190"</f>
        <v>='Country_list'!N165:N190</v>
      </c>
      <c r="O4" s="74" t="str">
        <f>"='Country_list'!O165:O190"</f>
        <v>='Country_list'!O165:O190</v>
      </c>
      <c r="P4" s="74" t="str">
        <f>"='Country_list'!P165:P190"</f>
        <v>='Country_list'!P165:P190</v>
      </c>
      <c r="Q4" s="74" t="str">
        <f>"='Country_list'!Q165:Q190"</f>
        <v>='Country_list'!Q165:Q190</v>
      </c>
      <c r="R4" s="74" t="str">
        <f>"='Country_list'!R165:R190"</f>
        <v>='Country_list'!R165:R190</v>
      </c>
      <c r="S4" s="74" t="str">
        <f>"='Country_list'!S165:S190"</f>
        <v>='Country_list'!S165:S190</v>
      </c>
      <c r="T4" s="74" t="str">
        <f>"='Country_list'!T165:T190"</f>
        <v>='Country_list'!T165:T190</v>
      </c>
      <c r="U4" s="74" t="str">
        <f>"='Country_list'!U165:U190"</f>
        <v>='Country_list'!U165:U190</v>
      </c>
      <c r="V4" s="74" t="str">
        <f>"='Country_list'!V165:V190"</f>
        <v>='Country_list'!V165:V190</v>
      </c>
      <c r="W4" s="74" t="str">
        <f>"='Country_list'!W165:W190"</f>
        <v>='Country_list'!W165:W190</v>
      </c>
      <c r="X4" s="74" t="str">
        <f>"='Country_list'!X165:X190"</f>
        <v>='Country_list'!X165:X190</v>
      </c>
      <c r="Y4" s="74" t="str">
        <f>"='Country_list'!Y165:Y190"</f>
        <v>='Country_list'!Y165:Y190</v>
      </c>
      <c r="Z4" s="74" t="str">
        <f>"='Country_list'!Z165:Z190"</f>
        <v>='Country_list'!Z165:Z190</v>
      </c>
      <c r="AA4" s="74" t="str">
        <f>"='Country_list'!AA165:AA190"</f>
        <v>='Country_list'!AA165:AA190</v>
      </c>
      <c r="AB4" s="74" t="str">
        <f>"='Country_list'!AB165:AB190"</f>
        <v>='Country_list'!AB165:AB190</v>
      </c>
      <c r="AC4" s="74" t="str">
        <f>"='Country_list'!AC165:AC190"</f>
        <v>='Country_list'!AC165:AC190</v>
      </c>
      <c r="AD4" s="74" t="str">
        <f>"='Country_list'!AD165:AD190"</f>
        <v>='Country_list'!AD165:AD190</v>
      </c>
      <c r="AE4" s="74" t="str">
        <f>"='Country_list'!AE165:AE190"</f>
        <v>='Country_list'!AE165:AE190</v>
      </c>
      <c r="AF4" s="74" t="str">
        <f>"='Country_list'!AF165:AF190"</f>
        <v>='Country_list'!AF165:AF190</v>
      </c>
      <c r="AG4" s="74" t="str">
        <f>"='Country_list'!AG165:AG190"</f>
        <v>='Country_list'!AG165:AG190</v>
      </c>
      <c r="AH4" s="74" t="str">
        <f>"='Country_list'!AH165:AH190"</f>
        <v>='Country_list'!AH165:AH190</v>
      </c>
      <c r="AI4" s="74" t="str">
        <f>"='Country_list'!AI165:AI190"</f>
        <v>='Country_list'!AI165:AI190</v>
      </c>
      <c r="AJ4" s="74" t="str">
        <f>"='Country_list'!AJ165:AJ190"</f>
        <v>='Country_list'!AJ165:AJ190</v>
      </c>
      <c r="AR4" s="75" t="s">
        <v>76</v>
      </c>
    </row>
    <row r="5" spans="2:44" x14ac:dyDescent="0.2">
      <c r="B5" s="76" t="s">
        <v>77</v>
      </c>
      <c r="C5" s="77" t="s">
        <v>78</v>
      </c>
      <c r="D5" s="77" t="s">
        <v>79</v>
      </c>
      <c r="E5" s="77" t="s">
        <v>80</v>
      </c>
      <c r="F5" s="77"/>
      <c r="G5" s="77"/>
      <c r="H5" s="77"/>
      <c r="I5" s="77"/>
      <c r="J5" s="77"/>
      <c r="K5" s="77" t="s">
        <v>81</v>
      </c>
      <c r="L5" s="77" t="s">
        <v>82</v>
      </c>
      <c r="M5" s="77" t="s">
        <v>83</v>
      </c>
      <c r="N5" s="77" t="s">
        <v>84</v>
      </c>
      <c r="O5" s="77" t="s">
        <v>85</v>
      </c>
      <c r="P5" s="77" t="s">
        <v>86</v>
      </c>
      <c r="Q5" s="77" t="s">
        <v>87</v>
      </c>
      <c r="R5" s="77" t="s">
        <v>88</v>
      </c>
      <c r="S5" s="77"/>
      <c r="T5" s="77"/>
      <c r="U5" s="77"/>
      <c r="V5" s="77"/>
      <c r="W5" s="77"/>
      <c r="X5" s="77"/>
      <c r="Y5" s="77" t="s">
        <v>89</v>
      </c>
      <c r="Z5" s="77" t="s">
        <v>90</v>
      </c>
      <c r="AA5" s="77"/>
      <c r="AB5" s="77"/>
      <c r="AC5" s="77"/>
      <c r="AD5" s="77"/>
      <c r="AE5" s="77"/>
      <c r="AF5" s="77"/>
      <c r="AG5" s="77"/>
      <c r="AH5" s="77"/>
      <c r="AI5" s="77"/>
      <c r="AJ5" s="78" t="s">
        <v>91</v>
      </c>
      <c r="AR5" s="79" t="s">
        <v>75</v>
      </c>
    </row>
    <row r="6" spans="2:44" x14ac:dyDescent="0.2">
      <c r="B6" s="80" t="s">
        <v>92</v>
      </c>
      <c r="C6" s="81" t="s">
        <v>93</v>
      </c>
      <c r="D6" s="81"/>
      <c r="E6" s="81" t="s">
        <v>94</v>
      </c>
      <c r="F6" s="81"/>
      <c r="G6" s="81"/>
      <c r="H6" s="81"/>
      <c r="I6" s="81"/>
      <c r="J6" s="81"/>
      <c r="K6" s="81"/>
      <c r="L6" s="81" t="s">
        <v>95</v>
      </c>
      <c r="M6" s="81" t="s">
        <v>96</v>
      </c>
      <c r="N6" s="81"/>
      <c r="O6" s="81" t="s">
        <v>97</v>
      </c>
      <c r="P6" s="81" t="s">
        <v>98</v>
      </c>
      <c r="Q6" s="81" t="s">
        <v>99</v>
      </c>
      <c r="R6" s="81" t="s">
        <v>100</v>
      </c>
      <c r="S6" s="81"/>
      <c r="T6" s="81"/>
      <c r="U6" s="81"/>
      <c r="V6" s="81"/>
      <c r="W6" s="81"/>
      <c r="X6" s="81"/>
      <c r="Y6" s="81" t="s">
        <v>101</v>
      </c>
      <c r="Z6" s="81" t="s">
        <v>102</v>
      </c>
      <c r="AA6" s="81"/>
      <c r="AB6" s="81"/>
      <c r="AC6" s="81"/>
      <c r="AD6" s="81"/>
      <c r="AE6" s="81"/>
      <c r="AF6" s="81"/>
      <c r="AG6" s="81"/>
      <c r="AH6" s="81"/>
      <c r="AI6" s="81"/>
      <c r="AJ6" s="82" t="s">
        <v>103</v>
      </c>
      <c r="AR6" s="79" t="s">
        <v>104</v>
      </c>
    </row>
    <row r="7" spans="2:44" x14ac:dyDescent="0.2">
      <c r="B7" s="80" t="s">
        <v>105</v>
      </c>
      <c r="C7" s="81" t="s">
        <v>106</v>
      </c>
      <c r="D7" s="81" t="s">
        <v>107</v>
      </c>
      <c r="E7" s="81" t="s">
        <v>108</v>
      </c>
      <c r="F7" s="81" t="s">
        <v>109</v>
      </c>
      <c r="G7" s="81" t="s">
        <v>110</v>
      </c>
      <c r="H7" s="83" t="s">
        <v>111</v>
      </c>
      <c r="I7" s="81" t="s">
        <v>112</v>
      </c>
      <c r="J7" s="81" t="s">
        <v>113</v>
      </c>
      <c r="K7" s="81"/>
      <c r="L7" s="81" t="s">
        <v>114</v>
      </c>
      <c r="M7" s="81" t="s">
        <v>115</v>
      </c>
      <c r="N7" s="81" t="s">
        <v>116</v>
      </c>
      <c r="O7" s="81" t="s">
        <v>117</v>
      </c>
      <c r="P7" s="81" t="s">
        <v>118</v>
      </c>
      <c r="Q7" s="81"/>
      <c r="R7" s="81"/>
      <c r="S7" s="81"/>
      <c r="T7" s="81"/>
      <c r="U7" s="81"/>
      <c r="V7" s="81"/>
      <c r="W7" s="81"/>
      <c r="X7" s="81"/>
      <c r="Y7" s="81"/>
      <c r="Z7" s="81"/>
      <c r="AA7" s="81"/>
      <c r="AB7" s="81"/>
      <c r="AC7" s="81"/>
      <c r="AD7" s="81"/>
      <c r="AE7" s="81"/>
      <c r="AF7" s="81"/>
      <c r="AG7" s="81"/>
      <c r="AH7" s="81"/>
      <c r="AI7" s="81"/>
      <c r="AJ7" s="82" t="s">
        <v>119</v>
      </c>
      <c r="AR7" s="79" t="s">
        <v>120</v>
      </c>
    </row>
    <row r="8" spans="2:44" x14ac:dyDescent="0.2">
      <c r="B8" s="80" t="s">
        <v>121</v>
      </c>
      <c r="C8" s="81" t="s">
        <v>122</v>
      </c>
      <c r="D8" s="81" t="s">
        <v>123</v>
      </c>
      <c r="E8" s="81" t="s">
        <v>124</v>
      </c>
      <c r="F8" s="81" t="s">
        <v>125</v>
      </c>
      <c r="G8" s="81" t="s">
        <v>126</v>
      </c>
      <c r="H8" s="83" t="s">
        <v>127</v>
      </c>
      <c r="I8" s="81" t="s">
        <v>128</v>
      </c>
      <c r="J8" s="81" t="s">
        <v>129</v>
      </c>
      <c r="K8" s="81" t="s">
        <v>130</v>
      </c>
      <c r="L8" s="81" t="s">
        <v>131</v>
      </c>
      <c r="M8" s="81" t="s">
        <v>132</v>
      </c>
      <c r="N8" s="81" t="s">
        <v>133</v>
      </c>
      <c r="O8" s="81" t="s">
        <v>134</v>
      </c>
      <c r="P8" s="81" t="s">
        <v>135</v>
      </c>
      <c r="Q8" s="81" t="s">
        <v>136</v>
      </c>
      <c r="R8" s="81" t="s">
        <v>137</v>
      </c>
      <c r="S8" s="81"/>
      <c r="T8" s="81"/>
      <c r="U8" s="81" t="s">
        <v>138</v>
      </c>
      <c r="V8" s="81" t="s">
        <v>139</v>
      </c>
      <c r="W8" s="81" t="s">
        <v>140</v>
      </c>
      <c r="X8" s="81"/>
      <c r="Y8" s="81"/>
      <c r="Z8" s="81" t="s">
        <v>141</v>
      </c>
      <c r="AA8" s="81" t="s">
        <v>142</v>
      </c>
      <c r="AB8" s="81" t="s">
        <v>143</v>
      </c>
      <c r="AC8" s="81" t="s">
        <v>144</v>
      </c>
      <c r="AD8" s="81" t="s">
        <v>145</v>
      </c>
      <c r="AE8" s="81" t="s">
        <v>146</v>
      </c>
      <c r="AF8" s="81" t="s">
        <v>147</v>
      </c>
      <c r="AG8" s="81" t="s">
        <v>148</v>
      </c>
      <c r="AH8" s="81" t="s">
        <v>149</v>
      </c>
      <c r="AI8" s="81" t="s">
        <v>150</v>
      </c>
      <c r="AJ8" s="82" t="s">
        <v>151</v>
      </c>
      <c r="AR8" s="79" t="s">
        <v>152</v>
      </c>
    </row>
    <row r="9" spans="2:44" x14ac:dyDescent="0.2">
      <c r="B9" s="80" t="s">
        <v>153</v>
      </c>
      <c r="C9" s="81" t="s">
        <v>154</v>
      </c>
      <c r="D9" s="81"/>
      <c r="E9" s="81" t="s">
        <v>155</v>
      </c>
      <c r="F9" s="81"/>
      <c r="G9" s="81"/>
      <c r="H9" s="81"/>
      <c r="I9" s="81"/>
      <c r="J9" s="81"/>
      <c r="K9" s="81" t="s">
        <v>156</v>
      </c>
      <c r="L9" s="81" t="s">
        <v>157</v>
      </c>
      <c r="M9" s="81" t="s">
        <v>158</v>
      </c>
      <c r="N9" s="81"/>
      <c r="O9" s="81" t="s">
        <v>159</v>
      </c>
      <c r="P9" s="81" t="s">
        <v>160</v>
      </c>
      <c r="Q9" s="81" t="s">
        <v>161</v>
      </c>
      <c r="R9" s="81" t="s">
        <v>162</v>
      </c>
      <c r="S9" s="81" t="s">
        <v>163</v>
      </c>
      <c r="T9" s="81" t="s">
        <v>164</v>
      </c>
      <c r="U9" s="81"/>
      <c r="V9" s="81"/>
      <c r="W9" s="81"/>
      <c r="X9" s="81" t="s">
        <v>165</v>
      </c>
      <c r="Y9" s="81"/>
      <c r="Z9" s="81"/>
      <c r="AA9" s="81" t="s">
        <v>166</v>
      </c>
      <c r="AB9" s="81" t="s">
        <v>167</v>
      </c>
      <c r="AC9" s="81"/>
      <c r="AD9" s="81"/>
      <c r="AE9" s="81"/>
      <c r="AF9" s="81"/>
      <c r="AG9" s="81"/>
      <c r="AH9" s="81"/>
      <c r="AI9" s="81"/>
      <c r="AJ9" s="82" t="s">
        <v>168</v>
      </c>
    </row>
    <row r="10" spans="2:44" x14ac:dyDescent="0.2">
      <c r="B10" s="80" t="s">
        <v>169</v>
      </c>
      <c r="C10" s="81" t="s">
        <v>170</v>
      </c>
      <c r="D10" s="81" t="s">
        <v>171</v>
      </c>
      <c r="E10" s="81" t="s">
        <v>172</v>
      </c>
      <c r="F10" s="81" t="s">
        <v>173</v>
      </c>
      <c r="G10" s="81" t="s">
        <v>174</v>
      </c>
      <c r="H10" s="83" t="s">
        <v>175</v>
      </c>
      <c r="I10" s="81" t="s">
        <v>176</v>
      </c>
      <c r="J10" s="81" t="s">
        <v>177</v>
      </c>
      <c r="K10" s="81" t="s">
        <v>178</v>
      </c>
      <c r="L10" s="81" t="s">
        <v>179</v>
      </c>
      <c r="M10" s="81"/>
      <c r="N10" s="81" t="s">
        <v>180</v>
      </c>
      <c r="O10" s="81" t="s">
        <v>181</v>
      </c>
      <c r="P10" s="81" t="s">
        <v>182</v>
      </c>
      <c r="Q10" s="81" t="s">
        <v>183</v>
      </c>
      <c r="R10" s="81" t="s">
        <v>184</v>
      </c>
      <c r="S10" s="81" t="s">
        <v>185</v>
      </c>
      <c r="T10" s="81" t="s">
        <v>186</v>
      </c>
      <c r="U10" s="81" t="s">
        <v>187</v>
      </c>
      <c r="V10" s="81" t="s">
        <v>188</v>
      </c>
      <c r="W10" s="81" t="s">
        <v>189</v>
      </c>
      <c r="X10" s="81"/>
      <c r="Y10" s="81" t="s">
        <v>190</v>
      </c>
      <c r="Z10" s="81" t="s">
        <v>191</v>
      </c>
      <c r="AA10" s="81" t="s">
        <v>192</v>
      </c>
      <c r="AB10" s="81" t="s">
        <v>193</v>
      </c>
      <c r="AC10" s="81" t="s">
        <v>194</v>
      </c>
      <c r="AD10" s="81" t="s">
        <v>195</v>
      </c>
      <c r="AE10" s="81" t="s">
        <v>196</v>
      </c>
      <c r="AF10" s="81" t="s">
        <v>197</v>
      </c>
      <c r="AG10" s="81" t="s">
        <v>198</v>
      </c>
      <c r="AH10" s="81" t="s">
        <v>199</v>
      </c>
      <c r="AI10" s="81" t="s">
        <v>200</v>
      </c>
      <c r="AJ10" s="82" t="s">
        <v>201</v>
      </c>
    </row>
    <row r="11" spans="2:44" x14ac:dyDescent="0.2">
      <c r="B11" s="80" t="s">
        <v>202</v>
      </c>
      <c r="C11" s="81" t="s">
        <v>203</v>
      </c>
      <c r="D11" s="81" t="s">
        <v>204</v>
      </c>
      <c r="E11" s="81" t="s">
        <v>205</v>
      </c>
      <c r="F11" s="81" t="s">
        <v>206</v>
      </c>
      <c r="G11" s="81" t="s">
        <v>207</v>
      </c>
      <c r="H11" s="83" t="s">
        <v>208</v>
      </c>
      <c r="I11" s="81" t="s">
        <v>209</v>
      </c>
      <c r="J11" s="81" t="s">
        <v>210</v>
      </c>
      <c r="K11" s="81"/>
      <c r="L11" s="81" t="s">
        <v>211</v>
      </c>
      <c r="M11" s="81" t="s">
        <v>212</v>
      </c>
      <c r="N11" s="81" t="s">
        <v>213</v>
      </c>
      <c r="O11" s="81" t="s">
        <v>214</v>
      </c>
      <c r="P11" s="81" t="s">
        <v>215</v>
      </c>
      <c r="Q11" s="81" t="s">
        <v>216</v>
      </c>
      <c r="R11" s="81" t="s">
        <v>217</v>
      </c>
      <c r="S11" s="81" t="s">
        <v>218</v>
      </c>
      <c r="T11" s="81" t="s">
        <v>219</v>
      </c>
      <c r="U11" s="81" t="s">
        <v>220</v>
      </c>
      <c r="V11" s="81" t="s">
        <v>221</v>
      </c>
      <c r="W11" s="81" t="s">
        <v>222</v>
      </c>
      <c r="X11" s="81" t="s">
        <v>223</v>
      </c>
      <c r="Y11" s="81" t="s">
        <v>224</v>
      </c>
      <c r="Z11" s="81" t="s">
        <v>225</v>
      </c>
      <c r="AA11" s="81" t="s">
        <v>226</v>
      </c>
      <c r="AB11" s="81" t="s">
        <v>227</v>
      </c>
      <c r="AC11" s="81" t="s">
        <v>228</v>
      </c>
      <c r="AD11" s="81" t="s">
        <v>229</v>
      </c>
      <c r="AE11" s="81" t="s">
        <v>230</v>
      </c>
      <c r="AF11" s="81" t="s">
        <v>231</v>
      </c>
      <c r="AG11" s="81" t="s">
        <v>232</v>
      </c>
      <c r="AH11" s="81" t="s">
        <v>233</v>
      </c>
      <c r="AI11" s="81" t="s">
        <v>234</v>
      </c>
      <c r="AJ11" s="82" t="s">
        <v>235</v>
      </c>
    </row>
    <row r="12" spans="2:44" x14ac:dyDescent="0.2">
      <c r="B12" s="80" t="s">
        <v>236</v>
      </c>
      <c r="C12" s="81" t="s">
        <v>237</v>
      </c>
      <c r="D12" s="81" t="s">
        <v>238</v>
      </c>
      <c r="E12" s="81" t="s">
        <v>239</v>
      </c>
      <c r="F12" s="81" t="s">
        <v>240</v>
      </c>
      <c r="G12" s="81" t="s">
        <v>241</v>
      </c>
      <c r="H12" s="83" t="s">
        <v>242</v>
      </c>
      <c r="I12" s="81" t="s">
        <v>243</v>
      </c>
      <c r="J12" s="81" t="s">
        <v>244</v>
      </c>
      <c r="K12" s="81" t="s">
        <v>245</v>
      </c>
      <c r="L12" s="81" t="s">
        <v>246</v>
      </c>
      <c r="M12" s="81" t="s">
        <v>247</v>
      </c>
      <c r="N12" s="81" t="s">
        <v>248</v>
      </c>
      <c r="O12" s="81" t="s">
        <v>249</v>
      </c>
      <c r="P12" s="81" t="s">
        <v>250</v>
      </c>
      <c r="Q12" s="81"/>
      <c r="R12" s="81"/>
      <c r="S12" s="81"/>
      <c r="T12" s="81"/>
      <c r="U12" s="81"/>
      <c r="V12" s="81"/>
      <c r="W12" s="81"/>
      <c r="X12" s="81"/>
      <c r="Y12" s="81" t="s">
        <v>251</v>
      </c>
      <c r="Z12" s="81"/>
      <c r="AA12" s="81"/>
      <c r="AB12" s="81"/>
      <c r="AC12" s="81"/>
      <c r="AD12" s="81"/>
      <c r="AE12" s="81"/>
      <c r="AF12" s="81"/>
      <c r="AG12" s="81"/>
      <c r="AH12" s="81"/>
      <c r="AI12" s="81"/>
      <c r="AJ12" s="82" t="s">
        <v>252</v>
      </c>
    </row>
    <row r="13" spans="2:44" x14ac:dyDescent="0.2">
      <c r="B13" s="80" t="s">
        <v>253</v>
      </c>
      <c r="C13" s="81" t="s">
        <v>254</v>
      </c>
      <c r="D13" s="81" t="s">
        <v>255</v>
      </c>
      <c r="E13" s="81" t="s">
        <v>256</v>
      </c>
      <c r="F13" s="81" t="s">
        <v>257</v>
      </c>
      <c r="G13" s="81" t="s">
        <v>258</v>
      </c>
      <c r="H13" s="83" t="s">
        <v>259</v>
      </c>
      <c r="I13" s="81" t="s">
        <v>260</v>
      </c>
      <c r="J13" s="81" t="s">
        <v>261</v>
      </c>
      <c r="K13" s="81" t="s">
        <v>262</v>
      </c>
      <c r="L13" s="81" t="s">
        <v>263</v>
      </c>
      <c r="M13" s="81" t="s">
        <v>264</v>
      </c>
      <c r="N13" s="81" t="s">
        <v>265</v>
      </c>
      <c r="O13" s="81"/>
      <c r="P13" s="81"/>
      <c r="Q13" s="81"/>
      <c r="R13" s="81"/>
      <c r="S13" s="81"/>
      <c r="T13" s="81"/>
      <c r="U13" s="81"/>
      <c r="V13" s="81"/>
      <c r="W13" s="81"/>
      <c r="X13" s="81"/>
      <c r="Y13" s="81"/>
      <c r="Z13" s="81"/>
      <c r="AA13" s="81"/>
      <c r="AB13" s="81"/>
      <c r="AC13" s="81"/>
      <c r="AD13" s="81"/>
      <c r="AE13" s="81"/>
      <c r="AF13" s="81"/>
      <c r="AG13" s="81"/>
      <c r="AH13" s="81"/>
      <c r="AI13" s="81"/>
      <c r="AJ13" s="82" t="s">
        <v>266</v>
      </c>
    </row>
    <row r="14" spans="2:44" x14ac:dyDescent="0.2">
      <c r="B14" s="80" t="s">
        <v>267</v>
      </c>
      <c r="C14" s="81" t="s">
        <v>268</v>
      </c>
      <c r="D14" s="81" t="s">
        <v>269</v>
      </c>
      <c r="E14" s="81" t="s">
        <v>270</v>
      </c>
      <c r="F14" s="81" t="s">
        <v>271</v>
      </c>
      <c r="G14" s="81" t="s">
        <v>272</v>
      </c>
      <c r="H14" s="83" t="s">
        <v>273</v>
      </c>
      <c r="I14" s="81" t="s">
        <v>274</v>
      </c>
      <c r="J14" s="81" t="s">
        <v>275</v>
      </c>
      <c r="K14" s="81" t="s">
        <v>276</v>
      </c>
      <c r="L14" s="81" t="s">
        <v>277</v>
      </c>
      <c r="M14" s="81" t="s">
        <v>278</v>
      </c>
      <c r="N14" s="81" t="s">
        <v>279</v>
      </c>
      <c r="O14" s="81" t="s">
        <v>280</v>
      </c>
      <c r="P14" s="81" t="s">
        <v>281</v>
      </c>
      <c r="Q14" s="81"/>
      <c r="R14" s="81"/>
      <c r="S14" s="81"/>
      <c r="T14" s="81"/>
      <c r="U14" s="81"/>
      <c r="V14" s="81"/>
      <c r="W14" s="81"/>
      <c r="X14" s="81"/>
      <c r="Y14" s="81"/>
      <c r="Z14" s="81"/>
      <c r="AA14" s="81"/>
      <c r="AB14" s="81"/>
      <c r="AC14" s="81" t="s">
        <v>282</v>
      </c>
      <c r="AD14" s="81" t="s">
        <v>283</v>
      </c>
      <c r="AE14" s="81" t="s">
        <v>284</v>
      </c>
      <c r="AF14" s="81"/>
      <c r="AG14" s="81" t="s">
        <v>285</v>
      </c>
      <c r="AH14" s="81" t="s">
        <v>286</v>
      </c>
      <c r="AI14" s="81" t="s">
        <v>287</v>
      </c>
      <c r="AJ14" s="82" t="s">
        <v>288</v>
      </c>
    </row>
    <row r="15" spans="2:44" x14ac:dyDescent="0.2">
      <c r="B15" s="80" t="s">
        <v>289</v>
      </c>
      <c r="C15" s="81" t="s">
        <v>290</v>
      </c>
      <c r="D15" s="81" t="s">
        <v>291</v>
      </c>
      <c r="E15" s="81" t="s">
        <v>292</v>
      </c>
      <c r="F15" s="81"/>
      <c r="G15" s="81"/>
      <c r="H15" s="81"/>
      <c r="I15" s="81"/>
      <c r="J15" s="81"/>
      <c r="K15" s="81" t="s">
        <v>293</v>
      </c>
      <c r="L15" s="81" t="s">
        <v>294</v>
      </c>
      <c r="M15" s="81" t="s">
        <v>295</v>
      </c>
      <c r="N15" s="81" t="s">
        <v>296</v>
      </c>
      <c r="O15" s="81" t="s">
        <v>297</v>
      </c>
      <c r="P15" s="81" t="s">
        <v>298</v>
      </c>
      <c r="Q15" s="81" t="s">
        <v>299</v>
      </c>
      <c r="R15" s="81" t="s">
        <v>300</v>
      </c>
      <c r="S15" s="81"/>
      <c r="T15" s="81"/>
      <c r="U15" s="81"/>
      <c r="V15" s="81"/>
      <c r="W15" s="81"/>
      <c r="X15" s="81"/>
      <c r="Y15" s="81"/>
      <c r="Z15" s="81"/>
      <c r="AA15" s="81"/>
      <c r="AB15" s="81"/>
      <c r="AC15" s="81"/>
      <c r="AD15" s="81"/>
      <c r="AE15" s="81"/>
      <c r="AF15" s="81"/>
      <c r="AG15" s="81"/>
      <c r="AH15" s="81"/>
      <c r="AI15" s="81"/>
      <c r="AJ15" s="82" t="s">
        <v>301</v>
      </c>
    </row>
    <row r="16" spans="2:44" x14ac:dyDescent="0.2">
      <c r="B16" s="80" t="s">
        <v>302</v>
      </c>
      <c r="C16" s="81" t="s">
        <v>303</v>
      </c>
      <c r="D16" s="81" t="s">
        <v>304</v>
      </c>
      <c r="E16" s="81" t="s">
        <v>305</v>
      </c>
      <c r="F16" s="81" t="s">
        <v>306</v>
      </c>
      <c r="G16" s="81" t="s">
        <v>307</v>
      </c>
      <c r="H16" s="83" t="s">
        <v>308</v>
      </c>
      <c r="I16" s="81" t="s">
        <v>309</v>
      </c>
      <c r="J16" s="81" t="s">
        <v>310</v>
      </c>
      <c r="K16" s="81" t="s">
        <v>311</v>
      </c>
      <c r="L16" s="81" t="s">
        <v>312</v>
      </c>
      <c r="M16" s="81" t="s">
        <v>313</v>
      </c>
      <c r="N16" s="81" t="s">
        <v>314</v>
      </c>
      <c r="O16" s="81" t="s">
        <v>315</v>
      </c>
      <c r="P16" s="81" t="s">
        <v>316</v>
      </c>
      <c r="Q16" s="81" t="s">
        <v>317</v>
      </c>
      <c r="R16" s="81" t="s">
        <v>318</v>
      </c>
      <c r="S16" s="81"/>
      <c r="T16" s="81"/>
      <c r="U16" s="81" t="s">
        <v>319</v>
      </c>
      <c r="V16" s="81" t="s">
        <v>320</v>
      </c>
      <c r="W16" s="81" t="s">
        <v>321</v>
      </c>
      <c r="X16" s="81" t="s">
        <v>322</v>
      </c>
      <c r="Y16" s="81" t="s">
        <v>323</v>
      </c>
      <c r="Z16" s="81" t="s">
        <v>324</v>
      </c>
      <c r="AA16" s="81" t="s">
        <v>325</v>
      </c>
      <c r="AB16" s="81" t="s">
        <v>326</v>
      </c>
      <c r="AC16" s="81" t="s">
        <v>327</v>
      </c>
      <c r="AD16" s="81" t="s">
        <v>328</v>
      </c>
      <c r="AE16" s="81" t="s">
        <v>329</v>
      </c>
      <c r="AF16" s="81" t="s">
        <v>330</v>
      </c>
      <c r="AG16" s="81" t="s">
        <v>331</v>
      </c>
      <c r="AH16" s="81" t="s">
        <v>332</v>
      </c>
      <c r="AI16" s="81" t="s">
        <v>333</v>
      </c>
      <c r="AJ16" s="82" t="s">
        <v>334</v>
      </c>
    </row>
    <row r="17" spans="2:36" x14ac:dyDescent="0.2">
      <c r="B17" s="80" t="s">
        <v>335</v>
      </c>
      <c r="C17" s="81" t="s">
        <v>336</v>
      </c>
      <c r="D17" s="81" t="s">
        <v>337</v>
      </c>
      <c r="E17" s="81" t="s">
        <v>338</v>
      </c>
      <c r="F17" s="81" t="s">
        <v>339</v>
      </c>
      <c r="G17" s="81" t="s">
        <v>340</v>
      </c>
      <c r="H17" s="83" t="s">
        <v>341</v>
      </c>
      <c r="I17" s="81" t="s">
        <v>342</v>
      </c>
      <c r="J17" s="81" t="s">
        <v>343</v>
      </c>
      <c r="K17" s="81" t="s">
        <v>344</v>
      </c>
      <c r="L17" s="81"/>
      <c r="M17" s="81" t="s">
        <v>345</v>
      </c>
      <c r="N17" s="81"/>
      <c r="O17" s="81" t="s">
        <v>346</v>
      </c>
      <c r="P17" s="81" t="s">
        <v>347</v>
      </c>
      <c r="Q17" s="81"/>
      <c r="R17" s="81"/>
      <c r="S17" s="81"/>
      <c r="T17" s="81"/>
      <c r="U17" s="81"/>
      <c r="V17" s="81"/>
      <c r="W17" s="81"/>
      <c r="X17" s="81"/>
      <c r="Y17" s="81"/>
      <c r="Z17" s="81"/>
      <c r="AA17" s="81"/>
      <c r="AB17" s="81"/>
      <c r="AC17" s="81"/>
      <c r="AD17" s="81"/>
      <c r="AE17" s="81"/>
      <c r="AF17" s="81"/>
      <c r="AG17" s="81"/>
      <c r="AH17" s="81"/>
      <c r="AI17" s="81"/>
      <c r="AJ17" s="82" t="s">
        <v>348</v>
      </c>
    </row>
    <row r="18" spans="2:36" x14ac:dyDescent="0.2">
      <c r="B18" s="80" t="s">
        <v>349</v>
      </c>
      <c r="C18" s="81" t="s">
        <v>350</v>
      </c>
      <c r="D18" s="81" t="s">
        <v>351</v>
      </c>
      <c r="E18" s="81" t="s">
        <v>352</v>
      </c>
      <c r="F18" s="81" t="s">
        <v>353</v>
      </c>
      <c r="G18" s="81" t="s">
        <v>354</v>
      </c>
      <c r="H18" s="83" t="s">
        <v>355</v>
      </c>
      <c r="I18" s="81" t="s">
        <v>356</v>
      </c>
      <c r="J18" s="81" t="s">
        <v>357</v>
      </c>
      <c r="K18" s="81"/>
      <c r="L18" s="81" t="s">
        <v>358</v>
      </c>
      <c r="M18" s="81" t="s">
        <v>359</v>
      </c>
      <c r="N18" s="81" t="s">
        <v>360</v>
      </c>
      <c r="O18" s="81" t="s">
        <v>361</v>
      </c>
      <c r="P18" s="81" t="s">
        <v>362</v>
      </c>
      <c r="Q18" s="81"/>
      <c r="R18" s="81"/>
      <c r="S18" s="81"/>
      <c r="T18" s="81"/>
      <c r="U18" s="81"/>
      <c r="V18" s="81"/>
      <c r="W18" s="81"/>
      <c r="X18" s="81"/>
      <c r="Y18" s="81"/>
      <c r="Z18" s="81"/>
      <c r="AA18" s="81"/>
      <c r="AB18" s="81"/>
      <c r="AC18" s="81"/>
      <c r="AD18" s="81"/>
      <c r="AE18" s="81"/>
      <c r="AF18" s="81"/>
      <c r="AG18" s="81"/>
      <c r="AH18" s="81"/>
      <c r="AI18" s="81"/>
      <c r="AJ18" s="82" t="s">
        <v>363</v>
      </c>
    </row>
    <row r="19" spans="2:36" x14ac:dyDescent="0.2">
      <c r="B19" s="80" t="s">
        <v>364</v>
      </c>
      <c r="C19" s="81" t="s">
        <v>365</v>
      </c>
      <c r="D19" s="81" t="s">
        <v>366</v>
      </c>
      <c r="E19" s="81" t="s">
        <v>367</v>
      </c>
      <c r="F19" s="81" t="s">
        <v>368</v>
      </c>
      <c r="G19" s="81" t="s">
        <v>369</v>
      </c>
      <c r="H19" s="83" t="s">
        <v>370</v>
      </c>
      <c r="I19" s="81" t="s">
        <v>371</v>
      </c>
      <c r="J19" s="81" t="s">
        <v>372</v>
      </c>
      <c r="K19" s="81" t="s">
        <v>373</v>
      </c>
      <c r="L19" s="81" t="s">
        <v>374</v>
      </c>
      <c r="M19" s="81" t="s">
        <v>375</v>
      </c>
      <c r="N19" s="81" t="s">
        <v>376</v>
      </c>
      <c r="O19" s="81"/>
      <c r="P19" s="81"/>
      <c r="Q19" s="81"/>
      <c r="R19" s="81"/>
      <c r="S19" s="81"/>
      <c r="T19" s="81"/>
      <c r="U19" s="81"/>
      <c r="V19" s="81"/>
      <c r="W19" s="81"/>
      <c r="X19" s="81"/>
      <c r="Y19" s="81" t="s">
        <v>377</v>
      </c>
      <c r="Z19" s="81" t="s">
        <v>378</v>
      </c>
      <c r="AA19" s="81"/>
      <c r="AB19" s="81"/>
      <c r="AC19" s="81"/>
      <c r="AD19" s="81"/>
      <c r="AE19" s="81"/>
      <c r="AF19" s="81"/>
      <c r="AG19" s="81"/>
      <c r="AH19" s="81"/>
      <c r="AI19" s="81"/>
      <c r="AJ19" s="82" t="s">
        <v>379</v>
      </c>
    </row>
    <row r="20" spans="2:36" x14ac:dyDescent="0.2">
      <c r="B20" s="80" t="s">
        <v>380</v>
      </c>
      <c r="C20" s="81" t="s">
        <v>381</v>
      </c>
      <c r="D20" s="81"/>
      <c r="E20" s="81" t="s">
        <v>382</v>
      </c>
      <c r="F20" s="81"/>
      <c r="G20" s="81"/>
      <c r="H20" s="81"/>
      <c r="I20" s="81"/>
      <c r="J20" s="81"/>
      <c r="K20" s="81"/>
      <c r="L20" s="81" t="s">
        <v>383</v>
      </c>
      <c r="M20" s="81" t="s">
        <v>384</v>
      </c>
      <c r="N20" s="81" t="s">
        <v>385</v>
      </c>
      <c r="O20" s="81" t="s">
        <v>386</v>
      </c>
      <c r="P20" s="81" t="s">
        <v>387</v>
      </c>
      <c r="Q20" s="81"/>
      <c r="R20" s="81"/>
      <c r="S20" s="81"/>
      <c r="T20" s="81"/>
      <c r="U20" s="81"/>
      <c r="V20" s="81"/>
      <c r="W20" s="81"/>
      <c r="X20" s="81"/>
      <c r="Y20" s="81"/>
      <c r="Z20" s="81"/>
      <c r="AA20" s="81"/>
      <c r="AB20" s="81"/>
      <c r="AC20" s="81"/>
      <c r="AD20" s="81"/>
      <c r="AE20" s="81"/>
      <c r="AF20" s="81"/>
      <c r="AG20" s="81"/>
      <c r="AH20" s="81"/>
      <c r="AI20" s="81"/>
      <c r="AJ20" s="82" t="s">
        <v>388</v>
      </c>
    </row>
    <row r="21" spans="2:36" x14ac:dyDescent="0.2">
      <c r="B21" s="80" t="s">
        <v>389</v>
      </c>
      <c r="C21" s="81" t="s">
        <v>390</v>
      </c>
      <c r="D21" s="81" t="s">
        <v>391</v>
      </c>
      <c r="E21" s="81" t="s">
        <v>392</v>
      </c>
      <c r="F21" s="81" t="s">
        <v>393</v>
      </c>
      <c r="G21" s="81" t="s">
        <v>394</v>
      </c>
      <c r="H21" s="83" t="s">
        <v>395</v>
      </c>
      <c r="I21" s="81" t="s">
        <v>396</v>
      </c>
      <c r="J21" s="81" t="s">
        <v>397</v>
      </c>
      <c r="K21" s="81" t="s">
        <v>398</v>
      </c>
      <c r="L21" s="81" t="s">
        <v>399</v>
      </c>
      <c r="M21" s="81" t="s">
        <v>400</v>
      </c>
      <c r="N21" s="81" t="s">
        <v>401</v>
      </c>
      <c r="O21" s="81" t="s">
        <v>402</v>
      </c>
      <c r="P21" s="81" t="s">
        <v>403</v>
      </c>
      <c r="Q21" s="81" t="s">
        <v>404</v>
      </c>
      <c r="R21" s="81" t="s">
        <v>405</v>
      </c>
      <c r="S21" s="81" t="s">
        <v>406</v>
      </c>
      <c r="T21" s="81" t="s">
        <v>407</v>
      </c>
      <c r="U21" s="81" t="s">
        <v>408</v>
      </c>
      <c r="V21" s="81" t="s">
        <v>409</v>
      </c>
      <c r="W21" s="81" t="s">
        <v>410</v>
      </c>
      <c r="X21" s="81"/>
      <c r="Y21" s="81" t="s">
        <v>411</v>
      </c>
      <c r="Z21" s="81" t="s">
        <v>412</v>
      </c>
      <c r="AA21" s="81" t="s">
        <v>413</v>
      </c>
      <c r="AB21" s="81" t="s">
        <v>414</v>
      </c>
      <c r="AC21" s="81" t="s">
        <v>415</v>
      </c>
      <c r="AD21" s="81" t="s">
        <v>416</v>
      </c>
      <c r="AE21" s="81" t="s">
        <v>417</v>
      </c>
      <c r="AF21" s="81" t="s">
        <v>418</v>
      </c>
      <c r="AG21" s="81" t="s">
        <v>419</v>
      </c>
      <c r="AH21" s="81" t="s">
        <v>420</v>
      </c>
      <c r="AI21" s="81" t="s">
        <v>421</v>
      </c>
      <c r="AJ21" s="82" t="s">
        <v>422</v>
      </c>
    </row>
    <row r="22" spans="2:36" x14ac:dyDescent="0.2">
      <c r="B22" s="80" t="s">
        <v>423</v>
      </c>
      <c r="C22" s="81" t="s">
        <v>424</v>
      </c>
      <c r="D22" s="81" t="s">
        <v>425</v>
      </c>
      <c r="E22" s="81" t="s">
        <v>426</v>
      </c>
      <c r="F22" s="81" t="s">
        <v>427</v>
      </c>
      <c r="G22" s="81" t="s">
        <v>428</v>
      </c>
      <c r="H22" s="83" t="s">
        <v>429</v>
      </c>
      <c r="I22" s="81" t="s">
        <v>430</v>
      </c>
      <c r="J22" s="81" t="s">
        <v>431</v>
      </c>
      <c r="K22" s="81" t="s">
        <v>432</v>
      </c>
      <c r="L22" s="81" t="s">
        <v>433</v>
      </c>
      <c r="M22" s="81" t="s">
        <v>434</v>
      </c>
      <c r="N22" s="81" t="s">
        <v>435</v>
      </c>
      <c r="O22" s="81" t="s">
        <v>436</v>
      </c>
      <c r="P22" s="81" t="s">
        <v>437</v>
      </c>
      <c r="Q22" s="81" t="s">
        <v>438</v>
      </c>
      <c r="R22" s="81" t="s">
        <v>439</v>
      </c>
      <c r="S22" s="81"/>
      <c r="T22" s="81"/>
      <c r="U22" s="81"/>
      <c r="V22" s="81"/>
      <c r="W22" s="81"/>
      <c r="X22" s="81" t="s">
        <v>440</v>
      </c>
      <c r="Y22" s="81" t="s">
        <v>441</v>
      </c>
      <c r="Z22" s="81" t="s">
        <v>442</v>
      </c>
      <c r="AA22" s="81"/>
      <c r="AB22" s="81"/>
      <c r="AC22" s="81" t="s">
        <v>443</v>
      </c>
      <c r="AD22" s="81" t="s">
        <v>444</v>
      </c>
      <c r="AE22" s="81" t="s">
        <v>445</v>
      </c>
      <c r="AF22" s="81" t="s">
        <v>446</v>
      </c>
      <c r="AG22" s="81" t="s">
        <v>447</v>
      </c>
      <c r="AH22" s="81" t="s">
        <v>448</v>
      </c>
      <c r="AI22" s="81" t="s">
        <v>449</v>
      </c>
      <c r="AJ22" s="82" t="s">
        <v>450</v>
      </c>
    </row>
    <row r="23" spans="2:36" x14ac:dyDescent="0.2">
      <c r="B23" s="80" t="s">
        <v>451</v>
      </c>
      <c r="C23" s="81" t="s">
        <v>452</v>
      </c>
      <c r="D23" s="81" t="s">
        <v>453</v>
      </c>
      <c r="E23" s="81" t="s">
        <v>454</v>
      </c>
      <c r="F23" s="81" t="s">
        <v>455</v>
      </c>
      <c r="G23" s="81" t="s">
        <v>456</v>
      </c>
      <c r="H23" s="83" t="s">
        <v>457</v>
      </c>
      <c r="I23" s="81" t="s">
        <v>458</v>
      </c>
      <c r="J23" s="81" t="s">
        <v>459</v>
      </c>
      <c r="K23" s="81"/>
      <c r="L23" s="81"/>
      <c r="M23" s="81" t="s">
        <v>460</v>
      </c>
      <c r="N23" s="81"/>
      <c r="O23" s="81" t="s">
        <v>461</v>
      </c>
      <c r="P23" s="81" t="s">
        <v>462</v>
      </c>
      <c r="Q23" s="81" t="s">
        <v>463</v>
      </c>
      <c r="R23" s="81" t="s">
        <v>464</v>
      </c>
      <c r="S23" s="81"/>
      <c r="T23" s="81"/>
      <c r="U23" s="81"/>
      <c r="V23" s="81"/>
      <c r="W23" s="81"/>
      <c r="X23" s="81"/>
      <c r="Y23" s="81"/>
      <c r="Z23" s="81"/>
      <c r="AA23" s="81"/>
      <c r="AB23" s="81"/>
      <c r="AC23" s="81"/>
      <c r="AD23" s="81"/>
      <c r="AE23" s="81"/>
      <c r="AF23" s="81"/>
      <c r="AG23" s="81"/>
      <c r="AH23" s="81"/>
      <c r="AI23" s="81"/>
      <c r="AJ23" s="82" t="s">
        <v>465</v>
      </c>
    </row>
    <row r="24" spans="2:36" x14ac:dyDescent="0.2">
      <c r="B24" s="80" t="s">
        <v>466</v>
      </c>
      <c r="C24" s="81" t="s">
        <v>467</v>
      </c>
      <c r="D24" s="81" t="s">
        <v>468</v>
      </c>
      <c r="E24" s="81" t="s">
        <v>469</v>
      </c>
      <c r="F24" s="81" t="s">
        <v>470</v>
      </c>
      <c r="G24" s="81" t="s">
        <v>471</v>
      </c>
      <c r="H24" s="83" t="s">
        <v>472</v>
      </c>
      <c r="I24" s="81" t="s">
        <v>473</v>
      </c>
      <c r="J24" s="81" t="s">
        <v>474</v>
      </c>
      <c r="K24" s="81"/>
      <c r="L24" s="81" t="s">
        <v>475</v>
      </c>
      <c r="M24" s="81" t="s">
        <v>476</v>
      </c>
      <c r="N24" s="81" t="s">
        <v>477</v>
      </c>
      <c r="O24" s="81" t="s">
        <v>478</v>
      </c>
      <c r="P24" s="81" t="s">
        <v>479</v>
      </c>
      <c r="Q24" s="81"/>
      <c r="R24" s="81"/>
      <c r="S24" s="81"/>
      <c r="T24" s="81"/>
      <c r="U24" s="81"/>
      <c r="V24" s="81"/>
      <c r="W24" s="81"/>
      <c r="X24" s="81"/>
      <c r="Y24" s="81"/>
      <c r="Z24" s="81"/>
      <c r="AA24" s="81"/>
      <c r="AB24" s="81"/>
      <c r="AC24" s="81"/>
      <c r="AD24" s="81"/>
      <c r="AE24" s="81"/>
      <c r="AF24" s="81"/>
      <c r="AG24" s="81"/>
      <c r="AH24" s="81"/>
      <c r="AI24" s="81"/>
      <c r="AJ24" s="82" t="s">
        <v>480</v>
      </c>
    </row>
    <row r="25" spans="2:36" x14ac:dyDescent="0.2">
      <c r="B25" s="80" t="s">
        <v>481</v>
      </c>
      <c r="C25" s="81" t="s">
        <v>482</v>
      </c>
      <c r="D25" s="81" t="s">
        <v>483</v>
      </c>
      <c r="E25" s="81" t="s">
        <v>484</v>
      </c>
      <c r="F25" s="81"/>
      <c r="G25" s="81"/>
      <c r="H25" s="81"/>
      <c r="I25" s="81"/>
      <c r="J25" s="81"/>
      <c r="K25" s="81"/>
      <c r="L25" s="81" t="s">
        <v>485</v>
      </c>
      <c r="M25" s="81" t="s">
        <v>486</v>
      </c>
      <c r="N25" s="81"/>
      <c r="O25" s="81" t="s">
        <v>487</v>
      </c>
      <c r="P25" s="81" t="s">
        <v>488</v>
      </c>
      <c r="Q25" s="81"/>
      <c r="R25" s="81"/>
      <c r="S25" s="81"/>
      <c r="T25" s="81"/>
      <c r="U25" s="81"/>
      <c r="V25" s="81"/>
      <c r="W25" s="81"/>
      <c r="X25" s="81"/>
      <c r="Y25" s="81"/>
      <c r="Z25" s="81"/>
      <c r="AA25" s="81"/>
      <c r="AB25" s="81"/>
      <c r="AC25" s="81"/>
      <c r="AD25" s="81"/>
      <c r="AE25" s="81"/>
      <c r="AF25" s="81"/>
      <c r="AG25" s="81"/>
      <c r="AH25" s="81"/>
      <c r="AI25" s="81"/>
      <c r="AJ25" s="82" t="s">
        <v>489</v>
      </c>
    </row>
    <row r="26" spans="2:36" x14ac:dyDescent="0.2">
      <c r="B26" s="80" t="s">
        <v>490</v>
      </c>
      <c r="C26" s="81" t="s">
        <v>491</v>
      </c>
      <c r="D26" s="81"/>
      <c r="E26" s="81"/>
      <c r="F26" s="81"/>
      <c r="G26" s="81"/>
      <c r="H26" s="81"/>
      <c r="I26" s="81"/>
      <c r="J26" s="81"/>
      <c r="K26" s="81"/>
      <c r="L26" s="81"/>
      <c r="M26" s="81"/>
      <c r="N26" s="81"/>
      <c r="O26" s="81" t="s">
        <v>492</v>
      </c>
      <c r="P26" s="81" t="s">
        <v>493</v>
      </c>
      <c r="Q26" s="81"/>
      <c r="R26" s="81"/>
      <c r="S26" s="81"/>
      <c r="T26" s="81"/>
      <c r="U26" s="81"/>
      <c r="V26" s="81"/>
      <c r="W26" s="81"/>
      <c r="X26" s="81"/>
      <c r="Y26" s="81"/>
      <c r="Z26" s="81"/>
      <c r="AA26" s="81"/>
      <c r="AB26" s="81"/>
      <c r="AC26" s="81"/>
      <c r="AD26" s="81"/>
      <c r="AE26" s="81"/>
      <c r="AF26" s="81"/>
      <c r="AG26" s="81"/>
      <c r="AH26" s="81"/>
      <c r="AI26" s="81"/>
      <c r="AJ26" s="82"/>
    </row>
    <row r="27" spans="2:36" x14ac:dyDescent="0.2">
      <c r="B27" s="80" t="s">
        <v>494</v>
      </c>
      <c r="C27" s="81" t="s">
        <v>495</v>
      </c>
      <c r="D27" s="81" t="s">
        <v>496</v>
      </c>
      <c r="E27" s="81" t="s">
        <v>497</v>
      </c>
      <c r="F27" s="81" t="s">
        <v>498</v>
      </c>
      <c r="G27" s="81" t="s">
        <v>499</v>
      </c>
      <c r="H27" s="83" t="s">
        <v>500</v>
      </c>
      <c r="I27" s="81" t="s">
        <v>501</v>
      </c>
      <c r="J27" s="81" t="s">
        <v>502</v>
      </c>
      <c r="K27" s="81" t="s">
        <v>503</v>
      </c>
      <c r="L27" s="81" t="s">
        <v>504</v>
      </c>
      <c r="M27" s="81" t="s">
        <v>505</v>
      </c>
      <c r="N27" s="81" t="s">
        <v>506</v>
      </c>
      <c r="O27" s="81" t="s">
        <v>507</v>
      </c>
      <c r="P27" s="81" t="s">
        <v>508</v>
      </c>
      <c r="Q27" s="81" t="s">
        <v>509</v>
      </c>
      <c r="R27" s="81" t="s">
        <v>510</v>
      </c>
      <c r="S27" s="81" t="s">
        <v>511</v>
      </c>
      <c r="T27" s="81" t="s">
        <v>512</v>
      </c>
      <c r="U27" s="81" t="s">
        <v>513</v>
      </c>
      <c r="V27" s="81" t="s">
        <v>514</v>
      </c>
      <c r="W27" s="81" t="s">
        <v>515</v>
      </c>
      <c r="X27" s="81" t="s">
        <v>516</v>
      </c>
      <c r="Y27" s="81" t="s">
        <v>517</v>
      </c>
      <c r="Z27" s="81" t="s">
        <v>518</v>
      </c>
      <c r="AA27" s="81" t="s">
        <v>519</v>
      </c>
      <c r="AB27" s="81" t="s">
        <v>520</v>
      </c>
      <c r="AC27" s="81" t="s">
        <v>521</v>
      </c>
      <c r="AD27" s="81" t="s">
        <v>522</v>
      </c>
      <c r="AE27" s="81" t="s">
        <v>523</v>
      </c>
      <c r="AF27" s="81" t="s">
        <v>524</v>
      </c>
      <c r="AG27" s="81" t="s">
        <v>525</v>
      </c>
      <c r="AH27" s="81" t="s">
        <v>526</v>
      </c>
      <c r="AI27" s="81" t="s">
        <v>527</v>
      </c>
      <c r="AJ27" s="82" t="s">
        <v>528</v>
      </c>
    </row>
    <row r="28" spans="2:36" x14ac:dyDescent="0.2">
      <c r="B28" s="80" t="s">
        <v>529</v>
      </c>
      <c r="C28" s="81" t="s">
        <v>530</v>
      </c>
      <c r="D28" s="81"/>
      <c r="E28" s="81"/>
      <c r="F28" s="81"/>
      <c r="G28" s="81"/>
      <c r="H28" s="81"/>
      <c r="I28" s="81"/>
      <c r="J28" s="81"/>
      <c r="K28" s="81"/>
      <c r="L28" s="81"/>
      <c r="M28" s="81"/>
      <c r="N28" s="81"/>
      <c r="O28" s="81" t="s">
        <v>531</v>
      </c>
      <c r="P28" s="81" t="s">
        <v>532</v>
      </c>
      <c r="Q28" s="81"/>
      <c r="R28" s="81"/>
      <c r="S28" s="81"/>
      <c r="T28" s="81"/>
      <c r="U28" s="81"/>
      <c r="V28" s="81"/>
      <c r="W28" s="81"/>
      <c r="X28" s="81"/>
      <c r="Y28" s="81"/>
      <c r="Z28" s="81"/>
      <c r="AA28" s="81"/>
      <c r="AB28" s="81"/>
      <c r="AC28" s="81"/>
      <c r="AD28" s="81"/>
      <c r="AE28" s="81"/>
      <c r="AF28" s="81"/>
      <c r="AG28" s="81"/>
      <c r="AH28" s="81"/>
      <c r="AI28" s="81"/>
      <c r="AJ28" s="82"/>
    </row>
    <row r="29" spans="2:36" x14ac:dyDescent="0.2">
      <c r="B29" s="80" t="s">
        <v>533</v>
      </c>
      <c r="C29" s="81" t="s">
        <v>534</v>
      </c>
      <c r="D29" s="81" t="s">
        <v>535</v>
      </c>
      <c r="E29" s="81" t="s">
        <v>536</v>
      </c>
      <c r="F29" s="81"/>
      <c r="G29" s="81"/>
      <c r="H29" s="81"/>
      <c r="I29" s="81"/>
      <c r="J29" s="81"/>
      <c r="K29" s="81"/>
      <c r="L29" s="81" t="s">
        <v>537</v>
      </c>
      <c r="M29" s="81" t="s">
        <v>538</v>
      </c>
      <c r="N29" s="81"/>
      <c r="O29" s="81" t="s">
        <v>539</v>
      </c>
      <c r="P29" s="81" t="s">
        <v>540</v>
      </c>
      <c r="Q29" s="81"/>
      <c r="R29" s="81"/>
      <c r="S29" s="81"/>
      <c r="T29" s="81"/>
      <c r="U29" s="81"/>
      <c r="V29" s="81"/>
      <c r="W29" s="81"/>
      <c r="X29" s="81"/>
      <c r="Y29" s="81"/>
      <c r="Z29" s="81"/>
      <c r="AA29" s="81"/>
      <c r="AB29" s="81"/>
      <c r="AC29" s="81"/>
      <c r="AD29" s="81"/>
      <c r="AE29" s="81"/>
      <c r="AF29" s="81"/>
      <c r="AG29" s="81"/>
      <c r="AH29" s="81"/>
      <c r="AI29" s="81"/>
      <c r="AJ29" s="82" t="s">
        <v>541</v>
      </c>
    </row>
    <row r="30" spans="2:36" x14ac:dyDescent="0.2">
      <c r="B30" s="80" t="s">
        <v>542</v>
      </c>
      <c r="C30" s="81" t="s">
        <v>543</v>
      </c>
      <c r="D30" s="81" t="s">
        <v>544</v>
      </c>
      <c r="E30" s="81" t="s">
        <v>545</v>
      </c>
      <c r="F30" s="81" t="s">
        <v>546</v>
      </c>
      <c r="G30" s="81" t="s">
        <v>547</v>
      </c>
      <c r="H30" s="83" t="s">
        <v>548</v>
      </c>
      <c r="I30" s="81" t="s">
        <v>549</v>
      </c>
      <c r="J30" s="81" t="s">
        <v>550</v>
      </c>
      <c r="K30" s="81"/>
      <c r="L30" s="81" t="s">
        <v>551</v>
      </c>
      <c r="M30" s="81" t="s">
        <v>552</v>
      </c>
      <c r="N30" s="81" t="s">
        <v>553</v>
      </c>
      <c r="O30" s="81" t="s">
        <v>554</v>
      </c>
      <c r="P30" s="81" t="s">
        <v>555</v>
      </c>
      <c r="Q30" s="81" t="s">
        <v>556</v>
      </c>
      <c r="R30" s="81" t="s">
        <v>557</v>
      </c>
      <c r="S30" s="81" t="s">
        <v>558</v>
      </c>
      <c r="T30" s="81" t="s">
        <v>559</v>
      </c>
      <c r="U30" s="81" t="s">
        <v>560</v>
      </c>
      <c r="V30" s="81" t="s">
        <v>561</v>
      </c>
      <c r="W30" s="81" t="s">
        <v>562</v>
      </c>
      <c r="X30" s="81"/>
      <c r="Y30" s="81" t="s">
        <v>563</v>
      </c>
      <c r="Z30" s="81" t="s">
        <v>564</v>
      </c>
      <c r="AA30" s="81" t="s">
        <v>565</v>
      </c>
      <c r="AB30" s="81" t="s">
        <v>566</v>
      </c>
      <c r="AC30" s="81" t="s">
        <v>567</v>
      </c>
      <c r="AD30" s="81" t="s">
        <v>568</v>
      </c>
      <c r="AE30" s="81" t="s">
        <v>569</v>
      </c>
      <c r="AF30" s="81" t="s">
        <v>570</v>
      </c>
      <c r="AG30" s="81" t="s">
        <v>571</v>
      </c>
      <c r="AH30" s="81" t="s">
        <v>572</v>
      </c>
      <c r="AI30" s="81" t="s">
        <v>573</v>
      </c>
      <c r="AJ30" s="82" t="s">
        <v>574</v>
      </c>
    </row>
    <row r="31" spans="2:36" x14ac:dyDescent="0.2">
      <c r="B31" s="80" t="s">
        <v>575</v>
      </c>
      <c r="C31" s="81" t="s">
        <v>576</v>
      </c>
      <c r="D31" s="81" t="s">
        <v>577</v>
      </c>
      <c r="E31" s="81" t="s">
        <v>578</v>
      </c>
      <c r="F31" s="81" t="s">
        <v>579</v>
      </c>
      <c r="G31" s="81" t="s">
        <v>580</v>
      </c>
      <c r="H31" s="83" t="s">
        <v>581</v>
      </c>
      <c r="I31" s="81" t="s">
        <v>582</v>
      </c>
      <c r="J31" s="81" t="s">
        <v>583</v>
      </c>
      <c r="K31" s="81" t="s">
        <v>584</v>
      </c>
      <c r="L31" s="81" t="s">
        <v>585</v>
      </c>
      <c r="M31" s="81" t="s">
        <v>586</v>
      </c>
      <c r="N31" s="81"/>
      <c r="O31" s="81" t="s">
        <v>587</v>
      </c>
      <c r="P31" s="81" t="s">
        <v>588</v>
      </c>
      <c r="Q31" s="81"/>
      <c r="R31" s="81"/>
      <c r="S31" s="81" t="s">
        <v>589</v>
      </c>
      <c r="T31" s="81" t="s">
        <v>590</v>
      </c>
      <c r="U31" s="81"/>
      <c r="V31" s="81"/>
      <c r="W31" s="81"/>
      <c r="X31" s="81" t="s">
        <v>591</v>
      </c>
      <c r="Y31" s="81" t="s">
        <v>592</v>
      </c>
      <c r="Z31" s="81" t="s">
        <v>593</v>
      </c>
      <c r="AA31" s="81" t="s">
        <v>594</v>
      </c>
      <c r="AB31" s="81" t="s">
        <v>595</v>
      </c>
      <c r="AC31" s="81"/>
      <c r="AD31" s="81" t="s">
        <v>596</v>
      </c>
      <c r="AE31" s="81" t="s">
        <v>597</v>
      </c>
      <c r="AF31" s="81" t="s">
        <v>598</v>
      </c>
      <c r="AG31" s="81" t="s">
        <v>599</v>
      </c>
      <c r="AH31" s="81" t="s">
        <v>600</v>
      </c>
      <c r="AI31" s="81" t="s">
        <v>601</v>
      </c>
      <c r="AJ31" s="82" t="s">
        <v>602</v>
      </c>
    </row>
    <row r="32" spans="2:36" x14ac:dyDescent="0.2">
      <c r="B32" s="80" t="s">
        <v>603</v>
      </c>
      <c r="C32" s="81" t="s">
        <v>604</v>
      </c>
      <c r="D32" s="81" t="s">
        <v>605</v>
      </c>
      <c r="E32" s="81" t="s">
        <v>606</v>
      </c>
      <c r="F32" s="81" t="s">
        <v>607</v>
      </c>
      <c r="G32" s="81" t="s">
        <v>608</v>
      </c>
      <c r="H32" s="83" t="s">
        <v>609</v>
      </c>
      <c r="I32" s="81" t="s">
        <v>610</v>
      </c>
      <c r="J32" s="81" t="s">
        <v>611</v>
      </c>
      <c r="K32" s="81" t="s">
        <v>612</v>
      </c>
      <c r="L32" s="81" t="s">
        <v>613</v>
      </c>
      <c r="M32" s="81" t="s">
        <v>614</v>
      </c>
      <c r="N32" s="81" t="s">
        <v>615</v>
      </c>
      <c r="O32" s="81" t="s">
        <v>616</v>
      </c>
      <c r="P32" s="81" t="s">
        <v>617</v>
      </c>
      <c r="Q32" s="81" t="s">
        <v>618</v>
      </c>
      <c r="R32" s="81" t="s">
        <v>619</v>
      </c>
      <c r="S32" s="81" t="s">
        <v>620</v>
      </c>
      <c r="T32" s="81" t="s">
        <v>621</v>
      </c>
      <c r="U32" s="81" t="s">
        <v>622</v>
      </c>
      <c r="V32" s="81" t="s">
        <v>623</v>
      </c>
      <c r="W32" s="81" t="s">
        <v>624</v>
      </c>
      <c r="X32" s="81"/>
      <c r="Y32" s="81" t="s">
        <v>625</v>
      </c>
      <c r="Z32" s="81" t="s">
        <v>626</v>
      </c>
      <c r="AA32" s="81"/>
      <c r="AB32" s="81"/>
      <c r="AC32" s="81" t="s">
        <v>627</v>
      </c>
      <c r="AD32" s="81" t="s">
        <v>628</v>
      </c>
      <c r="AE32" s="81" t="s">
        <v>629</v>
      </c>
      <c r="AF32" s="81" t="s">
        <v>630</v>
      </c>
      <c r="AG32" s="81" t="s">
        <v>631</v>
      </c>
      <c r="AH32" s="81" t="s">
        <v>632</v>
      </c>
      <c r="AI32" s="81" t="s">
        <v>633</v>
      </c>
      <c r="AJ32" s="82" t="s">
        <v>634</v>
      </c>
    </row>
    <row r="33" spans="2:36" x14ac:dyDescent="0.2">
      <c r="B33" s="80" t="s">
        <v>635</v>
      </c>
      <c r="C33" s="81" t="s">
        <v>636</v>
      </c>
      <c r="D33" s="81" t="s">
        <v>637</v>
      </c>
      <c r="E33" s="81" t="s">
        <v>638</v>
      </c>
      <c r="F33" s="81" t="s">
        <v>639</v>
      </c>
      <c r="G33" s="81" t="s">
        <v>640</v>
      </c>
      <c r="H33" s="83" t="s">
        <v>641</v>
      </c>
      <c r="I33" s="81" t="s">
        <v>642</v>
      </c>
      <c r="J33" s="81" t="s">
        <v>643</v>
      </c>
      <c r="K33" s="81"/>
      <c r="L33" s="81" t="s">
        <v>644</v>
      </c>
      <c r="M33" s="81" t="s">
        <v>645</v>
      </c>
      <c r="N33" s="81"/>
      <c r="O33" s="81" t="s">
        <v>646</v>
      </c>
      <c r="P33" s="81" t="s">
        <v>647</v>
      </c>
      <c r="Q33" s="81"/>
      <c r="R33" s="81"/>
      <c r="S33" s="81"/>
      <c r="T33" s="81"/>
      <c r="U33" s="81"/>
      <c r="V33" s="81"/>
      <c r="W33" s="81"/>
      <c r="X33" s="81"/>
      <c r="Y33" s="81"/>
      <c r="Z33" s="81"/>
      <c r="AA33" s="81"/>
      <c r="AB33" s="81"/>
      <c r="AC33" s="81"/>
      <c r="AD33" s="81"/>
      <c r="AE33" s="81"/>
      <c r="AF33" s="81"/>
      <c r="AG33" s="81"/>
      <c r="AH33" s="81"/>
      <c r="AI33" s="81"/>
      <c r="AJ33" s="82" t="s">
        <v>648</v>
      </c>
    </row>
    <row r="34" spans="2:36" x14ac:dyDescent="0.2">
      <c r="B34" s="80" t="s">
        <v>649</v>
      </c>
      <c r="C34" s="81" t="s">
        <v>650</v>
      </c>
      <c r="D34" s="81"/>
      <c r="E34" s="81"/>
      <c r="F34" s="81"/>
      <c r="G34" s="81"/>
      <c r="H34" s="81"/>
      <c r="I34" s="81"/>
      <c r="J34" s="81"/>
      <c r="K34" s="81"/>
      <c r="L34" s="81"/>
      <c r="M34" s="81"/>
      <c r="N34" s="81"/>
      <c r="O34" s="81" t="s">
        <v>651</v>
      </c>
      <c r="P34" s="81" t="s">
        <v>652</v>
      </c>
      <c r="Q34" s="81"/>
      <c r="R34" s="81"/>
      <c r="S34" s="81"/>
      <c r="T34" s="81"/>
      <c r="U34" s="81"/>
      <c r="V34" s="81"/>
      <c r="W34" s="81"/>
      <c r="X34" s="81"/>
      <c r="Y34" s="81"/>
      <c r="Z34" s="81"/>
      <c r="AA34" s="81"/>
      <c r="AB34" s="81"/>
      <c r="AC34" s="81"/>
      <c r="AD34" s="81"/>
      <c r="AE34" s="81"/>
      <c r="AF34" s="81"/>
      <c r="AG34" s="81"/>
      <c r="AH34" s="81"/>
      <c r="AI34" s="81"/>
      <c r="AJ34" s="82"/>
    </row>
    <row r="35" spans="2:36" x14ac:dyDescent="0.2">
      <c r="B35" s="80" t="s">
        <v>653</v>
      </c>
      <c r="C35" s="81" t="s">
        <v>654</v>
      </c>
      <c r="D35" s="81" t="s">
        <v>655</v>
      </c>
      <c r="E35" s="81" t="s">
        <v>656</v>
      </c>
      <c r="F35" s="81" t="s">
        <v>657</v>
      </c>
      <c r="G35" s="81" t="s">
        <v>658</v>
      </c>
      <c r="H35" s="83" t="s">
        <v>659</v>
      </c>
      <c r="I35" s="81" t="s">
        <v>660</v>
      </c>
      <c r="J35" s="81" t="s">
        <v>661</v>
      </c>
      <c r="K35" s="81"/>
      <c r="L35" s="81" t="s">
        <v>662</v>
      </c>
      <c r="M35" s="81" t="s">
        <v>663</v>
      </c>
      <c r="N35" s="81"/>
      <c r="O35" s="81"/>
      <c r="P35" s="81"/>
      <c r="Q35" s="81"/>
      <c r="R35" s="81"/>
      <c r="S35" s="81"/>
      <c r="T35" s="81"/>
      <c r="U35" s="81" t="s">
        <v>664</v>
      </c>
      <c r="V35" s="81" t="s">
        <v>665</v>
      </c>
      <c r="W35" s="81" t="s">
        <v>666</v>
      </c>
      <c r="X35" s="81"/>
      <c r="Y35" s="81" t="s">
        <v>667</v>
      </c>
      <c r="Z35" s="81" t="s">
        <v>668</v>
      </c>
      <c r="AA35" s="81"/>
      <c r="AB35" s="81"/>
      <c r="AC35" s="81"/>
      <c r="AD35" s="81"/>
      <c r="AE35" s="81"/>
      <c r="AF35" s="81"/>
      <c r="AG35" s="81"/>
      <c r="AH35" s="81"/>
      <c r="AI35" s="81"/>
      <c r="AJ35" s="82" t="s">
        <v>669</v>
      </c>
    </row>
    <row r="36" spans="2:36" x14ac:dyDescent="0.2">
      <c r="B36" s="80" t="s">
        <v>670</v>
      </c>
      <c r="C36" s="81" t="s">
        <v>671</v>
      </c>
      <c r="D36" s="81"/>
      <c r="E36" s="81" t="s">
        <v>672</v>
      </c>
      <c r="F36" s="81"/>
      <c r="G36" s="81"/>
      <c r="H36" s="81"/>
      <c r="I36" s="81"/>
      <c r="J36" s="81"/>
      <c r="K36" s="81"/>
      <c r="L36" s="81" t="s">
        <v>673</v>
      </c>
      <c r="M36" s="81" t="s">
        <v>674</v>
      </c>
      <c r="N36" s="81" t="s">
        <v>675</v>
      </c>
      <c r="O36" s="81" t="s">
        <v>676</v>
      </c>
      <c r="P36" s="81" t="s">
        <v>677</v>
      </c>
      <c r="Q36" s="81" t="s">
        <v>678</v>
      </c>
      <c r="R36" s="81" t="s">
        <v>679</v>
      </c>
      <c r="S36" s="81"/>
      <c r="T36" s="81"/>
      <c r="U36" s="81"/>
      <c r="V36" s="81"/>
      <c r="W36" s="81"/>
      <c r="X36" s="81"/>
      <c r="Y36" s="81" t="s">
        <v>680</v>
      </c>
      <c r="Z36" s="81"/>
      <c r="AA36" s="81"/>
      <c r="AB36" s="81"/>
      <c r="AC36" s="81"/>
      <c r="AD36" s="81"/>
      <c r="AE36" s="81"/>
      <c r="AF36" s="81"/>
      <c r="AG36" s="81"/>
      <c r="AH36" s="81"/>
      <c r="AI36" s="81"/>
      <c r="AJ36" s="82" t="s">
        <v>681</v>
      </c>
    </row>
    <row r="37" spans="2:36" x14ac:dyDescent="0.2">
      <c r="B37" s="80" t="s">
        <v>682</v>
      </c>
      <c r="C37" s="81" t="s">
        <v>683</v>
      </c>
      <c r="D37" s="81" t="s">
        <v>684</v>
      </c>
      <c r="E37" s="81" t="s">
        <v>685</v>
      </c>
      <c r="F37" s="81" t="s">
        <v>686</v>
      </c>
      <c r="G37" s="81" t="s">
        <v>687</v>
      </c>
      <c r="H37" s="83" t="s">
        <v>688</v>
      </c>
      <c r="I37" s="81" t="s">
        <v>689</v>
      </c>
      <c r="J37" s="81" t="s">
        <v>690</v>
      </c>
      <c r="K37" s="81" t="s">
        <v>691</v>
      </c>
      <c r="L37" s="81"/>
      <c r="M37" s="81" t="s">
        <v>692</v>
      </c>
      <c r="N37" s="81"/>
      <c r="O37" s="81" t="s">
        <v>693</v>
      </c>
      <c r="P37" s="81" t="s">
        <v>694</v>
      </c>
      <c r="Q37" s="81"/>
      <c r="R37" s="81"/>
      <c r="S37" s="81"/>
      <c r="T37" s="81"/>
      <c r="U37" s="81"/>
      <c r="V37" s="81"/>
      <c r="W37" s="81"/>
      <c r="X37" s="81"/>
      <c r="Y37" s="81"/>
      <c r="Z37" s="81"/>
      <c r="AA37" s="81"/>
      <c r="AB37" s="81"/>
      <c r="AC37" s="81"/>
      <c r="AD37" s="81"/>
      <c r="AE37" s="81"/>
      <c r="AF37" s="81"/>
      <c r="AG37" s="81"/>
      <c r="AH37" s="81"/>
      <c r="AI37" s="81"/>
      <c r="AJ37" s="82" t="s">
        <v>695</v>
      </c>
    </row>
    <row r="38" spans="2:36" x14ac:dyDescent="0.2">
      <c r="B38" s="80" t="s">
        <v>696</v>
      </c>
      <c r="C38" s="81" t="s">
        <v>697</v>
      </c>
      <c r="D38" s="81" t="s">
        <v>698</v>
      </c>
      <c r="E38" s="81" t="s">
        <v>699</v>
      </c>
      <c r="F38" s="81" t="s">
        <v>700</v>
      </c>
      <c r="G38" s="81" t="s">
        <v>701</v>
      </c>
      <c r="H38" s="83" t="s">
        <v>702</v>
      </c>
      <c r="I38" s="81" t="s">
        <v>703</v>
      </c>
      <c r="J38" s="81" t="s">
        <v>704</v>
      </c>
      <c r="K38" s="81" t="s">
        <v>705</v>
      </c>
      <c r="L38" s="81" t="s">
        <v>706</v>
      </c>
      <c r="M38" s="81"/>
      <c r="N38" s="81"/>
      <c r="O38" s="81" t="s">
        <v>707</v>
      </c>
      <c r="P38" s="81" t="s">
        <v>708</v>
      </c>
      <c r="Q38" s="81" t="s">
        <v>709</v>
      </c>
      <c r="R38" s="81" t="s">
        <v>710</v>
      </c>
      <c r="S38" s="81" t="s">
        <v>711</v>
      </c>
      <c r="T38" s="81" t="s">
        <v>712</v>
      </c>
      <c r="U38" s="81"/>
      <c r="V38" s="81"/>
      <c r="W38" s="81"/>
      <c r="X38" s="81" t="s">
        <v>713</v>
      </c>
      <c r="Y38" s="81" t="s">
        <v>714</v>
      </c>
      <c r="Z38" s="81" t="s">
        <v>715</v>
      </c>
      <c r="AA38" s="81" t="s">
        <v>716</v>
      </c>
      <c r="AB38" s="81" t="s">
        <v>717</v>
      </c>
      <c r="AC38" s="81" t="s">
        <v>718</v>
      </c>
      <c r="AD38" s="81" t="s">
        <v>719</v>
      </c>
      <c r="AE38" s="81" t="s">
        <v>720</v>
      </c>
      <c r="AF38" s="81" t="s">
        <v>721</v>
      </c>
      <c r="AG38" s="81" t="s">
        <v>722</v>
      </c>
      <c r="AH38" s="81" t="s">
        <v>723</v>
      </c>
      <c r="AI38" s="81" t="s">
        <v>724</v>
      </c>
      <c r="AJ38" s="82" t="s">
        <v>725</v>
      </c>
    </row>
    <row r="39" spans="2:36" x14ac:dyDescent="0.2">
      <c r="B39" s="80" t="s">
        <v>726</v>
      </c>
      <c r="C39" s="81" t="s">
        <v>727</v>
      </c>
      <c r="D39" s="81" t="s">
        <v>728</v>
      </c>
      <c r="E39" s="81" t="s">
        <v>729</v>
      </c>
      <c r="F39" s="81" t="s">
        <v>730</v>
      </c>
      <c r="G39" s="81" t="s">
        <v>731</v>
      </c>
      <c r="H39" s="83" t="s">
        <v>732</v>
      </c>
      <c r="I39" s="81" t="s">
        <v>733</v>
      </c>
      <c r="J39" s="81" t="s">
        <v>734</v>
      </c>
      <c r="K39" s="81"/>
      <c r="L39" s="81"/>
      <c r="M39" s="81"/>
      <c r="N39" s="81"/>
      <c r="O39" s="81" t="s">
        <v>735</v>
      </c>
      <c r="P39" s="81" t="s">
        <v>736</v>
      </c>
      <c r="Q39" s="81" t="s">
        <v>737</v>
      </c>
      <c r="R39" s="81" t="s">
        <v>738</v>
      </c>
      <c r="S39" s="81"/>
      <c r="T39" s="81"/>
      <c r="U39" s="81"/>
      <c r="V39" s="81"/>
      <c r="W39" s="81"/>
      <c r="X39" s="81" t="s">
        <v>739</v>
      </c>
      <c r="Y39" s="81" t="s">
        <v>740</v>
      </c>
      <c r="Z39" s="81" t="s">
        <v>741</v>
      </c>
      <c r="AA39" s="81" t="s">
        <v>742</v>
      </c>
      <c r="AB39" s="81" t="s">
        <v>743</v>
      </c>
      <c r="AC39" s="81" t="s">
        <v>744</v>
      </c>
      <c r="AD39" s="81" t="s">
        <v>745</v>
      </c>
      <c r="AE39" s="81" t="s">
        <v>746</v>
      </c>
      <c r="AF39" s="81" t="s">
        <v>747</v>
      </c>
      <c r="AG39" s="81" t="s">
        <v>748</v>
      </c>
      <c r="AH39" s="81" t="s">
        <v>749</v>
      </c>
      <c r="AI39" s="81" t="s">
        <v>750</v>
      </c>
      <c r="AJ39" s="82" t="s">
        <v>751</v>
      </c>
    </row>
    <row r="40" spans="2:36" x14ac:dyDescent="0.2">
      <c r="B40" s="80" t="s">
        <v>752</v>
      </c>
      <c r="C40" s="81" t="s">
        <v>753</v>
      </c>
      <c r="D40" s="81" t="s">
        <v>754</v>
      </c>
      <c r="E40" s="81" t="s">
        <v>755</v>
      </c>
      <c r="F40" s="81" t="s">
        <v>756</v>
      </c>
      <c r="G40" s="81" t="s">
        <v>757</v>
      </c>
      <c r="H40" s="83" t="s">
        <v>758</v>
      </c>
      <c r="I40" s="81" t="s">
        <v>759</v>
      </c>
      <c r="J40" s="81" t="s">
        <v>760</v>
      </c>
      <c r="K40" s="81" t="s">
        <v>761</v>
      </c>
      <c r="L40" s="81" t="s">
        <v>762</v>
      </c>
      <c r="M40" s="81" t="s">
        <v>763</v>
      </c>
      <c r="N40" s="81" t="s">
        <v>764</v>
      </c>
      <c r="O40" s="81" t="s">
        <v>765</v>
      </c>
      <c r="P40" s="81" t="s">
        <v>766</v>
      </c>
      <c r="Q40" s="81" t="s">
        <v>767</v>
      </c>
      <c r="R40" s="81" t="s">
        <v>768</v>
      </c>
      <c r="S40" s="81" t="s">
        <v>769</v>
      </c>
      <c r="T40" s="81" t="s">
        <v>770</v>
      </c>
      <c r="U40" s="81" t="s">
        <v>771</v>
      </c>
      <c r="V40" s="81" t="s">
        <v>772</v>
      </c>
      <c r="W40" s="81" t="s">
        <v>773</v>
      </c>
      <c r="X40" s="81" t="s">
        <v>774</v>
      </c>
      <c r="Y40" s="81" t="s">
        <v>775</v>
      </c>
      <c r="Z40" s="81" t="s">
        <v>776</v>
      </c>
      <c r="AA40" s="81" t="s">
        <v>777</v>
      </c>
      <c r="AB40" s="81" t="s">
        <v>778</v>
      </c>
      <c r="AC40" s="81" t="s">
        <v>779</v>
      </c>
      <c r="AD40" s="81" t="s">
        <v>780</v>
      </c>
      <c r="AE40" s="81" t="s">
        <v>781</v>
      </c>
      <c r="AF40" s="81" t="s">
        <v>782</v>
      </c>
      <c r="AG40" s="81" t="s">
        <v>783</v>
      </c>
      <c r="AH40" s="81" t="s">
        <v>784</v>
      </c>
      <c r="AI40" s="81" t="s">
        <v>785</v>
      </c>
      <c r="AJ40" s="82" t="s">
        <v>786</v>
      </c>
    </row>
    <row r="41" spans="2:36" x14ac:dyDescent="0.2">
      <c r="B41" s="80" t="s">
        <v>787</v>
      </c>
      <c r="C41" s="81" t="s">
        <v>788</v>
      </c>
      <c r="D41" s="81" t="s">
        <v>789</v>
      </c>
      <c r="E41" s="81" t="s">
        <v>790</v>
      </c>
      <c r="F41" s="81" t="s">
        <v>791</v>
      </c>
      <c r="G41" s="81" t="s">
        <v>792</v>
      </c>
      <c r="H41" s="83" t="s">
        <v>793</v>
      </c>
      <c r="I41" s="81" t="s">
        <v>794</v>
      </c>
      <c r="J41" s="81" t="s">
        <v>795</v>
      </c>
      <c r="K41" s="81" t="s">
        <v>796</v>
      </c>
      <c r="L41" s="81" t="s">
        <v>797</v>
      </c>
      <c r="M41" s="81" t="s">
        <v>798</v>
      </c>
      <c r="N41" s="81" t="s">
        <v>799</v>
      </c>
      <c r="O41" s="81" t="s">
        <v>800</v>
      </c>
      <c r="P41" s="81" t="s">
        <v>801</v>
      </c>
      <c r="Q41" s="81" t="s">
        <v>802</v>
      </c>
      <c r="R41" s="81" t="s">
        <v>803</v>
      </c>
      <c r="S41" s="81" t="s">
        <v>804</v>
      </c>
      <c r="T41" s="81" t="s">
        <v>805</v>
      </c>
      <c r="U41" s="81" t="s">
        <v>806</v>
      </c>
      <c r="V41" s="81" t="s">
        <v>807</v>
      </c>
      <c r="W41" s="81" t="s">
        <v>808</v>
      </c>
      <c r="X41" s="81" t="s">
        <v>809</v>
      </c>
      <c r="Y41" s="81" t="s">
        <v>810</v>
      </c>
      <c r="Z41" s="81" t="s">
        <v>811</v>
      </c>
      <c r="AA41" s="81" t="s">
        <v>812</v>
      </c>
      <c r="AB41" s="81" t="s">
        <v>813</v>
      </c>
      <c r="AC41" s="81" t="s">
        <v>814</v>
      </c>
      <c r="AD41" s="81" t="s">
        <v>815</v>
      </c>
      <c r="AE41" s="81" t="s">
        <v>816</v>
      </c>
      <c r="AF41" s="81" t="s">
        <v>817</v>
      </c>
      <c r="AG41" s="81" t="s">
        <v>818</v>
      </c>
      <c r="AH41" s="81" t="s">
        <v>819</v>
      </c>
      <c r="AI41" s="81" t="s">
        <v>820</v>
      </c>
      <c r="AJ41" s="82" t="s">
        <v>821</v>
      </c>
    </row>
    <row r="42" spans="2:36" x14ac:dyDescent="0.2">
      <c r="B42" s="80" t="s">
        <v>822</v>
      </c>
      <c r="C42" s="81" t="s">
        <v>823</v>
      </c>
      <c r="D42" s="81" t="s">
        <v>824</v>
      </c>
      <c r="E42" s="81" t="s">
        <v>825</v>
      </c>
      <c r="F42" s="81"/>
      <c r="G42" s="81"/>
      <c r="H42" s="81"/>
      <c r="I42" s="81"/>
      <c r="J42" s="81"/>
      <c r="K42" s="81"/>
      <c r="L42" s="81"/>
      <c r="M42" s="81"/>
      <c r="N42" s="81"/>
      <c r="O42" s="81"/>
      <c r="P42" s="81"/>
      <c r="Q42" s="81"/>
      <c r="R42" s="81"/>
      <c r="S42" s="81"/>
      <c r="T42" s="81"/>
      <c r="U42" s="81"/>
      <c r="V42" s="81"/>
      <c r="W42" s="81"/>
      <c r="X42" s="81"/>
      <c r="Y42" s="81"/>
      <c r="Z42" s="81"/>
      <c r="AA42" s="81"/>
      <c r="AB42" s="81"/>
      <c r="AC42" s="81"/>
      <c r="AD42" s="81"/>
      <c r="AE42" s="81"/>
      <c r="AF42" s="81"/>
      <c r="AG42" s="81"/>
      <c r="AH42" s="81"/>
      <c r="AI42" s="81"/>
      <c r="AJ42" s="82" t="s">
        <v>826</v>
      </c>
    </row>
    <row r="43" spans="2:36" x14ac:dyDescent="0.2">
      <c r="B43" s="80" t="s">
        <v>827</v>
      </c>
      <c r="C43" s="81" t="s">
        <v>828</v>
      </c>
      <c r="D43" s="81" t="s">
        <v>829</v>
      </c>
      <c r="E43" s="81" t="s">
        <v>830</v>
      </c>
      <c r="F43" s="81" t="s">
        <v>831</v>
      </c>
      <c r="G43" s="81" t="s">
        <v>832</v>
      </c>
      <c r="H43" s="83" t="s">
        <v>833</v>
      </c>
      <c r="I43" s="81" t="s">
        <v>834</v>
      </c>
      <c r="J43" s="81" t="s">
        <v>835</v>
      </c>
      <c r="K43" s="81"/>
      <c r="L43" s="81" t="s">
        <v>836</v>
      </c>
      <c r="M43" s="81" t="s">
        <v>837</v>
      </c>
      <c r="N43" s="81" t="s">
        <v>838</v>
      </c>
      <c r="O43" s="81" t="s">
        <v>839</v>
      </c>
      <c r="P43" s="81" t="s">
        <v>840</v>
      </c>
      <c r="Q43" s="81"/>
      <c r="R43" s="81"/>
      <c r="S43" s="81" t="s">
        <v>841</v>
      </c>
      <c r="T43" s="81" t="s">
        <v>842</v>
      </c>
      <c r="U43" s="81"/>
      <c r="V43" s="81"/>
      <c r="W43" s="81"/>
      <c r="X43" s="81"/>
      <c r="Y43" s="81"/>
      <c r="Z43" s="81" t="s">
        <v>843</v>
      </c>
      <c r="AA43" s="81"/>
      <c r="AB43" s="81"/>
      <c r="AC43" s="81"/>
      <c r="AD43" s="81"/>
      <c r="AE43" s="81"/>
      <c r="AF43" s="81"/>
      <c r="AG43" s="81"/>
      <c r="AH43" s="81"/>
      <c r="AI43" s="81"/>
      <c r="AJ43" s="82" t="s">
        <v>844</v>
      </c>
    </row>
    <row r="44" spans="2:36" x14ac:dyDescent="0.2">
      <c r="B44" s="80" t="s">
        <v>845</v>
      </c>
      <c r="C44" s="81" t="s">
        <v>846</v>
      </c>
      <c r="D44" s="81" t="s">
        <v>847</v>
      </c>
      <c r="E44" s="81" t="s">
        <v>848</v>
      </c>
      <c r="F44" s="81" t="s">
        <v>849</v>
      </c>
      <c r="G44" s="81" t="s">
        <v>850</v>
      </c>
      <c r="H44" s="83" t="s">
        <v>851</v>
      </c>
      <c r="I44" s="81" t="s">
        <v>852</v>
      </c>
      <c r="J44" s="81" t="s">
        <v>853</v>
      </c>
      <c r="K44" s="81"/>
      <c r="L44" s="81" t="s">
        <v>854</v>
      </c>
      <c r="M44" s="81" t="s">
        <v>855</v>
      </c>
      <c r="N44" s="81"/>
      <c r="O44" s="81" t="s">
        <v>856</v>
      </c>
      <c r="P44" s="81" t="s">
        <v>857</v>
      </c>
      <c r="Q44" s="81" t="s">
        <v>858</v>
      </c>
      <c r="R44" s="81" t="s">
        <v>859</v>
      </c>
      <c r="S44" s="81"/>
      <c r="T44" s="81"/>
      <c r="U44" s="81" t="s">
        <v>860</v>
      </c>
      <c r="V44" s="81" t="s">
        <v>861</v>
      </c>
      <c r="W44" s="81" t="s">
        <v>862</v>
      </c>
      <c r="X44" s="81"/>
      <c r="Y44" s="81"/>
      <c r="Z44" s="81" t="s">
        <v>863</v>
      </c>
      <c r="AA44" s="81"/>
      <c r="AB44" s="81"/>
      <c r="AC44" s="81" t="s">
        <v>864</v>
      </c>
      <c r="AD44" s="81" t="s">
        <v>865</v>
      </c>
      <c r="AE44" s="81" t="s">
        <v>866</v>
      </c>
      <c r="AF44" s="81" t="s">
        <v>867</v>
      </c>
      <c r="AG44" s="81" t="s">
        <v>868</v>
      </c>
      <c r="AH44" s="81" t="s">
        <v>869</v>
      </c>
      <c r="AI44" s="81" t="s">
        <v>870</v>
      </c>
      <c r="AJ44" s="82" t="s">
        <v>871</v>
      </c>
    </row>
    <row r="45" spans="2:36" x14ac:dyDescent="0.2">
      <c r="B45" s="80" t="s">
        <v>872</v>
      </c>
      <c r="C45" s="81" t="s">
        <v>873</v>
      </c>
      <c r="D45" s="81" t="s">
        <v>874</v>
      </c>
      <c r="E45" s="81" t="s">
        <v>875</v>
      </c>
      <c r="F45" s="81" t="s">
        <v>876</v>
      </c>
      <c r="G45" s="81" t="s">
        <v>877</v>
      </c>
      <c r="H45" s="83" t="s">
        <v>878</v>
      </c>
      <c r="I45" s="81" t="s">
        <v>879</v>
      </c>
      <c r="J45" s="81" t="s">
        <v>880</v>
      </c>
      <c r="K45" s="81" t="s">
        <v>881</v>
      </c>
      <c r="L45" s="81" t="s">
        <v>882</v>
      </c>
      <c r="M45" s="81" t="s">
        <v>883</v>
      </c>
      <c r="N45" s="81"/>
      <c r="O45" s="81" t="s">
        <v>884</v>
      </c>
      <c r="P45" s="81" t="s">
        <v>885</v>
      </c>
      <c r="Q45" s="81" t="s">
        <v>886</v>
      </c>
      <c r="R45" s="81" t="s">
        <v>887</v>
      </c>
      <c r="S45" s="81" t="s">
        <v>888</v>
      </c>
      <c r="T45" s="81" t="s">
        <v>889</v>
      </c>
      <c r="U45" s="81"/>
      <c r="V45" s="81"/>
      <c r="W45" s="81"/>
      <c r="X45" s="81"/>
      <c r="Y45" s="81" t="s">
        <v>890</v>
      </c>
      <c r="Z45" s="81" t="s">
        <v>891</v>
      </c>
      <c r="AA45" s="81"/>
      <c r="AB45" s="81"/>
      <c r="AC45" s="81" t="s">
        <v>892</v>
      </c>
      <c r="AD45" s="81" t="s">
        <v>893</v>
      </c>
      <c r="AE45" s="81" t="s">
        <v>894</v>
      </c>
      <c r="AF45" s="81" t="s">
        <v>895</v>
      </c>
      <c r="AG45" s="81" t="s">
        <v>896</v>
      </c>
      <c r="AH45" s="81" t="s">
        <v>897</v>
      </c>
      <c r="AI45" s="81" t="s">
        <v>898</v>
      </c>
      <c r="AJ45" s="82" t="s">
        <v>899</v>
      </c>
    </row>
    <row r="46" spans="2:36" x14ac:dyDescent="0.2">
      <c r="B46" s="80" t="s">
        <v>900</v>
      </c>
      <c r="C46" s="81" t="s">
        <v>901</v>
      </c>
      <c r="D46" s="81"/>
      <c r="E46" s="81" t="s">
        <v>902</v>
      </c>
      <c r="F46" s="81"/>
      <c r="G46" s="81"/>
      <c r="H46" s="81"/>
      <c r="I46" s="81"/>
      <c r="J46" s="81"/>
      <c r="K46" s="81"/>
      <c r="L46" s="81" t="s">
        <v>903</v>
      </c>
      <c r="M46" s="81" t="s">
        <v>904</v>
      </c>
      <c r="N46" s="81" t="s">
        <v>905</v>
      </c>
      <c r="O46" s="81" t="s">
        <v>906</v>
      </c>
      <c r="P46" s="81" t="s">
        <v>907</v>
      </c>
      <c r="Q46" s="81" t="s">
        <v>908</v>
      </c>
      <c r="R46" s="81" t="s">
        <v>909</v>
      </c>
      <c r="S46" s="81"/>
      <c r="T46" s="81"/>
      <c r="U46" s="81"/>
      <c r="V46" s="81"/>
      <c r="W46" s="81"/>
      <c r="X46" s="81"/>
      <c r="Y46" s="81" t="s">
        <v>910</v>
      </c>
      <c r="Z46" s="81" t="s">
        <v>911</v>
      </c>
      <c r="AA46" s="81"/>
      <c r="AB46" s="81"/>
      <c r="AC46" s="81"/>
      <c r="AD46" s="81"/>
      <c r="AE46" s="81"/>
      <c r="AF46" s="81"/>
      <c r="AG46" s="81"/>
      <c r="AH46" s="81"/>
      <c r="AI46" s="81"/>
      <c r="AJ46" s="82" t="s">
        <v>912</v>
      </c>
    </row>
    <row r="47" spans="2:36" x14ac:dyDescent="0.2">
      <c r="B47" s="80" t="s">
        <v>913</v>
      </c>
      <c r="C47" s="81" t="s">
        <v>914</v>
      </c>
      <c r="D47" s="81" t="s">
        <v>915</v>
      </c>
      <c r="E47" s="81" t="s">
        <v>916</v>
      </c>
      <c r="F47" s="81" t="s">
        <v>917</v>
      </c>
      <c r="G47" s="81" t="s">
        <v>918</v>
      </c>
      <c r="H47" s="83" t="s">
        <v>919</v>
      </c>
      <c r="I47" s="81" t="s">
        <v>920</v>
      </c>
      <c r="J47" s="81" t="s">
        <v>921</v>
      </c>
      <c r="K47" s="81"/>
      <c r="L47" s="81" t="s">
        <v>922</v>
      </c>
      <c r="M47" s="81" t="s">
        <v>923</v>
      </c>
      <c r="N47" s="81"/>
      <c r="O47" s="81" t="s">
        <v>924</v>
      </c>
      <c r="P47" s="81" t="s">
        <v>925</v>
      </c>
      <c r="Q47" s="81"/>
      <c r="R47" s="81"/>
      <c r="S47" s="81"/>
      <c r="T47" s="81"/>
      <c r="U47" s="81"/>
      <c r="V47" s="81"/>
      <c r="W47" s="81"/>
      <c r="X47" s="81"/>
      <c r="Y47" s="81"/>
      <c r="Z47" s="81"/>
      <c r="AA47" s="81"/>
      <c r="AB47" s="81"/>
      <c r="AC47" s="81"/>
      <c r="AD47" s="81"/>
      <c r="AE47" s="81"/>
      <c r="AF47" s="81"/>
      <c r="AG47" s="81"/>
      <c r="AH47" s="81"/>
      <c r="AI47" s="81"/>
      <c r="AJ47" s="82" t="s">
        <v>926</v>
      </c>
    </row>
    <row r="48" spans="2:36" x14ac:dyDescent="0.2">
      <c r="B48" s="80" t="s">
        <v>927</v>
      </c>
      <c r="C48" s="81" t="s">
        <v>928</v>
      </c>
      <c r="D48" s="81" t="s">
        <v>929</v>
      </c>
      <c r="E48" s="81" t="s">
        <v>930</v>
      </c>
      <c r="F48" s="81" t="s">
        <v>931</v>
      </c>
      <c r="G48" s="81" t="s">
        <v>932</v>
      </c>
      <c r="H48" s="83" t="s">
        <v>933</v>
      </c>
      <c r="I48" s="81" t="s">
        <v>934</v>
      </c>
      <c r="J48" s="81" t="s">
        <v>935</v>
      </c>
      <c r="K48" s="81"/>
      <c r="L48" s="81" t="s">
        <v>936</v>
      </c>
      <c r="M48" s="81" t="s">
        <v>937</v>
      </c>
      <c r="N48" s="81" t="s">
        <v>938</v>
      </c>
      <c r="O48" s="81" t="s">
        <v>939</v>
      </c>
      <c r="P48" s="81" t="s">
        <v>940</v>
      </c>
      <c r="Q48" s="81" t="s">
        <v>941</v>
      </c>
      <c r="R48" s="81" t="s">
        <v>942</v>
      </c>
      <c r="S48" s="81"/>
      <c r="T48" s="81"/>
      <c r="U48" s="81" t="s">
        <v>943</v>
      </c>
      <c r="V48" s="81" t="s">
        <v>944</v>
      </c>
      <c r="W48" s="81" t="s">
        <v>945</v>
      </c>
      <c r="X48" s="81"/>
      <c r="Y48" s="81" t="s">
        <v>946</v>
      </c>
      <c r="Z48" s="81" t="s">
        <v>947</v>
      </c>
      <c r="AA48" s="81" t="s">
        <v>948</v>
      </c>
      <c r="AB48" s="81" t="s">
        <v>949</v>
      </c>
      <c r="AC48" s="81" t="s">
        <v>950</v>
      </c>
      <c r="AD48" s="81" t="s">
        <v>951</v>
      </c>
      <c r="AE48" s="81" t="s">
        <v>952</v>
      </c>
      <c r="AF48" s="81" t="s">
        <v>953</v>
      </c>
      <c r="AG48" s="81" t="s">
        <v>954</v>
      </c>
      <c r="AH48" s="81" t="s">
        <v>955</v>
      </c>
      <c r="AI48" s="81" t="s">
        <v>956</v>
      </c>
      <c r="AJ48" s="82" t="s">
        <v>957</v>
      </c>
    </row>
    <row r="49" spans="2:36" x14ac:dyDescent="0.2">
      <c r="B49" s="80" t="s">
        <v>958</v>
      </c>
      <c r="C49" s="81" t="s">
        <v>959</v>
      </c>
      <c r="D49" s="81" t="s">
        <v>960</v>
      </c>
      <c r="E49" s="81" t="s">
        <v>961</v>
      </c>
      <c r="F49" s="81" t="s">
        <v>962</v>
      </c>
      <c r="G49" s="81" t="s">
        <v>963</v>
      </c>
      <c r="H49" s="83" t="s">
        <v>964</v>
      </c>
      <c r="I49" s="81" t="s">
        <v>965</v>
      </c>
      <c r="J49" s="81" t="s">
        <v>966</v>
      </c>
      <c r="K49" s="81"/>
      <c r="L49" s="81"/>
      <c r="M49" s="81"/>
      <c r="N49" s="81"/>
      <c r="O49" s="81" t="s">
        <v>967</v>
      </c>
      <c r="P49" s="81" t="s">
        <v>968</v>
      </c>
      <c r="Q49" s="81"/>
      <c r="R49" s="81"/>
      <c r="S49" s="81"/>
      <c r="T49" s="81"/>
      <c r="U49" s="81"/>
      <c r="V49" s="81"/>
      <c r="W49" s="81"/>
      <c r="X49" s="81"/>
      <c r="Y49" s="81"/>
      <c r="Z49" s="81"/>
      <c r="AA49" s="81"/>
      <c r="AB49" s="81"/>
      <c r="AC49" s="81"/>
      <c r="AD49" s="81"/>
      <c r="AE49" s="81"/>
      <c r="AF49" s="81"/>
      <c r="AG49" s="81"/>
      <c r="AH49" s="81"/>
      <c r="AI49" s="81"/>
      <c r="AJ49" s="82"/>
    </row>
    <row r="50" spans="2:36" x14ac:dyDescent="0.2">
      <c r="B50" s="80" t="s">
        <v>969</v>
      </c>
      <c r="C50" s="81" t="s">
        <v>970</v>
      </c>
      <c r="D50" s="81" t="s">
        <v>971</v>
      </c>
      <c r="E50" s="81" t="s">
        <v>972</v>
      </c>
      <c r="F50" s="81" t="s">
        <v>973</v>
      </c>
      <c r="G50" s="81" t="s">
        <v>974</v>
      </c>
      <c r="H50" s="83" t="s">
        <v>975</v>
      </c>
      <c r="I50" s="81" t="s">
        <v>976</v>
      </c>
      <c r="J50" s="81" t="s">
        <v>977</v>
      </c>
      <c r="K50" s="81"/>
      <c r="L50" s="81" t="s">
        <v>978</v>
      </c>
      <c r="M50" s="81" t="s">
        <v>979</v>
      </c>
      <c r="N50" s="81" t="s">
        <v>980</v>
      </c>
      <c r="O50" s="81" t="s">
        <v>981</v>
      </c>
      <c r="P50" s="81" t="s">
        <v>982</v>
      </c>
      <c r="Q50" s="81"/>
      <c r="R50" s="81"/>
      <c r="S50" s="81" t="s">
        <v>983</v>
      </c>
      <c r="T50" s="81" t="s">
        <v>984</v>
      </c>
      <c r="U50" s="81"/>
      <c r="V50" s="81"/>
      <c r="W50" s="81"/>
      <c r="X50" s="81"/>
      <c r="Y50" s="81"/>
      <c r="Z50" s="81" t="s">
        <v>985</v>
      </c>
      <c r="AA50" s="81"/>
      <c r="AB50" s="81"/>
      <c r="AC50" s="81" t="s">
        <v>986</v>
      </c>
      <c r="AD50" s="81" t="s">
        <v>987</v>
      </c>
      <c r="AE50" s="81" t="s">
        <v>988</v>
      </c>
      <c r="AF50" s="81" t="s">
        <v>989</v>
      </c>
      <c r="AG50" s="81" t="s">
        <v>990</v>
      </c>
      <c r="AH50" s="81" t="s">
        <v>991</v>
      </c>
      <c r="AI50" s="81" t="s">
        <v>992</v>
      </c>
      <c r="AJ50" s="82" t="s">
        <v>993</v>
      </c>
    </row>
    <row r="51" spans="2:36" x14ac:dyDescent="0.2">
      <c r="B51" s="80" t="s">
        <v>994</v>
      </c>
      <c r="C51" s="81" t="s">
        <v>995</v>
      </c>
      <c r="D51" s="81" t="s">
        <v>996</v>
      </c>
      <c r="E51" s="81" t="s">
        <v>997</v>
      </c>
      <c r="F51" s="81" t="s">
        <v>998</v>
      </c>
      <c r="G51" s="81" t="s">
        <v>999</v>
      </c>
      <c r="H51" s="83" t="s">
        <v>1000</v>
      </c>
      <c r="I51" s="81" t="s">
        <v>1001</v>
      </c>
      <c r="J51" s="81" t="s">
        <v>1002</v>
      </c>
      <c r="K51" s="81" t="s">
        <v>1003</v>
      </c>
      <c r="L51" s="81" t="s">
        <v>1004</v>
      </c>
      <c r="M51" s="81" t="s">
        <v>1005</v>
      </c>
      <c r="N51" s="81" t="s">
        <v>1006</v>
      </c>
      <c r="O51" s="81" t="s">
        <v>1007</v>
      </c>
      <c r="P51" s="81" t="s">
        <v>1008</v>
      </c>
      <c r="Q51" s="81" t="s">
        <v>1009</v>
      </c>
      <c r="R51" s="81" t="s">
        <v>1010</v>
      </c>
      <c r="S51" s="81"/>
      <c r="T51" s="81"/>
      <c r="U51" s="81" t="s">
        <v>1011</v>
      </c>
      <c r="V51" s="81" t="s">
        <v>1012</v>
      </c>
      <c r="W51" s="81" t="s">
        <v>1013</v>
      </c>
      <c r="X51" s="81" t="s">
        <v>1014</v>
      </c>
      <c r="Y51" s="81" t="s">
        <v>1015</v>
      </c>
      <c r="Z51" s="81" t="s">
        <v>1016</v>
      </c>
      <c r="AA51" s="81"/>
      <c r="AB51" s="81"/>
      <c r="AC51" s="81" t="s">
        <v>1017</v>
      </c>
      <c r="AD51" s="81" t="s">
        <v>1018</v>
      </c>
      <c r="AE51" s="81" t="s">
        <v>1019</v>
      </c>
      <c r="AF51" s="81" t="s">
        <v>1020</v>
      </c>
      <c r="AG51" s="81" t="s">
        <v>1021</v>
      </c>
      <c r="AH51" s="81" t="s">
        <v>1022</v>
      </c>
      <c r="AI51" s="81" t="s">
        <v>1023</v>
      </c>
      <c r="AJ51" s="82" t="s">
        <v>1024</v>
      </c>
    </row>
    <row r="52" spans="2:36" x14ac:dyDescent="0.2">
      <c r="B52" s="80" t="s">
        <v>1025</v>
      </c>
      <c r="C52" s="81" t="s">
        <v>1026</v>
      </c>
      <c r="D52" s="81" t="s">
        <v>1027</v>
      </c>
      <c r="E52" s="81" t="s">
        <v>1028</v>
      </c>
      <c r="F52" s="81" t="s">
        <v>1029</v>
      </c>
      <c r="G52" s="81" t="s">
        <v>1030</v>
      </c>
      <c r="H52" s="83" t="s">
        <v>1031</v>
      </c>
      <c r="I52" s="81" t="s">
        <v>1032</v>
      </c>
      <c r="J52" s="81" t="s">
        <v>1033</v>
      </c>
      <c r="K52" s="81"/>
      <c r="L52" s="81" t="s">
        <v>1034</v>
      </c>
      <c r="M52" s="81" t="s">
        <v>1035</v>
      </c>
      <c r="N52" s="81" t="s">
        <v>1036</v>
      </c>
      <c r="O52" s="81" t="s">
        <v>1037</v>
      </c>
      <c r="P52" s="81" t="s">
        <v>1038</v>
      </c>
      <c r="Q52" s="81" t="s">
        <v>1039</v>
      </c>
      <c r="R52" s="81" t="s">
        <v>1040</v>
      </c>
      <c r="S52" s="81" t="s">
        <v>1041</v>
      </c>
      <c r="T52" s="81" t="s">
        <v>1042</v>
      </c>
      <c r="U52" s="81" t="s">
        <v>1043</v>
      </c>
      <c r="V52" s="81" t="s">
        <v>1044</v>
      </c>
      <c r="W52" s="81" t="s">
        <v>1045</v>
      </c>
      <c r="X52" s="81"/>
      <c r="Y52" s="81" t="s">
        <v>1046</v>
      </c>
      <c r="Z52" s="81" t="s">
        <v>1047</v>
      </c>
      <c r="AA52" s="81"/>
      <c r="AB52" s="81"/>
      <c r="AC52" s="81" t="s">
        <v>1048</v>
      </c>
      <c r="AD52" s="81" t="s">
        <v>1049</v>
      </c>
      <c r="AE52" s="81" t="s">
        <v>1050</v>
      </c>
      <c r="AF52" s="81" t="s">
        <v>1051</v>
      </c>
      <c r="AG52" s="81" t="s">
        <v>1052</v>
      </c>
      <c r="AH52" s="81" t="s">
        <v>1053</v>
      </c>
      <c r="AI52" s="81" t="s">
        <v>1054</v>
      </c>
      <c r="AJ52" s="82" t="s">
        <v>1055</v>
      </c>
    </row>
    <row r="53" spans="2:36" x14ac:dyDescent="0.2">
      <c r="B53" s="80" t="s">
        <v>1056</v>
      </c>
      <c r="C53" s="81" t="s">
        <v>1057</v>
      </c>
      <c r="D53" s="81" t="s">
        <v>1058</v>
      </c>
      <c r="E53" s="81" t="s">
        <v>1059</v>
      </c>
      <c r="F53" s="81"/>
      <c r="G53" s="81"/>
      <c r="H53" s="81" t="s">
        <v>1060</v>
      </c>
      <c r="I53" s="81" t="s">
        <v>1061</v>
      </c>
      <c r="J53" s="81" t="s">
        <v>1062</v>
      </c>
      <c r="K53" s="81"/>
      <c r="L53" s="81" t="s">
        <v>1063</v>
      </c>
      <c r="M53" s="81" t="s">
        <v>1064</v>
      </c>
      <c r="N53" s="81"/>
      <c r="O53" s="81" t="s">
        <v>1065</v>
      </c>
      <c r="P53" s="81" t="s">
        <v>1066</v>
      </c>
      <c r="Q53" s="81"/>
      <c r="R53" s="81"/>
      <c r="S53" s="81"/>
      <c r="T53" s="81"/>
      <c r="U53" s="81"/>
      <c r="V53" s="81"/>
      <c r="W53" s="81"/>
      <c r="X53" s="81"/>
      <c r="Y53" s="81"/>
      <c r="Z53" s="81"/>
      <c r="AA53" s="81"/>
      <c r="AB53" s="81"/>
      <c r="AC53" s="81"/>
      <c r="AD53" s="81"/>
      <c r="AE53" s="81"/>
      <c r="AF53" s="81"/>
      <c r="AG53" s="81"/>
      <c r="AH53" s="81"/>
      <c r="AI53" s="81"/>
      <c r="AJ53" s="82" t="s">
        <v>1067</v>
      </c>
    </row>
    <row r="54" spans="2:36" x14ac:dyDescent="0.2">
      <c r="B54" s="80" t="s">
        <v>1068</v>
      </c>
      <c r="C54" s="81" t="s">
        <v>1069</v>
      </c>
      <c r="D54" s="81" t="s">
        <v>1070</v>
      </c>
      <c r="E54" s="81" t="s">
        <v>1071</v>
      </c>
      <c r="F54" s="81" t="s">
        <v>1072</v>
      </c>
      <c r="G54" s="81" t="s">
        <v>1073</v>
      </c>
      <c r="H54" s="83" t="s">
        <v>1074</v>
      </c>
      <c r="I54" s="81" t="s">
        <v>1075</v>
      </c>
      <c r="J54" s="81" t="s">
        <v>1076</v>
      </c>
      <c r="K54" s="81"/>
      <c r="L54" s="81" t="s">
        <v>1077</v>
      </c>
      <c r="M54" s="81" t="s">
        <v>1078</v>
      </c>
      <c r="N54" s="81"/>
      <c r="O54" s="81" t="s">
        <v>1079</v>
      </c>
      <c r="P54" s="81" t="s">
        <v>1080</v>
      </c>
      <c r="Q54" s="81"/>
      <c r="R54" s="81"/>
      <c r="S54" s="81"/>
      <c r="T54" s="81"/>
      <c r="U54" s="81"/>
      <c r="V54" s="81"/>
      <c r="W54" s="81"/>
      <c r="X54" s="81"/>
      <c r="Y54" s="81"/>
      <c r="Z54" s="81"/>
      <c r="AA54" s="81"/>
      <c r="AB54" s="81"/>
      <c r="AC54" s="81"/>
      <c r="AD54" s="81"/>
      <c r="AE54" s="81"/>
      <c r="AF54" s="81"/>
      <c r="AG54" s="81"/>
      <c r="AH54" s="81"/>
      <c r="AI54" s="81"/>
      <c r="AJ54" s="82" t="s">
        <v>1081</v>
      </c>
    </row>
    <row r="55" spans="2:36" x14ac:dyDescent="0.2">
      <c r="B55" s="80" t="s">
        <v>1082</v>
      </c>
      <c r="C55" s="81" t="s">
        <v>1083</v>
      </c>
      <c r="D55" s="81"/>
      <c r="E55" s="81" t="s">
        <v>1084</v>
      </c>
      <c r="F55" s="81"/>
      <c r="G55" s="81"/>
      <c r="H55" s="81"/>
      <c r="I55" s="81"/>
      <c r="J55" s="81"/>
      <c r="K55" s="81" t="s">
        <v>1085</v>
      </c>
      <c r="L55" s="81" t="s">
        <v>1086</v>
      </c>
      <c r="M55" s="81" t="s">
        <v>1087</v>
      </c>
      <c r="N55" s="81" t="s">
        <v>1088</v>
      </c>
      <c r="O55" s="81" t="s">
        <v>1089</v>
      </c>
      <c r="P55" s="81" t="s">
        <v>1090</v>
      </c>
      <c r="Q55" s="81"/>
      <c r="R55" s="81"/>
      <c r="S55" s="81"/>
      <c r="T55" s="81"/>
      <c r="U55" s="81"/>
      <c r="V55" s="81"/>
      <c r="W55" s="81"/>
      <c r="X55" s="81"/>
      <c r="Y55" s="81" t="s">
        <v>1091</v>
      </c>
      <c r="Z55" s="81"/>
      <c r="AA55" s="81"/>
      <c r="AB55" s="81"/>
      <c r="AC55" s="81"/>
      <c r="AD55" s="81"/>
      <c r="AE55" s="81"/>
      <c r="AF55" s="81"/>
      <c r="AG55" s="81"/>
      <c r="AH55" s="81"/>
      <c r="AI55" s="81"/>
      <c r="AJ55" s="82" t="s">
        <v>1092</v>
      </c>
    </row>
    <row r="56" spans="2:36" x14ac:dyDescent="0.2">
      <c r="B56" s="80" t="s">
        <v>1093</v>
      </c>
      <c r="C56" s="81" t="s">
        <v>1094</v>
      </c>
      <c r="D56" s="81" t="s">
        <v>1095</v>
      </c>
      <c r="E56" s="81" t="s">
        <v>1096</v>
      </c>
      <c r="F56" s="81" t="s">
        <v>1097</v>
      </c>
      <c r="G56" s="81" t="s">
        <v>1098</v>
      </c>
      <c r="H56" s="83" t="s">
        <v>1099</v>
      </c>
      <c r="I56" s="81" t="s">
        <v>1100</v>
      </c>
      <c r="J56" s="81" t="s">
        <v>1101</v>
      </c>
      <c r="K56" s="81" t="s">
        <v>1102</v>
      </c>
      <c r="L56" s="81" t="s">
        <v>1103</v>
      </c>
      <c r="M56" s="81" t="s">
        <v>1104</v>
      </c>
      <c r="N56" s="81" t="s">
        <v>1105</v>
      </c>
      <c r="O56" s="81" t="s">
        <v>1106</v>
      </c>
      <c r="P56" s="81" t="s">
        <v>1107</v>
      </c>
      <c r="Q56" s="81" t="s">
        <v>1108</v>
      </c>
      <c r="R56" s="81" t="s">
        <v>1109</v>
      </c>
      <c r="S56" s="81" t="s">
        <v>1110</v>
      </c>
      <c r="T56" s="81" t="s">
        <v>1111</v>
      </c>
      <c r="U56" s="81" t="s">
        <v>1112</v>
      </c>
      <c r="V56" s="81" t="s">
        <v>1113</v>
      </c>
      <c r="W56" s="81" t="s">
        <v>1114</v>
      </c>
      <c r="X56" s="81"/>
      <c r="Y56" s="81" t="s">
        <v>1115</v>
      </c>
      <c r="Z56" s="81" t="s">
        <v>1116</v>
      </c>
      <c r="AA56" s="81" t="s">
        <v>1117</v>
      </c>
      <c r="AB56" s="81" t="s">
        <v>1118</v>
      </c>
      <c r="AC56" s="81" t="s">
        <v>1119</v>
      </c>
      <c r="AD56" s="81" t="s">
        <v>1120</v>
      </c>
      <c r="AE56" s="81" t="s">
        <v>1121</v>
      </c>
      <c r="AF56" s="81" t="s">
        <v>1122</v>
      </c>
      <c r="AG56" s="81" t="s">
        <v>1123</v>
      </c>
      <c r="AH56" s="81" t="s">
        <v>1124</v>
      </c>
      <c r="AI56" s="81" t="s">
        <v>1125</v>
      </c>
      <c r="AJ56" s="82" t="s">
        <v>1126</v>
      </c>
    </row>
    <row r="57" spans="2:36" x14ac:dyDescent="0.2">
      <c r="B57" s="80" t="s">
        <v>1127</v>
      </c>
      <c r="C57" s="81" t="s">
        <v>1128</v>
      </c>
      <c r="D57" s="81"/>
      <c r="E57" s="81" t="s">
        <v>1129</v>
      </c>
      <c r="F57" s="81"/>
      <c r="G57" s="81"/>
      <c r="H57" s="81"/>
      <c r="I57" s="81"/>
      <c r="J57" s="81"/>
      <c r="K57" s="81"/>
      <c r="L57" s="81" t="s">
        <v>1130</v>
      </c>
      <c r="M57" s="81" t="s">
        <v>1131</v>
      </c>
      <c r="N57" s="81"/>
      <c r="O57" s="81" t="s">
        <v>1132</v>
      </c>
      <c r="P57" s="81" t="s">
        <v>1133</v>
      </c>
      <c r="Q57" s="81" t="s">
        <v>1134</v>
      </c>
      <c r="R57" s="81" t="s">
        <v>1135</v>
      </c>
      <c r="S57" s="81"/>
      <c r="T57" s="81"/>
      <c r="U57" s="81"/>
      <c r="V57" s="81"/>
      <c r="W57" s="81"/>
      <c r="X57" s="81"/>
      <c r="Y57" s="81"/>
      <c r="Z57" s="81"/>
      <c r="AA57" s="81"/>
      <c r="AB57" s="81"/>
      <c r="AC57" s="81"/>
      <c r="AD57" s="81"/>
      <c r="AE57" s="81"/>
      <c r="AF57" s="81"/>
      <c r="AG57" s="81"/>
      <c r="AH57" s="81"/>
      <c r="AI57" s="81"/>
      <c r="AJ57" s="82" t="s">
        <v>1136</v>
      </c>
    </row>
    <row r="58" spans="2:36" x14ac:dyDescent="0.2">
      <c r="B58" s="80" t="s">
        <v>1137</v>
      </c>
      <c r="C58" s="81" t="s">
        <v>1138</v>
      </c>
      <c r="D58" s="81" t="s">
        <v>1139</v>
      </c>
      <c r="E58" s="81" t="s">
        <v>1140</v>
      </c>
      <c r="F58" s="81" t="s">
        <v>1141</v>
      </c>
      <c r="G58" s="81" t="s">
        <v>1142</v>
      </c>
      <c r="H58" s="83" t="s">
        <v>1143</v>
      </c>
      <c r="I58" s="81" t="s">
        <v>1144</v>
      </c>
      <c r="J58" s="81" t="s">
        <v>1145</v>
      </c>
      <c r="K58" s="81" t="s">
        <v>1146</v>
      </c>
      <c r="L58" s="81" t="s">
        <v>1147</v>
      </c>
      <c r="M58" s="81" t="s">
        <v>1148</v>
      </c>
      <c r="N58" s="81" t="s">
        <v>1149</v>
      </c>
      <c r="O58" s="81" t="s">
        <v>1150</v>
      </c>
      <c r="P58" s="81" t="s">
        <v>1151</v>
      </c>
      <c r="Q58" s="81" t="s">
        <v>1152</v>
      </c>
      <c r="R58" s="81" t="s">
        <v>1153</v>
      </c>
      <c r="S58" s="81" t="s">
        <v>1154</v>
      </c>
      <c r="T58" s="81" t="s">
        <v>1155</v>
      </c>
      <c r="U58" s="81" t="s">
        <v>1156</v>
      </c>
      <c r="V58" s="81" t="s">
        <v>1157</v>
      </c>
      <c r="W58" s="81" t="s">
        <v>1158</v>
      </c>
      <c r="X58" s="81"/>
      <c r="Y58" s="81" t="s">
        <v>1159</v>
      </c>
      <c r="Z58" s="81" t="s">
        <v>1160</v>
      </c>
      <c r="AA58" s="81" t="s">
        <v>1161</v>
      </c>
      <c r="AB58" s="81" t="s">
        <v>1162</v>
      </c>
      <c r="AC58" s="81" t="s">
        <v>1163</v>
      </c>
      <c r="AD58" s="81" t="s">
        <v>1164</v>
      </c>
      <c r="AE58" s="81" t="s">
        <v>1165</v>
      </c>
      <c r="AF58" s="81" t="s">
        <v>1166</v>
      </c>
      <c r="AG58" s="81" t="s">
        <v>1167</v>
      </c>
      <c r="AH58" s="81" t="s">
        <v>1168</v>
      </c>
      <c r="AI58" s="81" t="s">
        <v>1169</v>
      </c>
      <c r="AJ58" s="82" t="s">
        <v>1170</v>
      </c>
    </row>
    <row r="59" spans="2:36" x14ac:dyDescent="0.2">
      <c r="B59" s="80" t="s">
        <v>1171</v>
      </c>
      <c r="C59" s="81" t="s">
        <v>1172</v>
      </c>
      <c r="D59" s="81"/>
      <c r="E59" s="81" t="s">
        <v>1173</v>
      </c>
      <c r="F59" s="81"/>
      <c r="G59" s="81"/>
      <c r="H59" s="81"/>
      <c r="I59" s="81"/>
      <c r="J59" s="81"/>
      <c r="K59" s="81" t="s">
        <v>1174</v>
      </c>
      <c r="L59" s="81" t="s">
        <v>1175</v>
      </c>
      <c r="M59" s="81" t="s">
        <v>1176</v>
      </c>
      <c r="N59" s="81" t="s">
        <v>1177</v>
      </c>
      <c r="O59" s="81" t="s">
        <v>1178</v>
      </c>
      <c r="P59" s="81" t="s">
        <v>1179</v>
      </c>
      <c r="Q59" s="81"/>
      <c r="R59" s="81"/>
      <c r="S59" s="81" t="s">
        <v>1180</v>
      </c>
      <c r="T59" s="81" t="s">
        <v>1181</v>
      </c>
      <c r="U59" s="81"/>
      <c r="V59" s="81"/>
      <c r="W59" s="81"/>
      <c r="X59" s="81"/>
      <c r="Y59" s="81"/>
      <c r="Z59" s="81"/>
      <c r="AA59" s="81"/>
      <c r="AB59" s="81"/>
      <c r="AC59" s="81"/>
      <c r="AD59" s="81"/>
      <c r="AE59" s="81"/>
      <c r="AF59" s="81"/>
      <c r="AG59" s="81"/>
      <c r="AH59" s="81"/>
      <c r="AI59" s="81"/>
      <c r="AJ59" s="82" t="s">
        <v>1182</v>
      </c>
    </row>
    <row r="60" spans="2:36" x14ac:dyDescent="0.2">
      <c r="B60" s="80" t="s">
        <v>1183</v>
      </c>
      <c r="C60" s="81" t="s">
        <v>1184</v>
      </c>
      <c r="D60" s="81" t="s">
        <v>1185</v>
      </c>
      <c r="E60" s="81" t="s">
        <v>1186</v>
      </c>
      <c r="F60" s="81" t="s">
        <v>1187</v>
      </c>
      <c r="G60" s="81" t="s">
        <v>1188</v>
      </c>
      <c r="H60" s="83" t="s">
        <v>1189</v>
      </c>
      <c r="I60" s="81" t="s">
        <v>1190</v>
      </c>
      <c r="J60" s="81" t="s">
        <v>1191</v>
      </c>
      <c r="K60" s="81"/>
      <c r="L60" s="81"/>
      <c r="M60" s="81"/>
      <c r="N60" s="81"/>
      <c r="O60" s="81" t="s">
        <v>1192</v>
      </c>
      <c r="P60" s="81" t="s">
        <v>1193</v>
      </c>
      <c r="Q60" s="81"/>
      <c r="R60" s="81"/>
      <c r="S60" s="81"/>
      <c r="T60" s="81"/>
      <c r="U60" s="81"/>
      <c r="V60" s="81"/>
      <c r="W60" s="81"/>
      <c r="X60" s="81"/>
      <c r="Y60" s="81"/>
      <c r="Z60" s="81"/>
      <c r="AA60" s="81"/>
      <c r="AB60" s="81"/>
      <c r="AC60" s="81"/>
      <c r="AD60" s="81"/>
      <c r="AE60" s="81"/>
      <c r="AF60" s="81"/>
      <c r="AG60" s="81"/>
      <c r="AH60" s="81"/>
      <c r="AI60" s="81"/>
      <c r="AJ60" s="82" t="s">
        <v>1194</v>
      </c>
    </row>
    <row r="61" spans="2:36" x14ac:dyDescent="0.2">
      <c r="B61" s="80" t="s">
        <v>1195</v>
      </c>
      <c r="C61" s="81" t="s">
        <v>1196</v>
      </c>
      <c r="D61" s="81" t="s">
        <v>1197</v>
      </c>
      <c r="E61" s="81" t="s">
        <v>1198</v>
      </c>
      <c r="F61" s="81" t="s">
        <v>1199</v>
      </c>
      <c r="G61" s="81" t="s">
        <v>1200</v>
      </c>
      <c r="H61" s="83" t="s">
        <v>1201</v>
      </c>
      <c r="I61" s="81" t="s">
        <v>1202</v>
      </c>
      <c r="J61" s="81" t="s">
        <v>1203</v>
      </c>
      <c r="K61" s="81"/>
      <c r="L61" s="81"/>
      <c r="M61" s="81" t="s">
        <v>1204</v>
      </c>
      <c r="N61" s="81"/>
      <c r="O61" s="81" t="s">
        <v>1205</v>
      </c>
      <c r="P61" s="81" t="s">
        <v>1206</v>
      </c>
      <c r="Q61" s="81"/>
      <c r="R61" s="81"/>
      <c r="S61" s="81"/>
      <c r="T61" s="81"/>
      <c r="U61" s="81"/>
      <c r="V61" s="81"/>
      <c r="W61" s="81"/>
      <c r="X61" s="81"/>
      <c r="Y61" s="81"/>
      <c r="Z61" s="81"/>
      <c r="AA61" s="81"/>
      <c r="AB61" s="81"/>
      <c r="AC61" s="81"/>
      <c r="AD61" s="81"/>
      <c r="AE61" s="81"/>
      <c r="AF61" s="81"/>
      <c r="AG61" s="81"/>
      <c r="AH61" s="81"/>
      <c r="AI61" s="81"/>
      <c r="AJ61" s="82" t="s">
        <v>1207</v>
      </c>
    </row>
    <row r="62" spans="2:36" x14ac:dyDescent="0.2">
      <c r="B62" s="80" t="s">
        <v>1208</v>
      </c>
      <c r="C62" s="81" t="s">
        <v>1209</v>
      </c>
      <c r="D62" s="81"/>
      <c r="E62" s="81" t="s">
        <v>1210</v>
      </c>
      <c r="F62" s="81"/>
      <c r="G62" s="81"/>
      <c r="H62" s="81"/>
      <c r="I62" s="81"/>
      <c r="J62" s="81"/>
      <c r="K62" s="81" t="s">
        <v>1211</v>
      </c>
      <c r="L62" s="81" t="s">
        <v>1212</v>
      </c>
      <c r="M62" s="81" t="s">
        <v>1213</v>
      </c>
      <c r="N62" s="81" t="s">
        <v>1214</v>
      </c>
      <c r="O62" s="81" t="s">
        <v>1215</v>
      </c>
      <c r="P62" s="81" t="s">
        <v>1216</v>
      </c>
      <c r="Q62" s="81"/>
      <c r="R62" s="81"/>
      <c r="S62" s="81"/>
      <c r="T62" s="81"/>
      <c r="U62" s="81"/>
      <c r="V62" s="81"/>
      <c r="W62" s="81"/>
      <c r="X62" s="81"/>
      <c r="Y62" s="81"/>
      <c r="Z62" s="81"/>
      <c r="AA62" s="81"/>
      <c r="AB62" s="81"/>
      <c r="AC62" s="81"/>
      <c r="AD62" s="81"/>
      <c r="AE62" s="81"/>
      <c r="AF62" s="81"/>
      <c r="AG62" s="81"/>
      <c r="AH62" s="81"/>
      <c r="AI62" s="81"/>
      <c r="AJ62" s="82" t="s">
        <v>1217</v>
      </c>
    </row>
    <row r="63" spans="2:36" x14ac:dyDescent="0.2">
      <c r="B63" s="80" t="s">
        <v>1218</v>
      </c>
      <c r="C63" s="81" t="s">
        <v>1219</v>
      </c>
      <c r="D63" s="81" t="s">
        <v>1220</v>
      </c>
      <c r="E63" s="81" t="s">
        <v>1221</v>
      </c>
      <c r="F63" s="81" t="s">
        <v>1222</v>
      </c>
      <c r="G63" s="81" t="s">
        <v>1223</v>
      </c>
      <c r="H63" s="83" t="s">
        <v>1224</v>
      </c>
      <c r="I63" s="81" t="s">
        <v>1225</v>
      </c>
      <c r="J63" s="81" t="s">
        <v>1226</v>
      </c>
      <c r="K63" s="81" t="s">
        <v>1227</v>
      </c>
      <c r="L63" s="81" t="s">
        <v>1228</v>
      </c>
      <c r="M63" s="81" t="s">
        <v>1229</v>
      </c>
      <c r="N63" s="81" t="s">
        <v>1230</v>
      </c>
      <c r="O63" s="81" t="s">
        <v>1231</v>
      </c>
      <c r="P63" s="81" t="s">
        <v>1232</v>
      </c>
      <c r="Q63" s="81" t="s">
        <v>1233</v>
      </c>
      <c r="R63" s="81" t="s">
        <v>1234</v>
      </c>
      <c r="S63" s="81"/>
      <c r="T63" s="81"/>
      <c r="U63" s="81" t="s">
        <v>1235</v>
      </c>
      <c r="V63" s="81" t="s">
        <v>1236</v>
      </c>
      <c r="W63" s="81" t="s">
        <v>1237</v>
      </c>
      <c r="X63" s="81" t="s">
        <v>1238</v>
      </c>
      <c r="Y63" s="81" t="s">
        <v>1239</v>
      </c>
      <c r="Z63" s="81" t="s">
        <v>1240</v>
      </c>
      <c r="AA63" s="81" t="s">
        <v>1241</v>
      </c>
      <c r="AB63" s="81" t="s">
        <v>1242</v>
      </c>
      <c r="AC63" s="81" t="s">
        <v>1243</v>
      </c>
      <c r="AD63" s="81" t="s">
        <v>1244</v>
      </c>
      <c r="AE63" s="81" t="s">
        <v>1245</v>
      </c>
      <c r="AF63" s="81" t="s">
        <v>1246</v>
      </c>
      <c r="AG63" s="81" t="s">
        <v>1247</v>
      </c>
      <c r="AH63" s="81" t="s">
        <v>1248</v>
      </c>
      <c r="AI63" s="81" t="s">
        <v>1249</v>
      </c>
      <c r="AJ63" s="82" t="s">
        <v>1250</v>
      </c>
    </row>
    <row r="64" spans="2:36" x14ac:dyDescent="0.2">
      <c r="B64" s="80" t="s">
        <v>1251</v>
      </c>
      <c r="C64" s="81" t="s">
        <v>1252</v>
      </c>
      <c r="D64" s="81" t="s">
        <v>1253</v>
      </c>
      <c r="E64" s="81" t="s">
        <v>1254</v>
      </c>
      <c r="F64" s="81" t="s">
        <v>1255</v>
      </c>
      <c r="G64" s="81" t="s">
        <v>1256</v>
      </c>
      <c r="H64" s="83" t="s">
        <v>1257</v>
      </c>
      <c r="I64" s="81" t="s">
        <v>1258</v>
      </c>
      <c r="J64" s="81" t="s">
        <v>1259</v>
      </c>
      <c r="K64" s="81" t="s">
        <v>1260</v>
      </c>
      <c r="L64" s="81" t="s">
        <v>1261</v>
      </c>
      <c r="M64" s="81" t="s">
        <v>1262</v>
      </c>
      <c r="N64" s="81" t="s">
        <v>1263</v>
      </c>
      <c r="O64" s="81" t="s">
        <v>1264</v>
      </c>
      <c r="P64" s="81" t="s">
        <v>1265</v>
      </c>
      <c r="Q64" s="81" t="s">
        <v>1266</v>
      </c>
      <c r="R64" s="81" t="s">
        <v>1267</v>
      </c>
      <c r="S64" s="81" t="s">
        <v>1268</v>
      </c>
      <c r="T64" s="81" t="s">
        <v>1269</v>
      </c>
      <c r="U64" s="81"/>
      <c r="V64" s="81"/>
      <c r="W64" s="81"/>
      <c r="X64" s="81"/>
      <c r="Y64" s="81" t="s">
        <v>1270</v>
      </c>
      <c r="Z64" s="81" t="s">
        <v>1271</v>
      </c>
      <c r="AA64" s="81" t="s">
        <v>1272</v>
      </c>
      <c r="AB64" s="81" t="s">
        <v>1273</v>
      </c>
      <c r="AC64" s="81" t="s">
        <v>1274</v>
      </c>
      <c r="AD64" s="81" t="s">
        <v>1275</v>
      </c>
      <c r="AE64" s="81" t="s">
        <v>1276</v>
      </c>
      <c r="AF64" s="81" t="s">
        <v>1277</v>
      </c>
      <c r="AG64" s="81" t="s">
        <v>1278</v>
      </c>
      <c r="AH64" s="81" t="s">
        <v>1279</v>
      </c>
      <c r="AI64" s="81" t="s">
        <v>1280</v>
      </c>
      <c r="AJ64" s="82" t="s">
        <v>1281</v>
      </c>
    </row>
    <row r="65" spans="2:36" x14ac:dyDescent="0.2">
      <c r="B65" s="80" t="s">
        <v>1282</v>
      </c>
      <c r="C65" s="81" t="s">
        <v>1283</v>
      </c>
      <c r="D65" s="81" t="s">
        <v>1284</v>
      </c>
      <c r="E65" s="81" t="s">
        <v>1285</v>
      </c>
      <c r="F65" s="81" t="s">
        <v>1286</v>
      </c>
      <c r="G65" s="81" t="s">
        <v>1287</v>
      </c>
      <c r="H65" s="83" t="s">
        <v>1288</v>
      </c>
      <c r="I65" s="81" t="s">
        <v>1289</v>
      </c>
      <c r="J65" s="81" t="s">
        <v>1290</v>
      </c>
      <c r="K65" s="81"/>
      <c r="L65" s="81" t="s">
        <v>1291</v>
      </c>
      <c r="M65" s="81" t="s">
        <v>1292</v>
      </c>
      <c r="N65" s="81" t="s">
        <v>1293</v>
      </c>
      <c r="O65" s="81" t="s">
        <v>1294</v>
      </c>
      <c r="P65" s="81" t="s">
        <v>1295</v>
      </c>
      <c r="Q65" s="81" t="s">
        <v>1296</v>
      </c>
      <c r="R65" s="81" t="s">
        <v>1297</v>
      </c>
      <c r="S65" s="81" t="s">
        <v>1298</v>
      </c>
      <c r="T65" s="81" t="s">
        <v>1299</v>
      </c>
      <c r="U65" s="81" t="s">
        <v>1300</v>
      </c>
      <c r="V65" s="81" t="s">
        <v>1301</v>
      </c>
      <c r="W65" s="81" t="s">
        <v>1302</v>
      </c>
      <c r="X65" s="81" t="s">
        <v>1303</v>
      </c>
      <c r="Y65" s="81" t="s">
        <v>1304</v>
      </c>
      <c r="Z65" s="81" t="s">
        <v>1305</v>
      </c>
      <c r="AA65" s="81" t="s">
        <v>1306</v>
      </c>
      <c r="AB65" s="81" t="s">
        <v>1307</v>
      </c>
      <c r="AC65" s="81"/>
      <c r="AD65" s="81" t="s">
        <v>1308</v>
      </c>
      <c r="AE65" s="81" t="s">
        <v>1309</v>
      </c>
      <c r="AF65" s="81" t="s">
        <v>1310</v>
      </c>
      <c r="AG65" s="81" t="s">
        <v>1311</v>
      </c>
      <c r="AH65" s="81" t="s">
        <v>1312</v>
      </c>
      <c r="AI65" s="81" t="s">
        <v>1313</v>
      </c>
      <c r="AJ65" s="82" t="s">
        <v>1314</v>
      </c>
    </row>
    <row r="66" spans="2:36" x14ac:dyDescent="0.2">
      <c r="B66" s="80" t="s">
        <v>1315</v>
      </c>
      <c r="C66" s="81" t="s">
        <v>1316</v>
      </c>
      <c r="D66" s="81" t="s">
        <v>1317</v>
      </c>
      <c r="E66" s="81" t="s">
        <v>1318</v>
      </c>
      <c r="F66" s="81" t="s">
        <v>1319</v>
      </c>
      <c r="G66" s="81" t="s">
        <v>1320</v>
      </c>
      <c r="H66" s="83" t="s">
        <v>1321</v>
      </c>
      <c r="I66" s="81" t="s">
        <v>1322</v>
      </c>
      <c r="J66" s="81" t="s">
        <v>1323</v>
      </c>
      <c r="K66" s="81"/>
      <c r="L66" s="81" t="s">
        <v>1324</v>
      </c>
      <c r="M66" s="81" t="s">
        <v>1325</v>
      </c>
      <c r="N66" s="81" t="s">
        <v>1326</v>
      </c>
      <c r="O66" s="81" t="s">
        <v>1327</v>
      </c>
      <c r="P66" s="81" t="s">
        <v>1328</v>
      </c>
      <c r="Q66" s="81" t="s">
        <v>1329</v>
      </c>
      <c r="R66" s="81" t="s">
        <v>1330</v>
      </c>
      <c r="S66" s="81"/>
      <c r="T66" s="81"/>
      <c r="U66" s="81" t="s">
        <v>1331</v>
      </c>
      <c r="V66" s="81" t="s">
        <v>1332</v>
      </c>
      <c r="W66" s="81" t="s">
        <v>1333</v>
      </c>
      <c r="X66" s="81"/>
      <c r="Y66" s="81"/>
      <c r="Z66" s="81"/>
      <c r="AA66" s="81"/>
      <c r="AB66" s="81"/>
      <c r="AC66" s="81" t="s">
        <v>1334</v>
      </c>
      <c r="AD66" s="81" t="s">
        <v>1335</v>
      </c>
      <c r="AE66" s="81" t="s">
        <v>1336</v>
      </c>
      <c r="AF66" s="81" t="s">
        <v>1337</v>
      </c>
      <c r="AG66" s="81" t="s">
        <v>1338</v>
      </c>
      <c r="AH66" s="81" t="s">
        <v>1339</v>
      </c>
      <c r="AI66" s="81" t="s">
        <v>1340</v>
      </c>
      <c r="AJ66" s="82" t="s">
        <v>1341</v>
      </c>
    </row>
    <row r="67" spans="2:36" x14ac:dyDescent="0.2">
      <c r="B67" s="80" t="s">
        <v>1342</v>
      </c>
      <c r="C67" s="81" t="s">
        <v>1343</v>
      </c>
      <c r="D67" s="81" t="s">
        <v>1344</v>
      </c>
      <c r="E67" s="81" t="s">
        <v>1345</v>
      </c>
      <c r="F67" s="81" t="s">
        <v>1346</v>
      </c>
      <c r="G67" s="81" t="s">
        <v>1347</v>
      </c>
      <c r="H67" s="83" t="s">
        <v>1348</v>
      </c>
      <c r="I67" s="81" t="s">
        <v>1349</v>
      </c>
      <c r="J67" s="81" t="s">
        <v>1350</v>
      </c>
      <c r="K67" s="81" t="s">
        <v>1351</v>
      </c>
      <c r="L67" s="81" t="s">
        <v>1352</v>
      </c>
      <c r="M67" s="81" t="s">
        <v>1353</v>
      </c>
      <c r="N67" s="81"/>
      <c r="O67" s="81" t="s">
        <v>1354</v>
      </c>
      <c r="P67" s="81" t="s">
        <v>1355</v>
      </c>
      <c r="Q67" s="81" t="s">
        <v>1356</v>
      </c>
      <c r="R67" s="81" t="s">
        <v>1357</v>
      </c>
      <c r="S67" s="81" t="s">
        <v>1358</v>
      </c>
      <c r="T67" s="81" t="s">
        <v>1359</v>
      </c>
      <c r="U67" s="81" t="s">
        <v>1360</v>
      </c>
      <c r="V67" s="81" t="s">
        <v>1361</v>
      </c>
      <c r="W67" s="81" t="s">
        <v>1362</v>
      </c>
      <c r="X67" s="81" t="s">
        <v>1363</v>
      </c>
      <c r="Y67" s="81" t="s">
        <v>1364</v>
      </c>
      <c r="Z67" s="81" t="s">
        <v>1365</v>
      </c>
      <c r="AA67" s="81"/>
      <c r="AB67" s="81"/>
      <c r="AC67" s="81" t="s">
        <v>1366</v>
      </c>
      <c r="AD67" s="81" t="s">
        <v>1367</v>
      </c>
      <c r="AE67" s="81" t="s">
        <v>1368</v>
      </c>
      <c r="AF67" s="81" t="s">
        <v>1369</v>
      </c>
      <c r="AG67" s="81" t="s">
        <v>1370</v>
      </c>
      <c r="AH67" s="81" t="s">
        <v>1371</v>
      </c>
      <c r="AI67" s="81" t="s">
        <v>1372</v>
      </c>
      <c r="AJ67" s="82" t="s">
        <v>1373</v>
      </c>
    </row>
    <row r="68" spans="2:36" x14ac:dyDescent="0.2">
      <c r="B68" s="80" t="s">
        <v>1374</v>
      </c>
      <c r="C68" s="81" t="s">
        <v>1375</v>
      </c>
      <c r="D68" s="81"/>
      <c r="E68" s="81" t="s">
        <v>1376</v>
      </c>
      <c r="F68" s="81"/>
      <c r="G68" s="81"/>
      <c r="H68" s="81"/>
      <c r="I68" s="81"/>
      <c r="J68" s="81"/>
      <c r="K68" s="81"/>
      <c r="L68" s="81"/>
      <c r="M68" s="81"/>
      <c r="N68" s="81"/>
      <c r="O68" s="81" t="s">
        <v>1377</v>
      </c>
      <c r="P68" s="81" t="s">
        <v>1378</v>
      </c>
      <c r="Q68" s="81" t="s">
        <v>1379</v>
      </c>
      <c r="R68" s="81" t="s">
        <v>1380</v>
      </c>
      <c r="S68" s="81"/>
      <c r="T68" s="81"/>
      <c r="U68" s="81"/>
      <c r="V68" s="81"/>
      <c r="W68" s="81"/>
      <c r="X68" s="81"/>
      <c r="Y68" s="81"/>
      <c r="Z68" s="81"/>
      <c r="AA68" s="81"/>
      <c r="AB68" s="81"/>
      <c r="AC68" s="81"/>
      <c r="AD68" s="81"/>
      <c r="AE68" s="81"/>
      <c r="AF68" s="81"/>
      <c r="AG68" s="81"/>
      <c r="AH68" s="81"/>
      <c r="AI68" s="81"/>
      <c r="AJ68" s="82"/>
    </row>
    <row r="69" spans="2:36" x14ac:dyDescent="0.2">
      <c r="B69" s="80" t="s">
        <v>1381</v>
      </c>
      <c r="C69" s="81" t="s">
        <v>1382</v>
      </c>
      <c r="D69" s="81" t="s">
        <v>1383</v>
      </c>
      <c r="E69" s="81" t="s">
        <v>1384</v>
      </c>
      <c r="F69" s="81"/>
      <c r="G69" s="81"/>
      <c r="H69" s="81"/>
      <c r="I69" s="81"/>
      <c r="J69" s="81"/>
      <c r="K69" s="81" t="s">
        <v>1385</v>
      </c>
      <c r="L69" s="81" t="s">
        <v>1386</v>
      </c>
      <c r="M69" s="81" t="s">
        <v>1387</v>
      </c>
      <c r="N69" s="81"/>
      <c r="O69" s="81" t="s">
        <v>1388</v>
      </c>
      <c r="P69" s="81" t="s">
        <v>1389</v>
      </c>
      <c r="Q69" s="81"/>
      <c r="R69" s="81"/>
      <c r="S69" s="81"/>
      <c r="T69" s="81"/>
      <c r="U69" s="81"/>
      <c r="V69" s="81"/>
      <c r="W69" s="81"/>
      <c r="X69" s="81"/>
      <c r="Y69" s="81"/>
      <c r="Z69" s="81"/>
      <c r="AA69" s="81"/>
      <c r="AB69" s="81"/>
      <c r="AC69" s="81"/>
      <c r="AD69" s="81"/>
      <c r="AE69" s="81"/>
      <c r="AF69" s="81"/>
      <c r="AG69" s="81"/>
      <c r="AH69" s="81"/>
      <c r="AI69" s="81"/>
      <c r="AJ69" s="82" t="s">
        <v>1390</v>
      </c>
    </row>
    <row r="70" spans="2:36" x14ac:dyDescent="0.2">
      <c r="B70" s="80" t="s">
        <v>1391</v>
      </c>
      <c r="C70" s="81" t="s">
        <v>1392</v>
      </c>
      <c r="D70" s="81" t="s">
        <v>1393</v>
      </c>
      <c r="E70" s="81" t="s">
        <v>1394</v>
      </c>
      <c r="F70" s="81" t="s">
        <v>1395</v>
      </c>
      <c r="G70" s="81" t="s">
        <v>1396</v>
      </c>
      <c r="H70" s="83" t="s">
        <v>1397</v>
      </c>
      <c r="I70" s="81" t="s">
        <v>1398</v>
      </c>
      <c r="J70" s="81" t="s">
        <v>1399</v>
      </c>
      <c r="K70" s="81"/>
      <c r="L70" s="81" t="s">
        <v>1400</v>
      </c>
      <c r="M70" s="81" t="s">
        <v>1401</v>
      </c>
      <c r="N70" s="81" t="s">
        <v>1402</v>
      </c>
      <c r="O70" s="81" t="s">
        <v>1403</v>
      </c>
      <c r="P70" s="81" t="s">
        <v>1404</v>
      </c>
      <c r="Q70" s="81" t="s">
        <v>1405</v>
      </c>
      <c r="R70" s="81" t="s">
        <v>1406</v>
      </c>
      <c r="S70" s="81" t="s">
        <v>1407</v>
      </c>
      <c r="T70" s="81" t="s">
        <v>1408</v>
      </c>
      <c r="U70" s="81" t="s">
        <v>1409</v>
      </c>
      <c r="V70" s="81" t="s">
        <v>1410</v>
      </c>
      <c r="W70" s="81" t="s">
        <v>1411</v>
      </c>
      <c r="X70" s="81" t="s">
        <v>1412</v>
      </c>
      <c r="Y70" s="81" t="s">
        <v>1413</v>
      </c>
      <c r="Z70" s="81" t="s">
        <v>1414</v>
      </c>
      <c r="AA70" s="81" t="s">
        <v>1415</v>
      </c>
      <c r="AB70" s="81" t="s">
        <v>1416</v>
      </c>
      <c r="AC70" s="81" t="s">
        <v>1417</v>
      </c>
      <c r="AD70" s="81" t="s">
        <v>1418</v>
      </c>
      <c r="AE70" s="81" t="s">
        <v>1419</v>
      </c>
      <c r="AF70" s="81" t="s">
        <v>1420</v>
      </c>
      <c r="AG70" s="81" t="s">
        <v>1421</v>
      </c>
      <c r="AH70" s="81" t="s">
        <v>1422</v>
      </c>
      <c r="AI70" s="81" t="s">
        <v>1423</v>
      </c>
      <c r="AJ70" s="82" t="s">
        <v>1424</v>
      </c>
    </row>
    <row r="71" spans="2:36" x14ac:dyDescent="0.2">
      <c r="B71" s="80" t="s">
        <v>1425</v>
      </c>
      <c r="C71" s="81" t="s">
        <v>1426</v>
      </c>
      <c r="D71" s="81" t="s">
        <v>1427</v>
      </c>
      <c r="E71" s="81" t="s">
        <v>1428</v>
      </c>
      <c r="F71" s="81" t="s">
        <v>1429</v>
      </c>
      <c r="G71" s="81" t="s">
        <v>1430</v>
      </c>
      <c r="H71" s="83" t="s">
        <v>1431</v>
      </c>
      <c r="I71" s="81" t="s">
        <v>1432</v>
      </c>
      <c r="J71" s="81" t="s">
        <v>1433</v>
      </c>
      <c r="K71" s="81"/>
      <c r="L71" s="81" t="s">
        <v>1434</v>
      </c>
      <c r="M71" s="81" t="s">
        <v>1435</v>
      </c>
      <c r="N71" s="81" t="s">
        <v>1436</v>
      </c>
      <c r="O71" s="81" t="s">
        <v>1437</v>
      </c>
      <c r="P71" s="81" t="s">
        <v>1438</v>
      </c>
      <c r="Q71" s="81" t="s">
        <v>1439</v>
      </c>
      <c r="R71" s="81" t="s">
        <v>1440</v>
      </c>
      <c r="S71" s="81" t="s">
        <v>1441</v>
      </c>
      <c r="T71" s="81" t="s">
        <v>1442</v>
      </c>
      <c r="U71" s="81" t="s">
        <v>1443</v>
      </c>
      <c r="V71" s="81" t="s">
        <v>1444</v>
      </c>
      <c r="W71" s="81" t="s">
        <v>1445</v>
      </c>
      <c r="X71" s="81" t="s">
        <v>1446</v>
      </c>
      <c r="Y71" s="81" t="s">
        <v>1447</v>
      </c>
      <c r="Z71" s="81" t="s">
        <v>1448</v>
      </c>
      <c r="AA71" s="81" t="s">
        <v>1449</v>
      </c>
      <c r="AB71" s="81" t="s">
        <v>1450</v>
      </c>
      <c r="AC71" s="81" t="s">
        <v>1451</v>
      </c>
      <c r="AD71" s="81" t="s">
        <v>1452</v>
      </c>
      <c r="AE71" s="81" t="s">
        <v>1453</v>
      </c>
      <c r="AF71" s="81" t="s">
        <v>1454</v>
      </c>
      <c r="AG71" s="81" t="s">
        <v>1455</v>
      </c>
      <c r="AH71" s="81" t="s">
        <v>1456</v>
      </c>
      <c r="AI71" s="81" t="s">
        <v>1457</v>
      </c>
      <c r="AJ71" s="82" t="s">
        <v>1458</v>
      </c>
    </row>
    <row r="72" spans="2:36" x14ac:dyDescent="0.2">
      <c r="B72" s="80" t="s">
        <v>1459</v>
      </c>
      <c r="C72" s="81" t="s">
        <v>1460</v>
      </c>
      <c r="D72" s="81" t="s">
        <v>1461</v>
      </c>
      <c r="E72" s="81" t="s">
        <v>1462</v>
      </c>
      <c r="F72" s="81" t="s">
        <v>1463</v>
      </c>
      <c r="G72" s="81" t="s">
        <v>1464</v>
      </c>
      <c r="H72" s="83" t="s">
        <v>1465</v>
      </c>
      <c r="I72" s="81" t="s">
        <v>1466</v>
      </c>
      <c r="J72" s="81" t="s">
        <v>1467</v>
      </c>
      <c r="K72" s="81"/>
      <c r="L72" s="81" t="s">
        <v>1468</v>
      </c>
      <c r="M72" s="81" t="s">
        <v>1469</v>
      </c>
      <c r="N72" s="81" t="s">
        <v>1470</v>
      </c>
      <c r="O72" s="81" t="s">
        <v>1471</v>
      </c>
      <c r="P72" s="81" t="s">
        <v>1472</v>
      </c>
      <c r="Q72" s="81" t="s">
        <v>1473</v>
      </c>
      <c r="R72" s="81" t="s">
        <v>1474</v>
      </c>
      <c r="S72" s="81" t="s">
        <v>1475</v>
      </c>
      <c r="T72" s="81" t="s">
        <v>1476</v>
      </c>
      <c r="U72" s="81" t="s">
        <v>1477</v>
      </c>
      <c r="V72" s="81" t="s">
        <v>1478</v>
      </c>
      <c r="W72" s="81" t="s">
        <v>1479</v>
      </c>
      <c r="X72" s="81"/>
      <c r="Y72" s="81" t="s">
        <v>1480</v>
      </c>
      <c r="Z72" s="81" t="s">
        <v>1481</v>
      </c>
      <c r="AA72" s="81" t="s">
        <v>1482</v>
      </c>
      <c r="AB72" s="81" t="s">
        <v>1483</v>
      </c>
      <c r="AC72" s="81" t="s">
        <v>1484</v>
      </c>
      <c r="AD72" s="81" t="s">
        <v>1485</v>
      </c>
      <c r="AE72" s="81" t="s">
        <v>1486</v>
      </c>
      <c r="AF72" s="81" t="s">
        <v>1487</v>
      </c>
      <c r="AG72" s="81" t="s">
        <v>1488</v>
      </c>
      <c r="AH72" s="81" t="s">
        <v>1489</v>
      </c>
      <c r="AI72" s="81" t="s">
        <v>1490</v>
      </c>
      <c r="AJ72" s="82" t="s">
        <v>1491</v>
      </c>
    </row>
    <row r="73" spans="2:36" x14ac:dyDescent="0.2">
      <c r="B73" s="80" t="s">
        <v>1492</v>
      </c>
      <c r="C73" s="81" t="s">
        <v>1493</v>
      </c>
      <c r="D73" s="81" t="s">
        <v>1494</v>
      </c>
      <c r="E73" s="81" t="s">
        <v>1495</v>
      </c>
      <c r="F73" s="81" t="s">
        <v>1496</v>
      </c>
      <c r="G73" s="81" t="s">
        <v>1497</v>
      </c>
      <c r="H73" s="83" t="s">
        <v>1498</v>
      </c>
      <c r="I73" s="81" t="s">
        <v>1499</v>
      </c>
      <c r="J73" s="81" t="s">
        <v>1500</v>
      </c>
      <c r="K73" s="81" t="s">
        <v>1501</v>
      </c>
      <c r="L73" s="81" t="s">
        <v>1502</v>
      </c>
      <c r="M73" s="81" t="s">
        <v>1503</v>
      </c>
      <c r="N73" s="81" t="s">
        <v>1504</v>
      </c>
      <c r="O73" s="81" t="s">
        <v>1505</v>
      </c>
      <c r="P73" s="81" t="s">
        <v>1506</v>
      </c>
      <c r="Q73" s="81" t="s">
        <v>1507</v>
      </c>
      <c r="R73" s="81" t="s">
        <v>1508</v>
      </c>
      <c r="S73" s="81" t="s">
        <v>1509</v>
      </c>
      <c r="T73" s="81" t="s">
        <v>1510</v>
      </c>
      <c r="U73" s="81" t="s">
        <v>1511</v>
      </c>
      <c r="V73" s="81" t="s">
        <v>1512</v>
      </c>
      <c r="W73" s="81" t="s">
        <v>1513</v>
      </c>
      <c r="X73" s="81" t="s">
        <v>1514</v>
      </c>
      <c r="Y73" s="81" t="s">
        <v>1515</v>
      </c>
      <c r="Z73" s="81" t="s">
        <v>1516</v>
      </c>
      <c r="AA73" s="81" t="s">
        <v>1517</v>
      </c>
      <c r="AB73" s="81" t="s">
        <v>1518</v>
      </c>
      <c r="AC73" s="81" t="s">
        <v>1519</v>
      </c>
      <c r="AD73" s="81" t="s">
        <v>1520</v>
      </c>
      <c r="AE73" s="81" t="s">
        <v>1521</v>
      </c>
      <c r="AF73" s="81" t="s">
        <v>1522</v>
      </c>
      <c r="AG73" s="81" t="s">
        <v>1523</v>
      </c>
      <c r="AH73" s="81" t="s">
        <v>1524</v>
      </c>
      <c r="AI73" s="81" t="s">
        <v>1525</v>
      </c>
      <c r="AJ73" s="82" t="s">
        <v>1526</v>
      </c>
    </row>
    <row r="74" spans="2:36" x14ac:dyDescent="0.2">
      <c r="B74" s="80" t="s">
        <v>1527</v>
      </c>
      <c r="C74" s="81" t="s">
        <v>1528</v>
      </c>
      <c r="D74" s="81" t="s">
        <v>1529</v>
      </c>
      <c r="E74" s="81" t="s">
        <v>1530</v>
      </c>
      <c r="F74" s="81" t="s">
        <v>1531</v>
      </c>
      <c r="G74" s="81" t="s">
        <v>1532</v>
      </c>
      <c r="H74" s="83" t="s">
        <v>1533</v>
      </c>
      <c r="I74" s="81" t="s">
        <v>1534</v>
      </c>
      <c r="J74" s="81" t="s">
        <v>1535</v>
      </c>
      <c r="K74" s="81"/>
      <c r="L74" s="81" t="s">
        <v>1536</v>
      </c>
      <c r="M74" s="81" t="s">
        <v>1537</v>
      </c>
      <c r="N74" s="81"/>
      <c r="O74" s="81" t="s">
        <v>1538</v>
      </c>
      <c r="P74" s="81" t="s">
        <v>1539</v>
      </c>
      <c r="Q74" s="81" t="s">
        <v>1540</v>
      </c>
      <c r="R74" s="81" t="s">
        <v>1541</v>
      </c>
      <c r="S74" s="81"/>
      <c r="T74" s="81"/>
      <c r="U74" s="81" t="s">
        <v>1542</v>
      </c>
      <c r="V74" s="81" t="s">
        <v>1543</v>
      </c>
      <c r="W74" s="81" t="s">
        <v>1544</v>
      </c>
      <c r="X74" s="81"/>
      <c r="Y74" s="81" t="s">
        <v>1545</v>
      </c>
      <c r="Z74" s="81" t="s">
        <v>1546</v>
      </c>
      <c r="AA74" s="81"/>
      <c r="AB74" s="81"/>
      <c r="AC74" s="81" t="s">
        <v>1547</v>
      </c>
      <c r="AD74" s="81" t="s">
        <v>1548</v>
      </c>
      <c r="AE74" s="81" t="s">
        <v>1549</v>
      </c>
      <c r="AF74" s="81" t="s">
        <v>1550</v>
      </c>
      <c r="AG74" s="81" t="s">
        <v>1551</v>
      </c>
      <c r="AH74" s="81" t="s">
        <v>1552</v>
      </c>
      <c r="AI74" s="81" t="s">
        <v>1553</v>
      </c>
      <c r="AJ74" s="82" t="s">
        <v>1554</v>
      </c>
    </row>
    <row r="75" spans="2:36" x14ac:dyDescent="0.2">
      <c r="B75" s="80" t="s">
        <v>1555</v>
      </c>
      <c r="C75" s="81" t="s">
        <v>1556</v>
      </c>
      <c r="D75" s="81" t="s">
        <v>1557</v>
      </c>
      <c r="E75" s="81" t="s">
        <v>1558</v>
      </c>
      <c r="F75" s="81" t="s">
        <v>1559</v>
      </c>
      <c r="G75" s="81" t="s">
        <v>1560</v>
      </c>
      <c r="H75" s="83" t="s">
        <v>1561</v>
      </c>
      <c r="I75" s="81" t="s">
        <v>1562</v>
      </c>
      <c r="J75" s="81" t="s">
        <v>1563</v>
      </c>
      <c r="K75" s="81" t="s">
        <v>1564</v>
      </c>
      <c r="L75" s="81" t="s">
        <v>1565</v>
      </c>
      <c r="M75" s="81" t="s">
        <v>1566</v>
      </c>
      <c r="N75" s="81" t="s">
        <v>1567</v>
      </c>
      <c r="O75" s="81" t="s">
        <v>1568</v>
      </c>
      <c r="P75" s="81" t="s">
        <v>1569</v>
      </c>
      <c r="Q75" s="81" t="s">
        <v>1570</v>
      </c>
      <c r="R75" s="81" t="s">
        <v>1571</v>
      </c>
      <c r="S75" s="81" t="s">
        <v>1572</v>
      </c>
      <c r="T75" s="81" t="s">
        <v>1573</v>
      </c>
      <c r="U75" s="81"/>
      <c r="V75" s="81"/>
      <c r="W75" s="81"/>
      <c r="X75" s="81" t="s">
        <v>1574</v>
      </c>
      <c r="Y75" s="81" t="s">
        <v>1575</v>
      </c>
      <c r="Z75" s="81" t="s">
        <v>1576</v>
      </c>
      <c r="AA75" s="81" t="s">
        <v>1577</v>
      </c>
      <c r="AB75" s="81" t="s">
        <v>1578</v>
      </c>
      <c r="AC75" s="81" t="s">
        <v>1579</v>
      </c>
      <c r="AD75" s="81" t="s">
        <v>1580</v>
      </c>
      <c r="AE75" s="81" t="s">
        <v>1581</v>
      </c>
      <c r="AF75" s="81" t="s">
        <v>1582</v>
      </c>
      <c r="AG75" s="81" t="s">
        <v>1583</v>
      </c>
      <c r="AH75" s="81" t="s">
        <v>1584</v>
      </c>
      <c r="AI75" s="81" t="s">
        <v>1585</v>
      </c>
      <c r="AJ75" s="82" t="s">
        <v>1586</v>
      </c>
    </row>
    <row r="76" spans="2:36" x14ac:dyDescent="0.2">
      <c r="B76" s="80" t="s">
        <v>1587</v>
      </c>
      <c r="C76" s="81" t="s">
        <v>1588</v>
      </c>
      <c r="D76" s="81" t="s">
        <v>1589</v>
      </c>
      <c r="E76" s="81" t="s">
        <v>1590</v>
      </c>
      <c r="F76" s="81" t="s">
        <v>1591</v>
      </c>
      <c r="G76" s="81" t="s">
        <v>1592</v>
      </c>
      <c r="H76" s="83" t="s">
        <v>1593</v>
      </c>
      <c r="I76" s="81" t="s">
        <v>1594</v>
      </c>
      <c r="J76" s="81" t="s">
        <v>1595</v>
      </c>
      <c r="K76" s="81"/>
      <c r="L76" s="81" t="s">
        <v>1596</v>
      </c>
      <c r="M76" s="81" t="s">
        <v>1597</v>
      </c>
      <c r="N76" s="81" t="s">
        <v>1598</v>
      </c>
      <c r="O76" s="81" t="s">
        <v>1599</v>
      </c>
      <c r="P76" s="81" t="s">
        <v>1600</v>
      </c>
      <c r="Q76" s="81"/>
      <c r="R76" s="81"/>
      <c r="S76" s="81"/>
      <c r="T76" s="81"/>
      <c r="U76" s="81"/>
      <c r="V76" s="81"/>
      <c r="W76" s="81"/>
      <c r="X76" s="81"/>
      <c r="Y76" s="81"/>
      <c r="Z76" s="81"/>
      <c r="AA76" s="81"/>
      <c r="AB76" s="81"/>
      <c r="AC76" s="81"/>
      <c r="AD76" s="81" t="s">
        <v>1601</v>
      </c>
      <c r="AE76" s="81" t="s">
        <v>1602</v>
      </c>
      <c r="AF76" s="81" t="s">
        <v>1603</v>
      </c>
      <c r="AG76" s="81" t="s">
        <v>1604</v>
      </c>
      <c r="AH76" s="81" t="s">
        <v>1605</v>
      </c>
      <c r="AI76" s="81" t="s">
        <v>1606</v>
      </c>
      <c r="AJ76" s="82" t="s">
        <v>1607</v>
      </c>
    </row>
    <row r="77" spans="2:36" x14ac:dyDescent="0.2">
      <c r="B77" s="80" t="s">
        <v>1608</v>
      </c>
      <c r="C77" s="81" t="s">
        <v>1609</v>
      </c>
      <c r="D77" s="81" t="s">
        <v>1610</v>
      </c>
      <c r="E77" s="81" t="s">
        <v>1611</v>
      </c>
      <c r="F77" s="81"/>
      <c r="G77" s="81"/>
      <c r="H77" s="81"/>
      <c r="I77" s="81"/>
      <c r="J77" s="81"/>
      <c r="K77" s="81"/>
      <c r="L77" s="81"/>
      <c r="M77" s="81"/>
      <c r="N77" s="81"/>
      <c r="O77" s="81" t="s">
        <v>1612</v>
      </c>
      <c r="P77" s="81" t="s">
        <v>1613</v>
      </c>
      <c r="Q77" s="81" t="s">
        <v>1614</v>
      </c>
      <c r="R77" s="81" t="s">
        <v>1615</v>
      </c>
      <c r="S77" s="81"/>
      <c r="T77" s="81"/>
      <c r="U77" s="81"/>
      <c r="V77" s="81"/>
      <c r="W77" s="81"/>
      <c r="X77" s="81"/>
      <c r="Y77" s="81"/>
      <c r="Z77" s="81"/>
      <c r="AA77" s="81"/>
      <c r="AB77" s="81"/>
      <c r="AC77" s="81"/>
      <c r="AD77" s="81"/>
      <c r="AE77" s="81"/>
      <c r="AF77" s="81"/>
      <c r="AG77" s="81"/>
      <c r="AH77" s="81"/>
      <c r="AI77" s="81"/>
      <c r="AJ77" s="82" t="s">
        <v>1616</v>
      </c>
    </row>
    <row r="78" spans="2:36" x14ac:dyDescent="0.2">
      <c r="B78" s="80" t="s">
        <v>1617</v>
      </c>
      <c r="C78" s="81" t="s">
        <v>1618</v>
      </c>
      <c r="D78" s="81" t="s">
        <v>1619</v>
      </c>
      <c r="E78" s="81" t="s">
        <v>1620</v>
      </c>
      <c r="F78" s="81" t="s">
        <v>1621</v>
      </c>
      <c r="G78" s="81" t="s">
        <v>1622</v>
      </c>
      <c r="H78" s="83" t="s">
        <v>1623</v>
      </c>
      <c r="I78" s="81" t="s">
        <v>1624</v>
      </c>
      <c r="J78" s="81" t="s">
        <v>1625</v>
      </c>
      <c r="K78" s="81"/>
      <c r="L78" s="81" t="s">
        <v>1626</v>
      </c>
      <c r="M78" s="81" t="s">
        <v>1627</v>
      </c>
      <c r="N78" s="81" t="s">
        <v>1628</v>
      </c>
      <c r="O78" s="81"/>
      <c r="P78" s="81"/>
      <c r="Q78" s="81" t="s">
        <v>1629</v>
      </c>
      <c r="R78" s="81" t="s">
        <v>1630</v>
      </c>
      <c r="S78" s="81"/>
      <c r="T78" s="81"/>
      <c r="U78" s="81"/>
      <c r="V78" s="81"/>
      <c r="W78" s="81"/>
      <c r="X78" s="81"/>
      <c r="Y78" s="81"/>
      <c r="Z78" s="81" t="s">
        <v>1631</v>
      </c>
      <c r="AA78" s="81"/>
      <c r="AB78" s="81"/>
      <c r="AC78" s="81"/>
      <c r="AD78" s="81"/>
      <c r="AE78" s="81"/>
      <c r="AF78" s="81"/>
      <c r="AG78" s="81"/>
      <c r="AH78" s="81"/>
      <c r="AI78" s="81"/>
      <c r="AJ78" s="82" t="s">
        <v>1632</v>
      </c>
    </row>
    <row r="79" spans="2:36" x14ac:dyDescent="0.2">
      <c r="B79" s="80" t="s">
        <v>1633</v>
      </c>
      <c r="C79" s="81" t="s">
        <v>1634</v>
      </c>
      <c r="D79" s="81" t="s">
        <v>1635</v>
      </c>
      <c r="E79" s="81" t="s">
        <v>1636</v>
      </c>
      <c r="F79" s="81" t="s">
        <v>1637</v>
      </c>
      <c r="G79" s="81" t="s">
        <v>1638</v>
      </c>
      <c r="H79" s="83" t="s">
        <v>1639</v>
      </c>
      <c r="I79" s="81" t="s">
        <v>1640</v>
      </c>
      <c r="J79" s="81" t="s">
        <v>1641</v>
      </c>
      <c r="K79" s="81"/>
      <c r="L79" s="81" t="s">
        <v>1642</v>
      </c>
      <c r="M79" s="81" t="s">
        <v>1643</v>
      </c>
      <c r="N79" s="81"/>
      <c r="O79" s="81" t="s">
        <v>1644</v>
      </c>
      <c r="P79" s="81" t="s">
        <v>1645</v>
      </c>
      <c r="Q79" s="81" t="s">
        <v>1646</v>
      </c>
      <c r="R79" s="81" t="s">
        <v>1647</v>
      </c>
      <c r="S79" s="81" t="s">
        <v>1648</v>
      </c>
      <c r="T79" s="81" t="s">
        <v>1649</v>
      </c>
      <c r="U79" s="81"/>
      <c r="V79" s="81"/>
      <c r="W79" s="81"/>
      <c r="X79" s="81" t="s">
        <v>1650</v>
      </c>
      <c r="Y79" s="81"/>
      <c r="Z79" s="81" t="s">
        <v>1651</v>
      </c>
      <c r="AA79" s="81"/>
      <c r="AB79" s="81"/>
      <c r="AC79" s="81"/>
      <c r="AD79" s="81"/>
      <c r="AE79" s="81"/>
      <c r="AF79" s="81"/>
      <c r="AG79" s="81"/>
      <c r="AH79" s="81"/>
      <c r="AI79" s="81"/>
      <c r="AJ79" s="82" t="s">
        <v>1652</v>
      </c>
    </row>
    <row r="80" spans="2:36" x14ac:dyDescent="0.2">
      <c r="B80" s="80" t="s">
        <v>1653</v>
      </c>
      <c r="C80" s="81" t="s">
        <v>1654</v>
      </c>
      <c r="D80" s="81" t="s">
        <v>1655</v>
      </c>
      <c r="E80" s="81" t="s">
        <v>1656</v>
      </c>
      <c r="F80" s="81" t="s">
        <v>1657</v>
      </c>
      <c r="G80" s="81" t="s">
        <v>1658</v>
      </c>
      <c r="H80" s="83" t="s">
        <v>1659</v>
      </c>
      <c r="I80" s="81" t="s">
        <v>1660</v>
      </c>
      <c r="J80" s="81" t="s">
        <v>1661</v>
      </c>
      <c r="K80" s="81" t="s">
        <v>1662</v>
      </c>
      <c r="L80" s="81" t="s">
        <v>1663</v>
      </c>
      <c r="M80" s="81" t="s">
        <v>1664</v>
      </c>
      <c r="N80" s="81" t="s">
        <v>1665</v>
      </c>
      <c r="O80" s="81" t="s">
        <v>1666</v>
      </c>
      <c r="P80" s="81" t="s">
        <v>1667</v>
      </c>
      <c r="Q80" s="81" t="s">
        <v>1668</v>
      </c>
      <c r="R80" s="81" t="s">
        <v>1669</v>
      </c>
      <c r="S80" s="81"/>
      <c r="T80" s="81"/>
      <c r="U80" s="81" t="s">
        <v>1670</v>
      </c>
      <c r="V80" s="81" t="s">
        <v>1671</v>
      </c>
      <c r="W80" s="81" t="s">
        <v>1672</v>
      </c>
      <c r="X80" s="81"/>
      <c r="Y80" s="81" t="s">
        <v>1673</v>
      </c>
      <c r="Z80" s="81" t="s">
        <v>1674</v>
      </c>
      <c r="AA80" s="81" t="s">
        <v>1675</v>
      </c>
      <c r="AB80" s="81" t="s">
        <v>1676</v>
      </c>
      <c r="AC80" s="81" t="s">
        <v>1677</v>
      </c>
      <c r="AD80" s="81" t="s">
        <v>1678</v>
      </c>
      <c r="AE80" s="81" t="s">
        <v>1679</v>
      </c>
      <c r="AF80" s="81" t="s">
        <v>1680</v>
      </c>
      <c r="AG80" s="81" t="s">
        <v>1681</v>
      </c>
      <c r="AH80" s="81" t="s">
        <v>1682</v>
      </c>
      <c r="AI80" s="81" t="s">
        <v>1683</v>
      </c>
      <c r="AJ80" s="82" t="s">
        <v>1684</v>
      </c>
    </row>
    <row r="81" spans="2:36" x14ac:dyDescent="0.2">
      <c r="B81" s="80" t="s">
        <v>1685</v>
      </c>
      <c r="C81" s="81" t="s">
        <v>1686</v>
      </c>
      <c r="D81" s="81"/>
      <c r="E81" s="81" t="s">
        <v>1687</v>
      </c>
      <c r="F81" s="81"/>
      <c r="G81" s="81"/>
      <c r="H81" s="81"/>
      <c r="I81" s="81"/>
      <c r="J81" s="81"/>
      <c r="K81" s="81" t="s">
        <v>1688</v>
      </c>
      <c r="L81" s="81" t="s">
        <v>1689</v>
      </c>
      <c r="M81" s="81" t="s">
        <v>1690</v>
      </c>
      <c r="N81" s="81" t="s">
        <v>1691</v>
      </c>
      <c r="O81" s="81" t="s">
        <v>1692</v>
      </c>
      <c r="P81" s="81" t="s">
        <v>1693</v>
      </c>
      <c r="Q81" s="81"/>
      <c r="R81" s="81"/>
      <c r="S81" s="81"/>
      <c r="T81" s="81"/>
      <c r="U81" s="81"/>
      <c r="V81" s="81"/>
      <c r="W81" s="81"/>
      <c r="X81" s="81"/>
      <c r="Y81" s="81"/>
      <c r="Z81" s="81"/>
      <c r="AA81" s="81"/>
      <c r="AB81" s="81"/>
      <c r="AC81" s="81"/>
      <c r="AD81" s="81"/>
      <c r="AE81" s="81"/>
      <c r="AF81" s="81"/>
      <c r="AG81" s="81"/>
      <c r="AH81" s="81"/>
      <c r="AI81" s="81"/>
      <c r="AJ81" s="82" t="s">
        <v>1694</v>
      </c>
    </row>
    <row r="82" spans="2:36" x14ac:dyDescent="0.2">
      <c r="B82" s="80" t="s">
        <v>1695</v>
      </c>
      <c r="C82" s="81" t="s">
        <v>1696</v>
      </c>
      <c r="D82" s="81" t="s">
        <v>1697</v>
      </c>
      <c r="E82" s="81" t="s">
        <v>1698</v>
      </c>
      <c r="F82" s="81" t="s">
        <v>1699</v>
      </c>
      <c r="G82" s="81" t="s">
        <v>1700</v>
      </c>
      <c r="H82" s="83" t="s">
        <v>1701</v>
      </c>
      <c r="I82" s="81" t="s">
        <v>1702</v>
      </c>
      <c r="J82" s="81" t="s">
        <v>1703</v>
      </c>
      <c r="K82" s="81"/>
      <c r="L82" s="81" t="s">
        <v>1704</v>
      </c>
      <c r="M82" s="81" t="s">
        <v>1705</v>
      </c>
      <c r="N82" s="81"/>
      <c r="O82" s="81" t="s">
        <v>1706</v>
      </c>
      <c r="P82" s="81" t="s">
        <v>1707</v>
      </c>
      <c r="Q82" s="81"/>
      <c r="R82" s="81"/>
      <c r="S82" s="81"/>
      <c r="T82" s="81"/>
      <c r="U82" s="81"/>
      <c r="V82" s="81"/>
      <c r="W82" s="81"/>
      <c r="X82" s="81"/>
      <c r="Y82" s="81"/>
      <c r="Z82" s="81"/>
      <c r="AA82" s="81"/>
      <c r="AB82" s="81"/>
      <c r="AC82" s="81"/>
      <c r="AD82" s="81"/>
      <c r="AE82" s="81"/>
      <c r="AF82" s="81"/>
      <c r="AG82" s="81"/>
      <c r="AH82" s="81"/>
      <c r="AI82" s="81"/>
      <c r="AJ82" s="82" t="s">
        <v>1708</v>
      </c>
    </row>
    <row r="83" spans="2:36" x14ac:dyDescent="0.2">
      <c r="B83" s="80" t="s">
        <v>1709</v>
      </c>
      <c r="C83" s="81" t="s">
        <v>1710</v>
      </c>
      <c r="D83" s="81" t="s">
        <v>1711</v>
      </c>
      <c r="E83" s="81" t="s">
        <v>1712</v>
      </c>
      <c r="F83" s="81" t="s">
        <v>1713</v>
      </c>
      <c r="G83" s="81" t="s">
        <v>1714</v>
      </c>
      <c r="H83" s="83" t="s">
        <v>1715</v>
      </c>
      <c r="I83" s="81" t="s">
        <v>1716</v>
      </c>
      <c r="J83" s="81" t="s">
        <v>1717</v>
      </c>
      <c r="K83" s="81"/>
      <c r="L83" s="81" t="s">
        <v>1718</v>
      </c>
      <c r="M83" s="81" t="s">
        <v>1719</v>
      </c>
      <c r="N83" s="81"/>
      <c r="O83" s="81"/>
      <c r="P83" s="81"/>
      <c r="Q83" s="81"/>
      <c r="R83" s="81"/>
      <c r="S83" s="81"/>
      <c r="T83" s="81"/>
      <c r="U83" s="81"/>
      <c r="V83" s="81"/>
      <c r="W83" s="81"/>
      <c r="X83" s="81"/>
      <c r="Y83" s="81"/>
      <c r="Z83" s="81"/>
      <c r="AA83" s="81"/>
      <c r="AB83" s="81"/>
      <c r="AC83" s="81"/>
      <c r="AD83" s="81"/>
      <c r="AE83" s="81"/>
      <c r="AF83" s="81"/>
      <c r="AG83" s="81"/>
      <c r="AH83" s="81"/>
      <c r="AI83" s="81"/>
      <c r="AJ83" s="82" t="s">
        <v>1720</v>
      </c>
    </row>
    <row r="84" spans="2:36" x14ac:dyDescent="0.2">
      <c r="B84" s="80" t="s">
        <v>1721</v>
      </c>
      <c r="C84" s="81" t="s">
        <v>1722</v>
      </c>
      <c r="D84" s="81" t="s">
        <v>1723</v>
      </c>
      <c r="E84" s="81" t="s">
        <v>1724</v>
      </c>
      <c r="F84" s="81"/>
      <c r="G84" s="81"/>
      <c r="H84" s="81"/>
      <c r="I84" s="81"/>
      <c r="J84" s="81"/>
      <c r="K84" s="81" t="s">
        <v>1725</v>
      </c>
      <c r="L84" s="81" t="s">
        <v>1726</v>
      </c>
      <c r="M84" s="81" t="s">
        <v>1727</v>
      </c>
      <c r="N84" s="81"/>
      <c r="O84" s="81"/>
      <c r="P84" s="81"/>
      <c r="Q84" s="81"/>
      <c r="R84" s="81"/>
      <c r="S84" s="81"/>
      <c r="T84" s="81"/>
      <c r="U84" s="81"/>
      <c r="V84" s="81"/>
      <c r="W84" s="81"/>
      <c r="X84" s="81"/>
      <c r="Y84" s="81"/>
      <c r="Z84" s="81"/>
      <c r="AA84" s="81"/>
      <c r="AB84" s="81"/>
      <c r="AC84" s="81"/>
      <c r="AD84" s="81"/>
      <c r="AE84" s="81"/>
      <c r="AF84" s="81"/>
      <c r="AG84" s="81"/>
      <c r="AH84" s="81"/>
      <c r="AI84" s="81"/>
      <c r="AJ84" s="82" t="s">
        <v>1728</v>
      </c>
    </row>
    <row r="85" spans="2:36" x14ac:dyDescent="0.2">
      <c r="B85" s="80" t="s">
        <v>1729</v>
      </c>
      <c r="C85" s="81" t="s">
        <v>1730</v>
      </c>
      <c r="D85" s="81" t="s">
        <v>1731</v>
      </c>
      <c r="E85" s="81" t="s">
        <v>1732</v>
      </c>
      <c r="F85" s="81" t="s">
        <v>1733</v>
      </c>
      <c r="G85" s="81" t="s">
        <v>1734</v>
      </c>
      <c r="H85" s="83" t="s">
        <v>1735</v>
      </c>
      <c r="I85" s="81" t="s">
        <v>1736</v>
      </c>
      <c r="J85" s="81" t="s">
        <v>1737</v>
      </c>
      <c r="K85" s="81" t="s">
        <v>1738</v>
      </c>
      <c r="L85" s="81" t="s">
        <v>1739</v>
      </c>
      <c r="M85" s="81" t="s">
        <v>1740</v>
      </c>
      <c r="N85" s="81" t="s">
        <v>1741</v>
      </c>
      <c r="O85" s="81" t="s">
        <v>1742</v>
      </c>
      <c r="P85" s="81" t="s">
        <v>1743</v>
      </c>
      <c r="Q85" s="81" t="s">
        <v>1744</v>
      </c>
      <c r="R85" s="81" t="s">
        <v>1745</v>
      </c>
      <c r="S85" s="81"/>
      <c r="T85" s="81"/>
      <c r="U85" s="81"/>
      <c r="V85" s="81"/>
      <c r="W85" s="81"/>
      <c r="X85" s="81"/>
      <c r="Y85" s="81" t="s">
        <v>1746</v>
      </c>
      <c r="Z85" s="81" t="s">
        <v>1747</v>
      </c>
      <c r="AA85" s="81" t="s">
        <v>1748</v>
      </c>
      <c r="AB85" s="81" t="s">
        <v>1749</v>
      </c>
      <c r="AC85" s="81" t="s">
        <v>1750</v>
      </c>
      <c r="AD85" s="81" t="s">
        <v>1751</v>
      </c>
      <c r="AE85" s="81" t="s">
        <v>1752</v>
      </c>
      <c r="AF85" s="81" t="s">
        <v>1753</v>
      </c>
      <c r="AG85" s="81" t="s">
        <v>1754</v>
      </c>
      <c r="AH85" s="81" t="s">
        <v>1755</v>
      </c>
      <c r="AI85" s="81" t="s">
        <v>1756</v>
      </c>
      <c r="AJ85" s="82" t="s">
        <v>1757</v>
      </c>
    </row>
    <row r="86" spans="2:36" x14ac:dyDescent="0.2">
      <c r="B86" s="80" t="s">
        <v>1758</v>
      </c>
      <c r="C86" s="81" t="s">
        <v>1759</v>
      </c>
      <c r="D86" s="81" t="s">
        <v>1760</v>
      </c>
      <c r="E86" s="81" t="s">
        <v>1761</v>
      </c>
      <c r="F86" s="81" t="s">
        <v>1762</v>
      </c>
      <c r="G86" s="81" t="s">
        <v>1763</v>
      </c>
      <c r="H86" s="83" t="s">
        <v>1764</v>
      </c>
      <c r="I86" s="81" t="s">
        <v>1765</v>
      </c>
      <c r="J86" s="81" t="s">
        <v>1766</v>
      </c>
      <c r="K86" s="81" t="s">
        <v>1767</v>
      </c>
      <c r="L86" s="81" t="s">
        <v>1768</v>
      </c>
      <c r="M86" s="81" t="s">
        <v>1769</v>
      </c>
      <c r="N86" s="81" t="s">
        <v>1770</v>
      </c>
      <c r="O86" s="81" t="s">
        <v>1771</v>
      </c>
      <c r="P86" s="81" t="s">
        <v>1772</v>
      </c>
      <c r="Q86" s="81" t="s">
        <v>1773</v>
      </c>
      <c r="R86" s="81" t="s">
        <v>1774</v>
      </c>
      <c r="S86" s="81"/>
      <c r="T86" s="81"/>
      <c r="U86" s="81" t="s">
        <v>1775</v>
      </c>
      <c r="V86" s="81" t="s">
        <v>1776</v>
      </c>
      <c r="W86" s="81" t="s">
        <v>1777</v>
      </c>
      <c r="X86" s="81"/>
      <c r="Y86" s="81" t="s">
        <v>1778</v>
      </c>
      <c r="Z86" s="81" t="s">
        <v>1779</v>
      </c>
      <c r="AA86" s="81" t="s">
        <v>1780</v>
      </c>
      <c r="AB86" s="81" t="s">
        <v>1781</v>
      </c>
      <c r="AC86" s="81" t="s">
        <v>1782</v>
      </c>
      <c r="AD86" s="81" t="s">
        <v>1783</v>
      </c>
      <c r="AE86" s="81" t="s">
        <v>1784</v>
      </c>
      <c r="AF86" s="81" t="s">
        <v>1785</v>
      </c>
      <c r="AG86" s="81" t="s">
        <v>1786</v>
      </c>
      <c r="AH86" s="81" t="s">
        <v>1787</v>
      </c>
      <c r="AI86" s="81" t="s">
        <v>1788</v>
      </c>
      <c r="AJ86" s="82" t="s">
        <v>1789</v>
      </c>
    </row>
    <row r="87" spans="2:36" x14ac:dyDescent="0.2">
      <c r="B87" s="80" t="s">
        <v>1790</v>
      </c>
      <c r="C87" s="81" t="s">
        <v>1791</v>
      </c>
      <c r="D87" s="81"/>
      <c r="E87" s="81" t="s">
        <v>1792</v>
      </c>
      <c r="F87" s="81"/>
      <c r="G87" s="81"/>
      <c r="H87" s="81"/>
      <c r="I87" s="81"/>
      <c r="J87" s="81"/>
      <c r="K87" s="81"/>
      <c r="L87" s="81" t="s">
        <v>1793</v>
      </c>
      <c r="M87" s="81" t="s">
        <v>1794</v>
      </c>
      <c r="N87" s="81"/>
      <c r="O87" s="81" t="s">
        <v>1795</v>
      </c>
      <c r="P87" s="81" t="s">
        <v>1796</v>
      </c>
      <c r="Q87" s="81"/>
      <c r="R87" s="81"/>
      <c r="S87" s="81"/>
      <c r="T87" s="81"/>
      <c r="U87" s="81"/>
      <c r="V87" s="81"/>
      <c r="W87" s="81"/>
      <c r="X87" s="81"/>
      <c r="Y87" s="81" t="s">
        <v>1797</v>
      </c>
      <c r="Z87" s="81"/>
      <c r="AA87" s="81"/>
      <c r="AB87" s="81"/>
      <c r="AC87" s="81"/>
      <c r="AD87" s="81"/>
      <c r="AE87" s="81"/>
      <c r="AF87" s="81"/>
      <c r="AG87" s="81"/>
      <c r="AH87" s="81"/>
      <c r="AI87" s="81"/>
      <c r="AJ87" s="82" t="s">
        <v>1798</v>
      </c>
    </row>
    <row r="88" spans="2:36" x14ac:dyDescent="0.2">
      <c r="B88" s="80" t="s">
        <v>1799</v>
      </c>
      <c r="C88" s="81" t="s">
        <v>1800</v>
      </c>
      <c r="D88" s="81"/>
      <c r="E88" s="81" t="s">
        <v>1801</v>
      </c>
      <c r="F88" s="81"/>
      <c r="G88" s="81"/>
      <c r="H88" s="81"/>
      <c r="I88" s="81"/>
      <c r="J88" s="81"/>
      <c r="K88" s="81"/>
      <c r="L88" s="81" t="s">
        <v>1802</v>
      </c>
      <c r="M88" s="81" t="s">
        <v>1803</v>
      </c>
      <c r="N88" s="81"/>
      <c r="O88" s="81" t="s">
        <v>1804</v>
      </c>
      <c r="P88" s="81" t="s">
        <v>1805</v>
      </c>
      <c r="Q88" s="81" t="s">
        <v>1806</v>
      </c>
      <c r="R88" s="81" t="s">
        <v>1807</v>
      </c>
      <c r="S88" s="81"/>
      <c r="T88" s="81"/>
      <c r="U88" s="81"/>
      <c r="V88" s="81"/>
      <c r="W88" s="81"/>
      <c r="X88" s="81"/>
      <c r="Y88" s="81" t="s">
        <v>1808</v>
      </c>
      <c r="Z88" s="81" t="s">
        <v>1809</v>
      </c>
      <c r="AA88" s="81"/>
      <c r="AB88" s="81"/>
      <c r="AC88" s="81"/>
      <c r="AD88" s="81"/>
      <c r="AE88" s="81"/>
      <c r="AF88" s="81"/>
      <c r="AG88" s="81"/>
      <c r="AH88" s="81"/>
      <c r="AI88" s="81"/>
      <c r="AJ88" s="82" t="s">
        <v>1810</v>
      </c>
    </row>
    <row r="89" spans="2:36" x14ac:dyDescent="0.2">
      <c r="B89" s="80" t="s">
        <v>1811</v>
      </c>
      <c r="C89" s="81" t="s">
        <v>1812</v>
      </c>
      <c r="D89" s="81" t="s">
        <v>1813</v>
      </c>
      <c r="E89" s="81" t="s">
        <v>1814</v>
      </c>
      <c r="F89" s="81" t="s">
        <v>1815</v>
      </c>
      <c r="G89" s="81" t="s">
        <v>1816</v>
      </c>
      <c r="H89" s="83" t="s">
        <v>1817</v>
      </c>
      <c r="I89" s="81" t="s">
        <v>1818</v>
      </c>
      <c r="J89" s="81" t="s">
        <v>1819</v>
      </c>
      <c r="K89" s="81" t="s">
        <v>1820</v>
      </c>
      <c r="L89" s="81" t="s">
        <v>1821</v>
      </c>
      <c r="M89" s="81" t="s">
        <v>1822</v>
      </c>
      <c r="N89" s="81"/>
      <c r="O89" s="81" t="s">
        <v>1823</v>
      </c>
      <c r="P89" s="81" t="s">
        <v>1824</v>
      </c>
      <c r="Q89" s="81"/>
      <c r="R89" s="81"/>
      <c r="S89" s="81"/>
      <c r="T89" s="81"/>
      <c r="U89" s="81"/>
      <c r="V89" s="81"/>
      <c r="W89" s="81"/>
      <c r="X89" s="81"/>
      <c r="Y89" s="81"/>
      <c r="Z89" s="81"/>
      <c r="AA89" s="81"/>
      <c r="AB89" s="81"/>
      <c r="AC89" s="81"/>
      <c r="AD89" s="81"/>
      <c r="AE89" s="81"/>
      <c r="AF89" s="81"/>
      <c r="AG89" s="81"/>
      <c r="AH89" s="81"/>
      <c r="AI89" s="81"/>
      <c r="AJ89" s="82" t="s">
        <v>1825</v>
      </c>
    </row>
    <row r="90" spans="2:36" x14ac:dyDescent="0.2">
      <c r="B90" s="80" t="s">
        <v>1826</v>
      </c>
      <c r="C90" s="81" t="s">
        <v>1827</v>
      </c>
      <c r="D90" s="81" t="s">
        <v>1828</v>
      </c>
      <c r="E90" s="81" t="s">
        <v>1829</v>
      </c>
      <c r="F90" s="81" t="s">
        <v>1830</v>
      </c>
      <c r="G90" s="81" t="s">
        <v>1831</v>
      </c>
      <c r="H90" s="83" t="s">
        <v>1832</v>
      </c>
      <c r="I90" s="81" t="s">
        <v>1833</v>
      </c>
      <c r="J90" s="81" t="s">
        <v>1834</v>
      </c>
      <c r="K90" s="81"/>
      <c r="L90" s="81" t="s">
        <v>1835</v>
      </c>
      <c r="M90" s="81" t="s">
        <v>1836</v>
      </c>
      <c r="N90" s="81"/>
      <c r="O90" s="81" t="s">
        <v>1837</v>
      </c>
      <c r="P90" s="81" t="s">
        <v>1838</v>
      </c>
      <c r="Q90" s="81"/>
      <c r="R90" s="81"/>
      <c r="S90" s="81"/>
      <c r="T90" s="81"/>
      <c r="U90" s="81"/>
      <c r="V90" s="81"/>
      <c r="W90" s="81"/>
      <c r="X90" s="81"/>
      <c r="Y90" s="81"/>
      <c r="Z90" s="81"/>
      <c r="AA90" s="81"/>
      <c r="AB90" s="81"/>
      <c r="AC90" s="81"/>
      <c r="AD90" s="81"/>
      <c r="AE90" s="81"/>
      <c r="AF90" s="81"/>
      <c r="AG90" s="81"/>
      <c r="AH90" s="81"/>
      <c r="AI90" s="81"/>
      <c r="AJ90" s="82" t="s">
        <v>1839</v>
      </c>
    </row>
    <row r="91" spans="2:36" x14ac:dyDescent="0.2">
      <c r="B91" s="80" t="s">
        <v>1840</v>
      </c>
      <c r="C91" s="81" t="s">
        <v>1841</v>
      </c>
      <c r="D91" s="81" t="s">
        <v>1842</v>
      </c>
      <c r="E91" s="81" t="s">
        <v>1843</v>
      </c>
      <c r="F91" s="81" t="s">
        <v>1844</v>
      </c>
      <c r="G91" s="81" t="s">
        <v>1845</v>
      </c>
      <c r="H91" s="83" t="s">
        <v>1846</v>
      </c>
      <c r="I91" s="81" t="s">
        <v>1847</v>
      </c>
      <c r="J91" s="81" t="s">
        <v>1848</v>
      </c>
      <c r="K91" s="81" t="s">
        <v>1849</v>
      </c>
      <c r="L91" s="81" t="s">
        <v>1850</v>
      </c>
      <c r="M91" s="81" t="s">
        <v>1851</v>
      </c>
      <c r="N91" s="81" t="s">
        <v>1852</v>
      </c>
      <c r="O91" s="81" t="s">
        <v>1853</v>
      </c>
      <c r="P91" s="81" t="s">
        <v>1854</v>
      </c>
      <c r="Q91" s="81" t="s">
        <v>1855</v>
      </c>
      <c r="R91" s="81" t="s">
        <v>1856</v>
      </c>
      <c r="S91" s="81"/>
      <c r="T91" s="81"/>
      <c r="U91" s="81" t="s">
        <v>1857</v>
      </c>
      <c r="V91" s="81" t="s">
        <v>1858</v>
      </c>
      <c r="W91" s="81" t="s">
        <v>1859</v>
      </c>
      <c r="X91" s="81"/>
      <c r="Y91" s="81" t="s">
        <v>1860</v>
      </c>
      <c r="Z91" s="81" t="s">
        <v>1861</v>
      </c>
      <c r="AA91" s="81"/>
      <c r="AB91" s="81"/>
      <c r="AC91" s="81" t="s">
        <v>1862</v>
      </c>
      <c r="AD91" s="81" t="s">
        <v>1863</v>
      </c>
      <c r="AE91" s="81" t="s">
        <v>1864</v>
      </c>
      <c r="AF91" s="81" t="s">
        <v>1865</v>
      </c>
      <c r="AG91" s="81" t="s">
        <v>1866</v>
      </c>
      <c r="AH91" s="81" t="s">
        <v>1867</v>
      </c>
      <c r="AI91" s="81" t="s">
        <v>1868</v>
      </c>
      <c r="AJ91" s="82" t="s">
        <v>1869</v>
      </c>
    </row>
    <row r="92" spans="2:36" x14ac:dyDescent="0.2">
      <c r="B92" s="80" t="s">
        <v>1870</v>
      </c>
      <c r="C92" s="81" t="s">
        <v>1871</v>
      </c>
      <c r="D92" s="81" t="s">
        <v>1872</v>
      </c>
      <c r="E92" s="81" t="s">
        <v>1873</v>
      </c>
      <c r="F92" s="81" t="s">
        <v>1874</v>
      </c>
      <c r="G92" s="81" t="s">
        <v>1875</v>
      </c>
      <c r="H92" s="83" t="s">
        <v>1876</v>
      </c>
      <c r="I92" s="81"/>
      <c r="J92" s="81"/>
      <c r="K92" s="81"/>
      <c r="L92" s="81"/>
      <c r="M92" s="81" t="s">
        <v>1877</v>
      </c>
      <c r="N92" s="81"/>
      <c r="O92" s="81" t="s">
        <v>1878</v>
      </c>
      <c r="P92" s="81" t="s">
        <v>1879</v>
      </c>
      <c r="Q92" s="81"/>
      <c r="R92" s="81"/>
      <c r="S92" s="81"/>
      <c r="T92" s="81"/>
      <c r="U92" s="81"/>
      <c r="V92" s="81"/>
      <c r="W92" s="81"/>
      <c r="X92" s="81"/>
      <c r="Y92" s="81"/>
      <c r="Z92" s="81"/>
      <c r="AA92" s="81"/>
      <c r="AB92" s="81"/>
      <c r="AC92" s="81"/>
      <c r="AD92" s="81"/>
      <c r="AE92" s="81"/>
      <c r="AF92" s="81"/>
      <c r="AG92" s="81"/>
      <c r="AH92" s="81"/>
      <c r="AI92" s="81"/>
      <c r="AJ92" s="82" t="s">
        <v>1880</v>
      </c>
    </row>
    <row r="93" spans="2:36" x14ac:dyDescent="0.2">
      <c r="B93" s="80" t="s">
        <v>1881</v>
      </c>
      <c r="C93" s="81" t="s">
        <v>1882</v>
      </c>
      <c r="D93" s="81" t="s">
        <v>1883</v>
      </c>
      <c r="E93" s="81" t="s">
        <v>1884</v>
      </c>
      <c r="F93" s="81" t="s">
        <v>1885</v>
      </c>
      <c r="G93" s="81" t="s">
        <v>1886</v>
      </c>
      <c r="H93" s="83" t="s">
        <v>1887</v>
      </c>
      <c r="I93" s="81" t="s">
        <v>1888</v>
      </c>
      <c r="J93" s="81" t="s">
        <v>1889</v>
      </c>
      <c r="K93" s="81" t="s">
        <v>1890</v>
      </c>
      <c r="L93" s="81" t="s">
        <v>1891</v>
      </c>
      <c r="M93" s="81" t="s">
        <v>1892</v>
      </c>
      <c r="N93" s="81" t="s">
        <v>1893</v>
      </c>
      <c r="O93" s="81" t="s">
        <v>1894</v>
      </c>
      <c r="P93" s="81" t="s">
        <v>1895</v>
      </c>
      <c r="Q93" s="81" t="s">
        <v>1896</v>
      </c>
      <c r="R93" s="81" t="s">
        <v>1897</v>
      </c>
      <c r="S93" s="81"/>
      <c r="T93" s="81"/>
      <c r="U93" s="81"/>
      <c r="V93" s="81"/>
      <c r="W93" s="81"/>
      <c r="X93" s="81"/>
      <c r="Y93" s="81" t="s">
        <v>1898</v>
      </c>
      <c r="Z93" s="81" t="s">
        <v>1899</v>
      </c>
      <c r="AA93" s="81"/>
      <c r="AB93" s="81"/>
      <c r="AC93" s="81"/>
      <c r="AD93" s="81" t="s">
        <v>1900</v>
      </c>
      <c r="AE93" s="81" t="s">
        <v>1901</v>
      </c>
      <c r="AF93" s="81" t="s">
        <v>1902</v>
      </c>
      <c r="AG93" s="81"/>
      <c r="AH93" s="81"/>
      <c r="AI93" s="81"/>
      <c r="AJ93" s="82" t="s">
        <v>1903</v>
      </c>
    </row>
    <row r="94" spans="2:36" x14ac:dyDescent="0.2">
      <c r="B94" s="80" t="s">
        <v>1904</v>
      </c>
      <c r="C94" s="81" t="s">
        <v>1905</v>
      </c>
      <c r="D94" s="81" t="s">
        <v>1906</v>
      </c>
      <c r="E94" s="81" t="s">
        <v>1907</v>
      </c>
      <c r="F94" s="81" t="s">
        <v>1908</v>
      </c>
      <c r="G94" s="81" t="s">
        <v>1909</v>
      </c>
      <c r="H94" s="83" t="s">
        <v>1910</v>
      </c>
      <c r="I94" s="81" t="s">
        <v>1911</v>
      </c>
      <c r="J94" s="81" t="s">
        <v>1912</v>
      </c>
      <c r="K94" s="81"/>
      <c r="L94" s="81"/>
      <c r="M94" s="81" t="s">
        <v>1913</v>
      </c>
      <c r="N94" s="81"/>
      <c r="O94" s="81" t="s">
        <v>1914</v>
      </c>
      <c r="P94" s="81" t="s">
        <v>1915</v>
      </c>
      <c r="Q94" s="81"/>
      <c r="R94" s="81"/>
      <c r="S94" s="81"/>
      <c r="T94" s="81"/>
      <c r="U94" s="81"/>
      <c r="V94" s="81"/>
      <c r="W94" s="81"/>
      <c r="X94" s="81"/>
      <c r="Y94" s="81"/>
      <c r="Z94" s="81"/>
      <c r="AA94" s="81"/>
      <c r="AB94" s="81"/>
      <c r="AC94" s="81"/>
      <c r="AD94" s="81"/>
      <c r="AE94" s="81"/>
      <c r="AF94" s="81"/>
      <c r="AG94" s="81"/>
      <c r="AH94" s="81"/>
      <c r="AI94" s="81"/>
      <c r="AJ94" s="82"/>
    </row>
    <row r="95" spans="2:36" x14ac:dyDescent="0.2">
      <c r="B95" s="80" t="s">
        <v>1916</v>
      </c>
      <c r="C95" s="81" t="s">
        <v>1917</v>
      </c>
      <c r="D95" s="81"/>
      <c r="E95" s="81" t="s">
        <v>1918</v>
      </c>
      <c r="F95" s="81"/>
      <c r="G95" s="81"/>
      <c r="H95" s="81"/>
      <c r="I95" s="81"/>
      <c r="J95" s="81"/>
      <c r="K95" s="81"/>
      <c r="L95" s="81" t="s">
        <v>1919</v>
      </c>
      <c r="M95" s="81" t="s">
        <v>1920</v>
      </c>
      <c r="N95" s="81"/>
      <c r="O95" s="81" t="s">
        <v>1921</v>
      </c>
      <c r="P95" s="81" t="s">
        <v>1922</v>
      </c>
      <c r="Q95" s="81" t="s">
        <v>1923</v>
      </c>
      <c r="R95" s="81" t="s">
        <v>1924</v>
      </c>
      <c r="S95" s="81"/>
      <c r="T95" s="81"/>
      <c r="U95" s="81"/>
      <c r="V95" s="81"/>
      <c r="W95" s="81"/>
      <c r="X95" s="81"/>
      <c r="Y95" s="81" t="s">
        <v>1925</v>
      </c>
      <c r="Z95" s="81" t="s">
        <v>1926</v>
      </c>
      <c r="AA95" s="81"/>
      <c r="AB95" s="81"/>
      <c r="AC95" s="81"/>
      <c r="AD95" s="81"/>
      <c r="AE95" s="81"/>
      <c r="AF95" s="81"/>
      <c r="AG95" s="81"/>
      <c r="AH95" s="81"/>
      <c r="AI95" s="81"/>
      <c r="AJ95" s="82" t="s">
        <v>1927</v>
      </c>
    </row>
    <row r="96" spans="2:36" x14ac:dyDescent="0.2">
      <c r="B96" s="80" t="s">
        <v>1928</v>
      </c>
      <c r="C96" s="81" t="s">
        <v>1929</v>
      </c>
      <c r="D96" s="81" t="s">
        <v>1930</v>
      </c>
      <c r="E96" s="81" t="s">
        <v>1931</v>
      </c>
      <c r="F96" s="81" t="s">
        <v>1932</v>
      </c>
      <c r="G96" s="81" t="s">
        <v>1933</v>
      </c>
      <c r="H96" s="83" t="s">
        <v>1934</v>
      </c>
      <c r="I96" s="81" t="s">
        <v>1935</v>
      </c>
      <c r="J96" s="81" t="s">
        <v>1936</v>
      </c>
      <c r="K96" s="81" t="s">
        <v>1937</v>
      </c>
      <c r="L96" s="81" t="s">
        <v>1938</v>
      </c>
      <c r="M96" s="81" t="s">
        <v>1939</v>
      </c>
      <c r="N96" s="81" t="s">
        <v>1940</v>
      </c>
      <c r="O96" s="81" t="s">
        <v>1941</v>
      </c>
      <c r="P96" s="81" t="s">
        <v>1942</v>
      </c>
      <c r="Q96" s="81" t="s">
        <v>1943</v>
      </c>
      <c r="R96" s="81" t="s">
        <v>1944</v>
      </c>
      <c r="S96" s="81" t="s">
        <v>1945</v>
      </c>
      <c r="T96" s="81" t="s">
        <v>1946</v>
      </c>
      <c r="U96" s="81" t="s">
        <v>1947</v>
      </c>
      <c r="V96" s="81" t="s">
        <v>1948</v>
      </c>
      <c r="W96" s="81" t="s">
        <v>1949</v>
      </c>
      <c r="X96" s="81"/>
      <c r="Y96" s="81" t="s">
        <v>1950</v>
      </c>
      <c r="Z96" s="81" t="s">
        <v>1951</v>
      </c>
      <c r="AA96" s="81"/>
      <c r="AB96" s="81"/>
      <c r="AC96" s="81" t="s">
        <v>1952</v>
      </c>
      <c r="AD96" s="81" t="s">
        <v>1953</v>
      </c>
      <c r="AE96" s="81" t="s">
        <v>1954</v>
      </c>
      <c r="AF96" s="81" t="s">
        <v>1955</v>
      </c>
      <c r="AG96" s="81" t="s">
        <v>1956</v>
      </c>
      <c r="AH96" s="81" t="s">
        <v>1957</v>
      </c>
      <c r="AI96" s="81" t="s">
        <v>1958</v>
      </c>
      <c r="AJ96" s="82" t="s">
        <v>1959</v>
      </c>
    </row>
    <row r="97" spans="2:36" x14ac:dyDescent="0.2">
      <c r="B97" s="80" t="s">
        <v>1960</v>
      </c>
      <c r="C97" s="81" t="s">
        <v>1961</v>
      </c>
      <c r="D97" s="81" t="s">
        <v>1962</v>
      </c>
      <c r="E97" s="81" t="s">
        <v>1963</v>
      </c>
      <c r="F97" s="81" t="s">
        <v>1964</v>
      </c>
      <c r="G97" s="81" t="s">
        <v>1965</v>
      </c>
      <c r="H97" s="83" t="s">
        <v>1966</v>
      </c>
      <c r="I97" s="81" t="s">
        <v>1967</v>
      </c>
      <c r="J97" s="81" t="s">
        <v>1968</v>
      </c>
      <c r="K97" s="81" t="s">
        <v>1969</v>
      </c>
      <c r="L97" s="81" t="s">
        <v>1970</v>
      </c>
      <c r="M97" s="81" t="s">
        <v>1971</v>
      </c>
      <c r="N97" s="81" t="s">
        <v>1972</v>
      </c>
      <c r="O97" s="81" t="s">
        <v>1973</v>
      </c>
      <c r="P97" s="81" t="s">
        <v>1974</v>
      </c>
      <c r="Q97" s="81" t="s">
        <v>1975</v>
      </c>
      <c r="R97" s="81" t="s">
        <v>1976</v>
      </c>
      <c r="S97" s="81"/>
      <c r="T97" s="81"/>
      <c r="U97" s="81"/>
      <c r="V97" s="81"/>
      <c r="W97" s="81"/>
      <c r="X97" s="81"/>
      <c r="Y97" s="81"/>
      <c r="Z97" s="81" t="s">
        <v>1977</v>
      </c>
      <c r="AA97" s="81"/>
      <c r="AB97" s="81"/>
      <c r="AC97" s="81"/>
      <c r="AD97" s="81"/>
      <c r="AE97" s="81"/>
      <c r="AF97" s="81"/>
      <c r="AG97" s="81"/>
      <c r="AH97" s="81"/>
      <c r="AI97" s="81"/>
      <c r="AJ97" s="82" t="s">
        <v>1978</v>
      </c>
    </row>
    <row r="98" spans="2:36" x14ac:dyDescent="0.2">
      <c r="B98" s="80" t="s">
        <v>1979</v>
      </c>
      <c r="C98" s="81" t="s">
        <v>1980</v>
      </c>
      <c r="D98" s="81"/>
      <c r="E98" s="81" t="s">
        <v>1981</v>
      </c>
      <c r="F98" s="81"/>
      <c r="G98" s="81"/>
      <c r="H98" s="81"/>
      <c r="I98" s="81"/>
      <c r="J98" s="81"/>
      <c r="K98" s="81"/>
      <c r="L98" s="81"/>
      <c r="M98" s="81"/>
      <c r="N98" s="81"/>
      <c r="O98" s="81" t="s">
        <v>1982</v>
      </c>
      <c r="P98" s="81" t="s">
        <v>1983</v>
      </c>
      <c r="Q98" s="81" t="s">
        <v>1984</v>
      </c>
      <c r="R98" s="81" t="s">
        <v>1985</v>
      </c>
      <c r="S98" s="81"/>
      <c r="T98" s="81"/>
      <c r="U98" s="81" t="s">
        <v>1986</v>
      </c>
      <c r="V98" s="81" t="s">
        <v>1987</v>
      </c>
      <c r="W98" s="81" t="s">
        <v>1988</v>
      </c>
      <c r="X98" s="81"/>
      <c r="Y98" s="81" t="s">
        <v>1989</v>
      </c>
      <c r="Z98" s="81" t="s">
        <v>1990</v>
      </c>
      <c r="AA98" s="81" t="s">
        <v>1991</v>
      </c>
      <c r="AB98" s="81" t="s">
        <v>1992</v>
      </c>
      <c r="AC98" s="81"/>
      <c r="AD98" s="81"/>
      <c r="AE98" s="81"/>
      <c r="AF98" s="81"/>
      <c r="AG98" s="81"/>
      <c r="AH98" s="81"/>
      <c r="AI98" s="81"/>
      <c r="AJ98" s="82" t="s">
        <v>1993</v>
      </c>
    </row>
    <row r="99" spans="2:36" x14ac:dyDescent="0.2">
      <c r="B99" s="80" t="s">
        <v>1994</v>
      </c>
      <c r="C99" s="81" t="s">
        <v>1995</v>
      </c>
      <c r="D99" s="81" t="s">
        <v>1996</v>
      </c>
      <c r="E99" s="81" t="s">
        <v>1997</v>
      </c>
      <c r="F99" s="81" t="s">
        <v>1998</v>
      </c>
      <c r="G99" s="81" t="s">
        <v>1999</v>
      </c>
      <c r="H99" s="83" t="s">
        <v>2000</v>
      </c>
      <c r="I99" s="81" t="s">
        <v>2001</v>
      </c>
      <c r="J99" s="81" t="s">
        <v>2002</v>
      </c>
      <c r="K99" s="81"/>
      <c r="L99" s="81" t="s">
        <v>2003</v>
      </c>
      <c r="M99" s="81" t="s">
        <v>2004</v>
      </c>
      <c r="N99" s="81" t="s">
        <v>2005</v>
      </c>
      <c r="O99" s="81" t="s">
        <v>2006</v>
      </c>
      <c r="P99" s="81" t="s">
        <v>2007</v>
      </c>
      <c r="Q99" s="81"/>
      <c r="R99" s="81"/>
      <c r="S99" s="81"/>
      <c r="T99" s="81"/>
      <c r="U99" s="81"/>
      <c r="V99" s="81"/>
      <c r="W99" s="81"/>
      <c r="X99" s="81"/>
      <c r="Y99" s="81" t="s">
        <v>2008</v>
      </c>
      <c r="Z99" s="81" t="s">
        <v>2009</v>
      </c>
      <c r="AA99" s="81"/>
      <c r="AB99" s="81"/>
      <c r="AC99" s="81" t="s">
        <v>2010</v>
      </c>
      <c r="AD99" s="81" t="s">
        <v>2011</v>
      </c>
      <c r="AE99" s="81" t="s">
        <v>2012</v>
      </c>
      <c r="AF99" s="81" t="s">
        <v>2013</v>
      </c>
      <c r="AG99" s="81" t="s">
        <v>2014</v>
      </c>
      <c r="AH99" s="81" t="s">
        <v>2015</v>
      </c>
      <c r="AI99" s="81" t="s">
        <v>2016</v>
      </c>
      <c r="AJ99" s="82" t="s">
        <v>2017</v>
      </c>
    </row>
    <row r="100" spans="2:36" x14ac:dyDescent="0.2">
      <c r="B100" s="80" t="s">
        <v>2018</v>
      </c>
      <c r="C100" s="81" t="s">
        <v>2019</v>
      </c>
      <c r="D100" s="81"/>
      <c r="E100" s="81" t="s">
        <v>2020</v>
      </c>
      <c r="F100" s="81"/>
      <c r="G100" s="81"/>
      <c r="H100" s="81"/>
      <c r="I100" s="81"/>
      <c r="J100" s="81"/>
      <c r="K100" s="81"/>
      <c r="L100" s="81" t="s">
        <v>2021</v>
      </c>
      <c r="M100" s="81" t="s">
        <v>2022</v>
      </c>
      <c r="N100" s="81" t="s">
        <v>2023</v>
      </c>
      <c r="O100" s="81" t="s">
        <v>2024</v>
      </c>
      <c r="P100" s="81" t="s">
        <v>2025</v>
      </c>
      <c r="Q100" s="81"/>
      <c r="R100" s="81"/>
      <c r="S100" s="81"/>
      <c r="T100" s="81"/>
      <c r="U100" s="81"/>
      <c r="V100" s="81"/>
      <c r="W100" s="81"/>
      <c r="X100" s="81"/>
      <c r="Y100" s="81"/>
      <c r="Z100" s="81"/>
      <c r="AA100" s="81"/>
      <c r="AB100" s="81"/>
      <c r="AC100" s="81"/>
      <c r="AD100" s="81"/>
      <c r="AE100" s="81"/>
      <c r="AF100" s="81"/>
      <c r="AG100" s="81"/>
      <c r="AH100" s="81"/>
      <c r="AI100" s="81"/>
      <c r="AJ100" s="82" t="s">
        <v>2026</v>
      </c>
    </row>
    <row r="101" spans="2:36" x14ac:dyDescent="0.2">
      <c r="B101" s="80" t="s">
        <v>2027</v>
      </c>
      <c r="C101" s="81" t="s">
        <v>2028</v>
      </c>
      <c r="D101" s="81" t="s">
        <v>2029</v>
      </c>
      <c r="E101" s="81" t="s">
        <v>2030</v>
      </c>
      <c r="F101" s="81" t="s">
        <v>2031</v>
      </c>
      <c r="G101" s="81" t="s">
        <v>2032</v>
      </c>
      <c r="H101" s="83" t="s">
        <v>2033</v>
      </c>
      <c r="I101" s="81" t="s">
        <v>2034</v>
      </c>
      <c r="J101" s="81" t="s">
        <v>2035</v>
      </c>
      <c r="K101" s="81"/>
      <c r="L101" s="81" t="s">
        <v>2036</v>
      </c>
      <c r="M101" s="81" t="s">
        <v>2037</v>
      </c>
      <c r="N101" s="81"/>
      <c r="O101" s="81" t="s">
        <v>2038</v>
      </c>
      <c r="P101" s="81" t="s">
        <v>2039</v>
      </c>
      <c r="Q101" s="81"/>
      <c r="R101" s="81"/>
      <c r="S101" s="81"/>
      <c r="T101" s="81"/>
      <c r="U101" s="81"/>
      <c r="V101" s="81"/>
      <c r="W101" s="81"/>
      <c r="X101" s="81"/>
      <c r="Y101" s="81"/>
      <c r="Z101" s="81"/>
      <c r="AA101" s="81"/>
      <c r="AB101" s="81"/>
      <c r="AC101" s="81"/>
      <c r="AD101" s="81"/>
      <c r="AE101" s="81" t="s">
        <v>2040</v>
      </c>
      <c r="AF101" s="81" t="s">
        <v>2041</v>
      </c>
      <c r="AG101" s="81" t="s">
        <v>2042</v>
      </c>
      <c r="AH101" s="81" t="s">
        <v>2043</v>
      </c>
      <c r="AI101" s="81" t="s">
        <v>2044</v>
      </c>
      <c r="AJ101" s="82" t="s">
        <v>2045</v>
      </c>
    </row>
    <row r="102" spans="2:36" x14ac:dyDescent="0.2">
      <c r="B102" s="80" t="s">
        <v>2046</v>
      </c>
      <c r="C102" s="81" t="s">
        <v>2047</v>
      </c>
      <c r="D102" s="81" t="s">
        <v>2048</v>
      </c>
      <c r="E102" s="81" t="s">
        <v>2049</v>
      </c>
      <c r="F102" s="81" t="s">
        <v>2050</v>
      </c>
      <c r="G102" s="81" t="s">
        <v>2051</v>
      </c>
      <c r="H102" s="83" t="s">
        <v>2052</v>
      </c>
      <c r="I102" s="81" t="s">
        <v>2053</v>
      </c>
      <c r="J102" s="81" t="s">
        <v>2054</v>
      </c>
      <c r="K102" s="81" t="s">
        <v>2055</v>
      </c>
      <c r="L102" s="81" t="s">
        <v>2056</v>
      </c>
      <c r="M102" s="81" t="s">
        <v>2057</v>
      </c>
      <c r="N102" s="81" t="s">
        <v>2058</v>
      </c>
      <c r="O102" s="81" t="s">
        <v>2059</v>
      </c>
      <c r="P102" s="81" t="s">
        <v>2060</v>
      </c>
      <c r="Q102" s="81" t="s">
        <v>2061</v>
      </c>
      <c r="R102" s="81" t="s">
        <v>2062</v>
      </c>
      <c r="S102" s="81" t="s">
        <v>2063</v>
      </c>
      <c r="T102" s="81" t="s">
        <v>2064</v>
      </c>
      <c r="U102" s="81" t="s">
        <v>2065</v>
      </c>
      <c r="V102" s="81" t="s">
        <v>2066</v>
      </c>
      <c r="W102" s="81" t="s">
        <v>2067</v>
      </c>
      <c r="X102" s="81" t="s">
        <v>2068</v>
      </c>
      <c r="Y102" s="81" t="s">
        <v>2069</v>
      </c>
      <c r="Z102" s="81" t="s">
        <v>2070</v>
      </c>
      <c r="AA102" s="81" t="s">
        <v>2071</v>
      </c>
      <c r="AB102" s="81" t="s">
        <v>2072</v>
      </c>
      <c r="AC102" s="81" t="s">
        <v>2073</v>
      </c>
      <c r="AD102" s="81" t="s">
        <v>2074</v>
      </c>
      <c r="AE102" s="81" t="s">
        <v>2075</v>
      </c>
      <c r="AF102" s="81" t="s">
        <v>2076</v>
      </c>
      <c r="AG102" s="81" t="s">
        <v>2077</v>
      </c>
      <c r="AH102" s="81" t="s">
        <v>2078</v>
      </c>
      <c r="AI102" s="81" t="s">
        <v>2079</v>
      </c>
      <c r="AJ102" s="82" t="s">
        <v>2080</v>
      </c>
    </row>
    <row r="103" spans="2:36" x14ac:dyDescent="0.2">
      <c r="B103" s="80" t="s">
        <v>2081</v>
      </c>
      <c r="C103" s="81" t="s">
        <v>2082</v>
      </c>
      <c r="D103" s="81" t="s">
        <v>2083</v>
      </c>
      <c r="E103" s="81" t="s">
        <v>2084</v>
      </c>
      <c r="F103" s="81" t="s">
        <v>2085</v>
      </c>
      <c r="G103" s="81" t="s">
        <v>2086</v>
      </c>
      <c r="H103" s="83" t="s">
        <v>2087</v>
      </c>
      <c r="I103" s="81" t="s">
        <v>2088</v>
      </c>
      <c r="J103" s="81" t="s">
        <v>2089</v>
      </c>
      <c r="K103" s="81" t="s">
        <v>2090</v>
      </c>
      <c r="L103" s="81" t="s">
        <v>2091</v>
      </c>
      <c r="M103" s="81" t="s">
        <v>2092</v>
      </c>
      <c r="N103" s="81" t="s">
        <v>2093</v>
      </c>
      <c r="O103" s="81" t="s">
        <v>2094</v>
      </c>
      <c r="P103" s="81" t="s">
        <v>2095</v>
      </c>
      <c r="Q103" s="81" t="s">
        <v>2096</v>
      </c>
      <c r="R103" s="81" t="s">
        <v>2097</v>
      </c>
      <c r="S103" s="81" t="s">
        <v>2098</v>
      </c>
      <c r="T103" s="81" t="s">
        <v>2099</v>
      </c>
      <c r="U103" s="81" t="s">
        <v>2100</v>
      </c>
      <c r="V103" s="81" t="s">
        <v>2101</v>
      </c>
      <c r="W103" s="81" t="s">
        <v>2102</v>
      </c>
      <c r="X103" s="81"/>
      <c r="Y103" s="81" t="s">
        <v>2103</v>
      </c>
      <c r="Z103" s="81" t="s">
        <v>2104</v>
      </c>
      <c r="AA103" s="81" t="s">
        <v>2105</v>
      </c>
      <c r="AB103" s="81" t="s">
        <v>2106</v>
      </c>
      <c r="AC103" s="81"/>
      <c r="AD103" s="81" t="s">
        <v>2107</v>
      </c>
      <c r="AE103" s="81" t="s">
        <v>2108</v>
      </c>
      <c r="AF103" s="81" t="s">
        <v>2109</v>
      </c>
      <c r="AG103" s="81" t="s">
        <v>2110</v>
      </c>
      <c r="AH103" s="81" t="s">
        <v>2111</v>
      </c>
      <c r="AI103" s="81" t="s">
        <v>2112</v>
      </c>
      <c r="AJ103" s="82" t="s">
        <v>2113</v>
      </c>
    </row>
    <row r="104" spans="2:36" x14ac:dyDescent="0.2">
      <c r="B104" s="80" t="s">
        <v>2114</v>
      </c>
      <c r="C104" s="81" t="s">
        <v>2115</v>
      </c>
      <c r="D104" s="81"/>
      <c r="E104" s="81" t="s">
        <v>2116</v>
      </c>
      <c r="F104" s="81"/>
      <c r="G104" s="81"/>
      <c r="H104" s="81"/>
      <c r="I104" s="81"/>
      <c r="J104" s="81"/>
      <c r="K104" s="81"/>
      <c r="L104" s="81" t="s">
        <v>2117</v>
      </c>
      <c r="M104" s="81" t="s">
        <v>2118</v>
      </c>
      <c r="N104" s="81" t="s">
        <v>2119</v>
      </c>
      <c r="O104" s="81" t="s">
        <v>2120</v>
      </c>
      <c r="P104" s="81" t="s">
        <v>2121</v>
      </c>
      <c r="Q104" s="81" t="s">
        <v>2122</v>
      </c>
      <c r="R104" s="81" t="s">
        <v>2123</v>
      </c>
      <c r="S104" s="81"/>
      <c r="T104" s="81"/>
      <c r="U104" s="81"/>
      <c r="V104" s="81"/>
      <c r="W104" s="81"/>
      <c r="X104" s="81"/>
      <c r="Y104" s="81"/>
      <c r="Z104" s="81"/>
      <c r="AA104" s="81"/>
      <c r="AB104" s="81"/>
      <c r="AC104" s="81"/>
      <c r="AD104" s="81"/>
      <c r="AE104" s="81"/>
      <c r="AF104" s="81"/>
      <c r="AG104" s="81"/>
      <c r="AH104" s="81"/>
      <c r="AI104" s="81"/>
      <c r="AJ104" s="82" t="s">
        <v>2124</v>
      </c>
    </row>
    <row r="105" spans="2:36" x14ac:dyDescent="0.2">
      <c r="B105" s="80" t="s">
        <v>2125</v>
      </c>
      <c r="C105" s="81" t="s">
        <v>2126</v>
      </c>
      <c r="D105" s="81" t="s">
        <v>2127</v>
      </c>
      <c r="E105" s="81" t="s">
        <v>2128</v>
      </c>
      <c r="F105" s="81" t="s">
        <v>2129</v>
      </c>
      <c r="G105" s="81" t="s">
        <v>2130</v>
      </c>
      <c r="H105" s="83" t="s">
        <v>2131</v>
      </c>
      <c r="I105" s="81" t="s">
        <v>2132</v>
      </c>
      <c r="J105" s="81" t="s">
        <v>2133</v>
      </c>
      <c r="K105" s="81" t="s">
        <v>2134</v>
      </c>
      <c r="L105" s="81"/>
      <c r="M105" s="81" t="s">
        <v>2135</v>
      </c>
      <c r="N105" s="81"/>
      <c r="O105" s="81" t="s">
        <v>2136</v>
      </c>
      <c r="P105" s="81" t="s">
        <v>2137</v>
      </c>
      <c r="Q105" s="81"/>
      <c r="R105" s="81"/>
      <c r="S105" s="81"/>
      <c r="T105" s="81"/>
      <c r="U105" s="81"/>
      <c r="V105" s="81"/>
      <c r="W105" s="81"/>
      <c r="X105" s="81"/>
      <c r="Y105" s="81"/>
      <c r="Z105" s="81"/>
      <c r="AA105" s="81"/>
      <c r="AB105" s="81"/>
      <c r="AC105" s="81"/>
      <c r="AD105" s="81"/>
      <c r="AE105" s="81"/>
      <c r="AF105" s="81"/>
      <c r="AG105" s="81"/>
      <c r="AH105" s="81"/>
      <c r="AI105" s="81"/>
      <c r="AJ105" s="82" t="s">
        <v>2138</v>
      </c>
    </row>
    <row r="106" spans="2:36" x14ac:dyDescent="0.2">
      <c r="B106" s="80" t="s">
        <v>2139</v>
      </c>
      <c r="C106" s="81" t="s">
        <v>2140</v>
      </c>
      <c r="D106" s="81"/>
      <c r="E106" s="81" t="s">
        <v>2141</v>
      </c>
      <c r="F106" s="81"/>
      <c r="G106" s="81"/>
      <c r="H106" s="81"/>
      <c r="I106" s="81"/>
      <c r="J106" s="81"/>
      <c r="K106" s="81" t="s">
        <v>2142</v>
      </c>
      <c r="L106" s="81" t="s">
        <v>2143</v>
      </c>
      <c r="M106" s="81" t="s">
        <v>2144</v>
      </c>
      <c r="N106" s="81"/>
      <c r="O106" s="81" t="s">
        <v>2145</v>
      </c>
      <c r="P106" s="81" t="s">
        <v>2146</v>
      </c>
      <c r="Q106" s="81"/>
      <c r="R106" s="81"/>
      <c r="S106" s="81" t="s">
        <v>2147</v>
      </c>
      <c r="T106" s="81" t="s">
        <v>2148</v>
      </c>
      <c r="U106" s="81"/>
      <c r="V106" s="81"/>
      <c r="W106" s="81"/>
      <c r="X106" s="81"/>
      <c r="Y106" s="81"/>
      <c r="Z106" s="81"/>
      <c r="AA106" s="81"/>
      <c r="AB106" s="81"/>
      <c r="AC106" s="81"/>
      <c r="AD106" s="81"/>
      <c r="AE106" s="81"/>
      <c r="AF106" s="81"/>
      <c r="AG106" s="81"/>
      <c r="AH106" s="81"/>
      <c r="AI106" s="81"/>
      <c r="AJ106" s="82" t="s">
        <v>2149</v>
      </c>
    </row>
    <row r="107" spans="2:36" x14ac:dyDescent="0.2">
      <c r="B107" s="80" t="s">
        <v>2150</v>
      </c>
      <c r="C107" s="81" t="s">
        <v>2151</v>
      </c>
      <c r="D107" s="81" t="s">
        <v>2152</v>
      </c>
      <c r="E107" s="81" t="s">
        <v>2153</v>
      </c>
      <c r="F107" s="81" t="s">
        <v>2154</v>
      </c>
      <c r="G107" s="81" t="s">
        <v>2155</v>
      </c>
      <c r="H107" s="83" t="s">
        <v>2156</v>
      </c>
      <c r="I107" s="81" t="s">
        <v>2157</v>
      </c>
      <c r="J107" s="81" t="s">
        <v>2158</v>
      </c>
      <c r="K107" s="81" t="s">
        <v>2159</v>
      </c>
      <c r="L107" s="81"/>
      <c r="M107" s="81" t="s">
        <v>2160</v>
      </c>
      <c r="N107" s="81" t="s">
        <v>2161</v>
      </c>
      <c r="O107" s="81" t="s">
        <v>2162</v>
      </c>
      <c r="P107" s="81" t="s">
        <v>2163</v>
      </c>
      <c r="Q107" s="81" t="s">
        <v>2164</v>
      </c>
      <c r="R107" s="81" t="s">
        <v>2165</v>
      </c>
      <c r="S107" s="81" t="s">
        <v>2166</v>
      </c>
      <c r="T107" s="81" t="s">
        <v>2167</v>
      </c>
      <c r="U107" s="81" t="s">
        <v>2168</v>
      </c>
      <c r="V107" s="81" t="s">
        <v>2169</v>
      </c>
      <c r="W107" s="81" t="s">
        <v>2170</v>
      </c>
      <c r="X107" s="81" t="s">
        <v>2171</v>
      </c>
      <c r="Y107" s="81" t="s">
        <v>2172</v>
      </c>
      <c r="Z107" s="81" t="s">
        <v>2173</v>
      </c>
      <c r="AA107" s="81"/>
      <c r="AB107" s="81"/>
      <c r="AC107" s="81" t="s">
        <v>2174</v>
      </c>
      <c r="AD107" s="81" t="s">
        <v>2175</v>
      </c>
      <c r="AE107" s="81" t="s">
        <v>2176</v>
      </c>
      <c r="AF107" s="81" t="s">
        <v>2177</v>
      </c>
      <c r="AG107" s="81" t="s">
        <v>2178</v>
      </c>
      <c r="AH107" s="81" t="s">
        <v>2179</v>
      </c>
      <c r="AI107" s="81" t="s">
        <v>2180</v>
      </c>
      <c r="AJ107" s="82" t="s">
        <v>2181</v>
      </c>
    </row>
    <row r="108" spans="2:36" x14ac:dyDescent="0.2">
      <c r="B108" s="80" t="s">
        <v>2182</v>
      </c>
      <c r="C108" s="81" t="s">
        <v>2183</v>
      </c>
      <c r="D108" s="81"/>
      <c r="E108" s="81" t="s">
        <v>2184</v>
      </c>
      <c r="F108" s="81"/>
      <c r="G108" s="81"/>
      <c r="H108" s="81"/>
      <c r="I108" s="81"/>
      <c r="J108" s="81"/>
      <c r="K108" s="81"/>
      <c r="L108" s="81" t="s">
        <v>2185</v>
      </c>
      <c r="M108" s="81" t="s">
        <v>2186</v>
      </c>
      <c r="N108" s="81"/>
      <c r="O108" s="81" t="s">
        <v>2187</v>
      </c>
      <c r="P108" s="81" t="s">
        <v>2188</v>
      </c>
      <c r="Q108" s="81" t="s">
        <v>2189</v>
      </c>
      <c r="R108" s="81" t="s">
        <v>2190</v>
      </c>
      <c r="S108" s="81"/>
      <c r="T108" s="81"/>
      <c r="U108" s="81"/>
      <c r="V108" s="81"/>
      <c r="W108" s="81"/>
      <c r="X108" s="81"/>
      <c r="Y108" s="81"/>
      <c r="Z108" s="81"/>
      <c r="AA108" s="81"/>
      <c r="AB108" s="81"/>
      <c r="AC108" s="81"/>
      <c r="AD108" s="81"/>
      <c r="AE108" s="81"/>
      <c r="AF108" s="81"/>
      <c r="AG108" s="81"/>
      <c r="AH108" s="81"/>
      <c r="AI108" s="81"/>
      <c r="AJ108" s="82" t="s">
        <v>2191</v>
      </c>
    </row>
    <row r="109" spans="2:36" x14ac:dyDescent="0.2">
      <c r="B109" s="80" t="s">
        <v>2192</v>
      </c>
      <c r="C109" s="81" t="s">
        <v>2193</v>
      </c>
      <c r="D109" s="81" t="s">
        <v>2194</v>
      </c>
      <c r="E109" s="81" t="s">
        <v>2195</v>
      </c>
      <c r="F109" s="81" t="s">
        <v>2196</v>
      </c>
      <c r="G109" s="81" t="s">
        <v>2197</v>
      </c>
      <c r="H109" s="83" t="s">
        <v>2198</v>
      </c>
      <c r="I109" s="81" t="s">
        <v>2199</v>
      </c>
      <c r="J109" s="81" t="s">
        <v>2200</v>
      </c>
      <c r="K109" s="81" t="s">
        <v>2201</v>
      </c>
      <c r="L109" s="81" t="s">
        <v>2202</v>
      </c>
      <c r="M109" s="81" t="s">
        <v>2203</v>
      </c>
      <c r="N109" s="81" t="s">
        <v>2204</v>
      </c>
      <c r="O109" s="81" t="s">
        <v>2205</v>
      </c>
      <c r="P109" s="81" t="s">
        <v>2206</v>
      </c>
      <c r="Q109" s="81" t="s">
        <v>2207</v>
      </c>
      <c r="R109" s="81" t="s">
        <v>2208</v>
      </c>
      <c r="S109" s="81"/>
      <c r="T109" s="81"/>
      <c r="U109" s="81" t="s">
        <v>2209</v>
      </c>
      <c r="V109" s="81" t="s">
        <v>2210</v>
      </c>
      <c r="W109" s="81" t="s">
        <v>2211</v>
      </c>
      <c r="X109" s="81"/>
      <c r="Y109" s="81" t="s">
        <v>2212</v>
      </c>
      <c r="Z109" s="81" t="s">
        <v>2213</v>
      </c>
      <c r="AA109" s="81"/>
      <c r="AB109" s="81"/>
      <c r="AC109" s="81" t="s">
        <v>2214</v>
      </c>
      <c r="AD109" s="81" t="s">
        <v>2215</v>
      </c>
      <c r="AE109" s="81" t="s">
        <v>2216</v>
      </c>
      <c r="AF109" s="81" t="s">
        <v>2217</v>
      </c>
      <c r="AG109" s="81" t="s">
        <v>2218</v>
      </c>
      <c r="AH109" s="81" t="s">
        <v>2219</v>
      </c>
      <c r="AI109" s="81" t="s">
        <v>2220</v>
      </c>
      <c r="AJ109" s="82" t="s">
        <v>2221</v>
      </c>
    </row>
    <row r="110" spans="2:36" x14ac:dyDescent="0.2">
      <c r="B110" s="80" t="s">
        <v>2222</v>
      </c>
      <c r="C110" s="81" t="s">
        <v>2223</v>
      </c>
      <c r="D110" s="81"/>
      <c r="E110" s="81"/>
      <c r="F110" s="81"/>
      <c r="G110" s="81"/>
      <c r="H110" s="81"/>
      <c r="I110" s="81"/>
      <c r="J110" s="81"/>
      <c r="K110" s="81"/>
      <c r="L110" s="81"/>
      <c r="M110" s="81"/>
      <c r="N110" s="81"/>
      <c r="O110" s="81" t="s">
        <v>2224</v>
      </c>
      <c r="P110" s="81" t="s">
        <v>2225</v>
      </c>
      <c r="Q110" s="81"/>
      <c r="R110" s="81"/>
      <c r="S110" s="81"/>
      <c r="T110" s="81"/>
      <c r="U110" s="81"/>
      <c r="V110" s="81"/>
      <c r="W110" s="81"/>
      <c r="X110" s="81"/>
      <c r="Y110" s="81"/>
      <c r="Z110" s="81"/>
      <c r="AA110" s="81"/>
      <c r="AB110" s="81"/>
      <c r="AC110" s="81"/>
      <c r="AD110" s="81"/>
      <c r="AE110" s="81"/>
      <c r="AF110" s="81"/>
      <c r="AG110" s="81"/>
      <c r="AH110" s="81"/>
      <c r="AI110" s="81"/>
      <c r="AJ110" s="82"/>
    </row>
    <row r="111" spans="2:36" x14ac:dyDescent="0.2">
      <c r="B111" s="80" t="s">
        <v>2226</v>
      </c>
      <c r="C111" s="81" t="s">
        <v>2227</v>
      </c>
      <c r="D111" s="81" t="s">
        <v>2228</v>
      </c>
      <c r="E111" s="81" t="s">
        <v>2229</v>
      </c>
      <c r="F111" s="81" t="s">
        <v>2230</v>
      </c>
      <c r="G111" s="81" t="s">
        <v>2231</v>
      </c>
      <c r="H111" s="83" t="s">
        <v>2232</v>
      </c>
      <c r="I111" s="81" t="s">
        <v>2233</v>
      </c>
      <c r="J111" s="81" t="s">
        <v>2234</v>
      </c>
      <c r="K111" s="81"/>
      <c r="L111" s="81"/>
      <c r="M111" s="81"/>
      <c r="N111" s="81"/>
      <c r="O111" s="81"/>
      <c r="P111" s="81"/>
      <c r="Q111" s="81" t="s">
        <v>2235</v>
      </c>
      <c r="R111" s="81" t="s">
        <v>2236</v>
      </c>
      <c r="S111" s="81"/>
      <c r="T111" s="81"/>
      <c r="U111" s="81"/>
      <c r="V111" s="81"/>
      <c r="W111" s="81"/>
      <c r="X111" s="81" t="s">
        <v>2237</v>
      </c>
      <c r="Y111" s="81"/>
      <c r="Z111" s="81" t="s">
        <v>2238</v>
      </c>
      <c r="AA111" s="81"/>
      <c r="AB111" s="81"/>
      <c r="AC111" s="81"/>
      <c r="AD111" s="81"/>
      <c r="AE111" s="81"/>
      <c r="AF111" s="81"/>
      <c r="AG111" s="81"/>
      <c r="AH111" s="81"/>
      <c r="AI111" s="81"/>
      <c r="AJ111" s="82" t="s">
        <v>2239</v>
      </c>
    </row>
    <row r="112" spans="2:36" x14ac:dyDescent="0.2">
      <c r="B112" s="80" t="s">
        <v>2240</v>
      </c>
      <c r="C112" s="81" t="s">
        <v>2241</v>
      </c>
      <c r="D112" s="81" t="s">
        <v>2242</v>
      </c>
      <c r="E112" s="81" t="s">
        <v>2243</v>
      </c>
      <c r="F112" s="81" t="s">
        <v>2244</v>
      </c>
      <c r="G112" s="81" t="s">
        <v>2245</v>
      </c>
      <c r="H112" s="83" t="s">
        <v>2246</v>
      </c>
      <c r="I112" s="81" t="s">
        <v>2247</v>
      </c>
      <c r="J112" s="81" t="s">
        <v>2248</v>
      </c>
      <c r="K112" s="81" t="s">
        <v>2249</v>
      </c>
      <c r="L112" s="81" t="s">
        <v>2250</v>
      </c>
      <c r="M112" s="81" t="s">
        <v>2251</v>
      </c>
      <c r="N112" s="81"/>
      <c r="O112" s="81" t="s">
        <v>2252</v>
      </c>
      <c r="P112" s="81" t="s">
        <v>2253</v>
      </c>
      <c r="Q112" s="81" t="s">
        <v>2254</v>
      </c>
      <c r="R112" s="81" t="s">
        <v>2255</v>
      </c>
      <c r="S112" s="81" t="s">
        <v>2256</v>
      </c>
      <c r="T112" s="81" t="s">
        <v>2257</v>
      </c>
      <c r="U112" s="81" t="s">
        <v>2258</v>
      </c>
      <c r="V112" s="81" t="s">
        <v>2259</v>
      </c>
      <c r="W112" s="81" t="s">
        <v>2260</v>
      </c>
      <c r="X112" s="81"/>
      <c r="Y112" s="81" t="s">
        <v>2261</v>
      </c>
      <c r="Z112" s="81" t="s">
        <v>2262</v>
      </c>
      <c r="AA112" s="81"/>
      <c r="AB112" s="81"/>
      <c r="AC112" s="81" t="s">
        <v>2263</v>
      </c>
      <c r="AD112" s="81" t="s">
        <v>2264</v>
      </c>
      <c r="AE112" s="81" t="s">
        <v>2265</v>
      </c>
      <c r="AF112" s="81" t="s">
        <v>2266</v>
      </c>
      <c r="AG112" s="81" t="s">
        <v>2267</v>
      </c>
      <c r="AH112" s="81" t="s">
        <v>2268</v>
      </c>
      <c r="AI112" s="81" t="s">
        <v>2269</v>
      </c>
      <c r="AJ112" s="82" t="s">
        <v>2270</v>
      </c>
    </row>
    <row r="113" spans="2:36" x14ac:dyDescent="0.2">
      <c r="B113" s="80" t="s">
        <v>2271</v>
      </c>
      <c r="C113" s="81" t="s">
        <v>2272</v>
      </c>
      <c r="D113" s="81" t="s">
        <v>2273</v>
      </c>
      <c r="E113" s="81" t="s">
        <v>2274</v>
      </c>
      <c r="F113" s="81" t="s">
        <v>2275</v>
      </c>
      <c r="G113" s="81" t="s">
        <v>2276</v>
      </c>
      <c r="H113" s="83" t="s">
        <v>2277</v>
      </c>
      <c r="I113" s="81" t="s">
        <v>2278</v>
      </c>
      <c r="J113" s="81" t="s">
        <v>2279</v>
      </c>
      <c r="K113" s="81" t="s">
        <v>2280</v>
      </c>
      <c r="L113" s="81" t="s">
        <v>2281</v>
      </c>
      <c r="M113" s="81" t="s">
        <v>2282</v>
      </c>
      <c r="N113" s="81" t="s">
        <v>2283</v>
      </c>
      <c r="O113" s="81" t="s">
        <v>2284</v>
      </c>
      <c r="P113" s="81" t="s">
        <v>2285</v>
      </c>
      <c r="Q113" s="81" t="s">
        <v>2286</v>
      </c>
      <c r="R113" s="81" t="s">
        <v>2287</v>
      </c>
      <c r="S113" s="81" t="s">
        <v>2288</v>
      </c>
      <c r="T113" s="81" t="s">
        <v>2289</v>
      </c>
      <c r="U113" s="81"/>
      <c r="V113" s="81"/>
      <c r="W113" s="81"/>
      <c r="X113" s="81"/>
      <c r="Y113" s="81" t="s">
        <v>2290</v>
      </c>
      <c r="Z113" s="81" t="s">
        <v>2291</v>
      </c>
      <c r="AA113" s="81" t="s">
        <v>2292</v>
      </c>
      <c r="AB113" s="81" t="s">
        <v>2293</v>
      </c>
      <c r="AC113" s="81" t="s">
        <v>2294</v>
      </c>
      <c r="AD113" s="81" t="s">
        <v>2295</v>
      </c>
      <c r="AE113" s="81" t="s">
        <v>2296</v>
      </c>
      <c r="AF113" s="81" t="s">
        <v>2297</v>
      </c>
      <c r="AG113" s="81" t="s">
        <v>2298</v>
      </c>
      <c r="AH113" s="81" t="s">
        <v>2299</v>
      </c>
      <c r="AI113" s="81" t="s">
        <v>2300</v>
      </c>
      <c r="AJ113" s="82" t="s">
        <v>2301</v>
      </c>
    </row>
    <row r="114" spans="2:36" x14ac:dyDescent="0.2">
      <c r="B114" s="80" t="s">
        <v>2302</v>
      </c>
      <c r="C114" s="81" t="s">
        <v>2303</v>
      </c>
      <c r="D114" s="81" t="s">
        <v>2304</v>
      </c>
      <c r="E114" s="81" t="s">
        <v>2305</v>
      </c>
      <c r="F114" s="81" t="s">
        <v>2306</v>
      </c>
      <c r="G114" s="81" t="s">
        <v>2307</v>
      </c>
      <c r="H114" s="83" t="s">
        <v>2308</v>
      </c>
      <c r="I114" s="81" t="s">
        <v>2309</v>
      </c>
      <c r="J114" s="81" t="s">
        <v>2310</v>
      </c>
      <c r="K114" s="81" t="s">
        <v>2311</v>
      </c>
      <c r="L114" s="81" t="s">
        <v>2312</v>
      </c>
      <c r="M114" s="81" t="s">
        <v>2313</v>
      </c>
      <c r="N114" s="81" t="s">
        <v>2314</v>
      </c>
      <c r="O114" s="81" t="s">
        <v>2315</v>
      </c>
      <c r="P114" s="81" t="s">
        <v>2316</v>
      </c>
      <c r="Q114" s="81" t="s">
        <v>2317</v>
      </c>
      <c r="R114" s="81" t="s">
        <v>2318</v>
      </c>
      <c r="S114" s="81" t="s">
        <v>2319</v>
      </c>
      <c r="T114" s="81" t="s">
        <v>2320</v>
      </c>
      <c r="U114" s="81"/>
      <c r="V114" s="81"/>
      <c r="W114" s="81"/>
      <c r="X114" s="81" t="s">
        <v>2321</v>
      </c>
      <c r="Y114" s="81" t="s">
        <v>2322</v>
      </c>
      <c r="Z114" s="81" t="s">
        <v>2323</v>
      </c>
      <c r="AA114" s="81"/>
      <c r="AB114" s="81"/>
      <c r="AC114" s="81" t="s">
        <v>2324</v>
      </c>
      <c r="AD114" s="81" t="s">
        <v>2325</v>
      </c>
      <c r="AE114" s="81" t="s">
        <v>2326</v>
      </c>
      <c r="AF114" s="81" t="s">
        <v>2327</v>
      </c>
      <c r="AG114" s="81" t="s">
        <v>2328</v>
      </c>
      <c r="AH114" s="81" t="s">
        <v>2329</v>
      </c>
      <c r="AI114" s="81" t="s">
        <v>2330</v>
      </c>
      <c r="AJ114" s="82" t="s">
        <v>2331</v>
      </c>
    </row>
    <row r="115" spans="2:36" x14ac:dyDescent="0.2">
      <c r="B115" s="80" t="s">
        <v>2332</v>
      </c>
      <c r="C115" s="81" t="s">
        <v>2333</v>
      </c>
      <c r="D115" s="81" t="s">
        <v>2334</v>
      </c>
      <c r="E115" s="81" t="s">
        <v>2335</v>
      </c>
      <c r="F115" s="81" t="s">
        <v>2336</v>
      </c>
      <c r="G115" s="81" t="s">
        <v>2337</v>
      </c>
      <c r="H115" s="83" t="s">
        <v>2338</v>
      </c>
      <c r="I115" s="81" t="s">
        <v>2339</v>
      </c>
      <c r="J115" s="81" t="s">
        <v>2340</v>
      </c>
      <c r="K115" s="81" t="s">
        <v>2341</v>
      </c>
      <c r="L115" s="81" t="s">
        <v>2342</v>
      </c>
      <c r="M115" s="81" t="s">
        <v>2343</v>
      </c>
      <c r="N115" s="81"/>
      <c r="O115" s="81" t="s">
        <v>2344</v>
      </c>
      <c r="P115" s="81" t="s">
        <v>2345</v>
      </c>
      <c r="Q115" s="81" t="s">
        <v>2346</v>
      </c>
      <c r="R115" s="81" t="s">
        <v>2347</v>
      </c>
      <c r="S115" s="81" t="s">
        <v>2348</v>
      </c>
      <c r="T115" s="81" t="s">
        <v>2349</v>
      </c>
      <c r="U115" s="81"/>
      <c r="V115" s="81"/>
      <c r="W115" s="81"/>
      <c r="X115" s="81"/>
      <c r="Y115" s="81" t="s">
        <v>2350</v>
      </c>
      <c r="Z115" s="81" t="s">
        <v>2351</v>
      </c>
      <c r="AA115" s="81" t="s">
        <v>2352</v>
      </c>
      <c r="AB115" s="81" t="s">
        <v>2353</v>
      </c>
      <c r="AC115" s="81" t="s">
        <v>2354</v>
      </c>
      <c r="AD115" s="81" t="s">
        <v>2355</v>
      </c>
      <c r="AE115" s="81" t="s">
        <v>2356</v>
      </c>
      <c r="AF115" s="81" t="s">
        <v>2357</v>
      </c>
      <c r="AG115" s="81" t="s">
        <v>2358</v>
      </c>
      <c r="AH115" s="81" t="s">
        <v>2359</v>
      </c>
      <c r="AI115" s="81" t="s">
        <v>2360</v>
      </c>
      <c r="AJ115" s="82" t="s">
        <v>2361</v>
      </c>
    </row>
    <row r="116" spans="2:36" x14ac:dyDescent="0.2">
      <c r="B116" s="80" t="s">
        <v>2362</v>
      </c>
      <c r="C116" s="81" t="s">
        <v>2363</v>
      </c>
      <c r="D116" s="81" t="s">
        <v>2364</v>
      </c>
      <c r="E116" s="81" t="s">
        <v>2365</v>
      </c>
      <c r="F116" s="81"/>
      <c r="G116" s="81"/>
      <c r="H116" s="81"/>
      <c r="I116" s="81"/>
      <c r="J116" s="81"/>
      <c r="K116" s="81" t="s">
        <v>2366</v>
      </c>
      <c r="L116" s="81" t="s">
        <v>2367</v>
      </c>
      <c r="M116" s="81" t="s">
        <v>2368</v>
      </c>
      <c r="N116" s="81" t="s">
        <v>2369</v>
      </c>
      <c r="O116" s="81" t="s">
        <v>2370</v>
      </c>
      <c r="P116" s="81" t="s">
        <v>2371</v>
      </c>
      <c r="Q116" s="81"/>
      <c r="R116" s="81"/>
      <c r="S116" s="81"/>
      <c r="T116" s="81"/>
      <c r="U116" s="81"/>
      <c r="V116" s="81"/>
      <c r="W116" s="81"/>
      <c r="X116" s="81"/>
      <c r="Y116" s="81"/>
      <c r="Z116" s="81"/>
      <c r="AA116" s="81"/>
      <c r="AB116" s="81"/>
      <c r="AC116" s="81"/>
      <c r="AD116" s="81"/>
      <c r="AE116" s="81"/>
      <c r="AF116" s="81"/>
      <c r="AG116" s="81"/>
      <c r="AH116" s="81"/>
      <c r="AI116" s="81"/>
      <c r="AJ116" s="82" t="s">
        <v>2372</v>
      </c>
    </row>
    <row r="117" spans="2:36" x14ac:dyDescent="0.2">
      <c r="B117" s="80" t="s">
        <v>2373</v>
      </c>
      <c r="C117" s="81" t="s">
        <v>2374</v>
      </c>
      <c r="D117" s="81" t="s">
        <v>2375</v>
      </c>
      <c r="E117" s="81" t="s">
        <v>2376</v>
      </c>
      <c r="F117" s="81" t="s">
        <v>2377</v>
      </c>
      <c r="G117" s="81" t="s">
        <v>2378</v>
      </c>
      <c r="H117" s="83" t="s">
        <v>2379</v>
      </c>
      <c r="I117" s="81" t="s">
        <v>2380</v>
      </c>
      <c r="J117" s="81" t="s">
        <v>2381</v>
      </c>
      <c r="K117" s="81" t="s">
        <v>2382</v>
      </c>
      <c r="L117" s="81" t="s">
        <v>2383</v>
      </c>
      <c r="M117" s="81" t="s">
        <v>2384</v>
      </c>
      <c r="N117" s="81" t="s">
        <v>2385</v>
      </c>
      <c r="O117" s="81" t="s">
        <v>2386</v>
      </c>
      <c r="P117" s="81" t="s">
        <v>2387</v>
      </c>
      <c r="Q117" s="81" t="s">
        <v>2388</v>
      </c>
      <c r="R117" s="81" t="s">
        <v>2389</v>
      </c>
      <c r="S117" s="81" t="s">
        <v>2390</v>
      </c>
      <c r="T117" s="81" t="s">
        <v>2391</v>
      </c>
      <c r="U117" s="81"/>
      <c r="V117" s="81"/>
      <c r="W117" s="81"/>
      <c r="X117" s="81"/>
      <c r="Y117" s="81" t="s">
        <v>2392</v>
      </c>
      <c r="Z117" s="81" t="s">
        <v>2393</v>
      </c>
      <c r="AA117" s="81"/>
      <c r="AB117" s="81"/>
      <c r="AC117" s="81" t="s">
        <v>2394</v>
      </c>
      <c r="AD117" s="81" t="s">
        <v>2395</v>
      </c>
      <c r="AE117" s="81" t="s">
        <v>2396</v>
      </c>
      <c r="AF117" s="81" t="s">
        <v>2397</v>
      </c>
      <c r="AG117" s="81" t="s">
        <v>2398</v>
      </c>
      <c r="AH117" s="81" t="s">
        <v>2399</v>
      </c>
      <c r="AI117" s="81" t="s">
        <v>2400</v>
      </c>
      <c r="AJ117" s="82" t="s">
        <v>2401</v>
      </c>
    </row>
    <row r="118" spans="2:36" x14ac:dyDescent="0.2">
      <c r="B118" s="80" t="s">
        <v>2402</v>
      </c>
      <c r="C118" s="81" t="s">
        <v>2403</v>
      </c>
      <c r="D118" s="81" t="s">
        <v>2404</v>
      </c>
      <c r="E118" s="81" t="s">
        <v>2405</v>
      </c>
      <c r="F118" s="81" t="s">
        <v>2406</v>
      </c>
      <c r="G118" s="81" t="s">
        <v>2407</v>
      </c>
      <c r="H118" s="83" t="s">
        <v>2408</v>
      </c>
      <c r="I118" s="81" t="s">
        <v>2409</v>
      </c>
      <c r="J118" s="81" t="s">
        <v>2410</v>
      </c>
      <c r="K118" s="81" t="s">
        <v>2411</v>
      </c>
      <c r="L118" s="81" t="s">
        <v>2412</v>
      </c>
      <c r="M118" s="81" t="s">
        <v>2413</v>
      </c>
      <c r="N118" s="81"/>
      <c r="O118" s="81" t="s">
        <v>2414</v>
      </c>
      <c r="P118" s="81" t="s">
        <v>2415</v>
      </c>
      <c r="Q118" s="81" t="s">
        <v>2416</v>
      </c>
      <c r="R118" s="81" t="s">
        <v>2417</v>
      </c>
      <c r="S118" s="81" t="s">
        <v>2418</v>
      </c>
      <c r="T118" s="81" t="s">
        <v>2419</v>
      </c>
      <c r="U118" s="81"/>
      <c r="V118" s="81"/>
      <c r="W118" s="81"/>
      <c r="X118" s="81"/>
      <c r="Y118" s="81" t="s">
        <v>2420</v>
      </c>
      <c r="Z118" s="81" t="s">
        <v>2421</v>
      </c>
      <c r="AA118" s="81" t="s">
        <v>2422</v>
      </c>
      <c r="AB118" s="81" t="s">
        <v>2423</v>
      </c>
      <c r="AC118" s="81" t="s">
        <v>2424</v>
      </c>
      <c r="AD118" s="81" t="s">
        <v>2425</v>
      </c>
      <c r="AE118" s="81" t="s">
        <v>2426</v>
      </c>
      <c r="AF118" s="81" t="s">
        <v>2427</v>
      </c>
      <c r="AG118" s="81" t="s">
        <v>2428</v>
      </c>
      <c r="AH118" s="81" t="s">
        <v>2429</v>
      </c>
      <c r="AI118" s="81" t="s">
        <v>2430</v>
      </c>
      <c r="AJ118" s="82" t="s">
        <v>2431</v>
      </c>
    </row>
    <row r="119" spans="2:36" x14ac:dyDescent="0.2">
      <c r="B119" s="80" t="s">
        <v>2432</v>
      </c>
      <c r="C119" s="81" t="s">
        <v>2433</v>
      </c>
      <c r="D119" s="81"/>
      <c r="E119" s="81"/>
      <c r="F119" s="81"/>
      <c r="G119" s="81"/>
      <c r="H119" s="81"/>
      <c r="I119" s="81"/>
      <c r="J119" s="81"/>
      <c r="K119" s="81"/>
      <c r="L119" s="81"/>
      <c r="M119" s="81"/>
      <c r="N119" s="81"/>
      <c r="O119" s="81" t="s">
        <v>2434</v>
      </c>
      <c r="P119" s="81" t="s">
        <v>2435</v>
      </c>
      <c r="Q119" s="81"/>
      <c r="R119" s="81"/>
      <c r="S119" s="81"/>
      <c r="T119" s="81"/>
      <c r="U119" s="81"/>
      <c r="V119" s="81"/>
      <c r="W119" s="81"/>
      <c r="X119" s="81"/>
      <c r="Y119" s="81"/>
      <c r="Z119" s="81"/>
      <c r="AA119" s="81"/>
      <c r="AB119" s="81"/>
      <c r="AC119" s="81"/>
      <c r="AD119" s="81"/>
      <c r="AE119" s="81"/>
      <c r="AF119" s="81"/>
      <c r="AG119" s="81"/>
      <c r="AH119" s="81"/>
      <c r="AI119" s="81"/>
      <c r="AJ119" s="82"/>
    </row>
    <row r="120" spans="2:36" x14ac:dyDescent="0.2">
      <c r="B120" s="80" t="s">
        <v>2436</v>
      </c>
      <c r="C120" s="81" t="s">
        <v>2437</v>
      </c>
      <c r="D120" s="81" t="s">
        <v>2438</v>
      </c>
      <c r="E120" s="81" t="s">
        <v>2439</v>
      </c>
      <c r="F120" s="81"/>
      <c r="G120" s="81"/>
      <c r="H120" s="81"/>
      <c r="I120" s="81"/>
      <c r="J120" s="81"/>
      <c r="K120" s="81" t="s">
        <v>2440</v>
      </c>
      <c r="L120" s="81" t="s">
        <v>2441</v>
      </c>
      <c r="M120" s="81" t="s">
        <v>2442</v>
      </c>
      <c r="N120" s="81" t="s">
        <v>2443</v>
      </c>
      <c r="O120" s="81" t="s">
        <v>2444</v>
      </c>
      <c r="P120" s="81" t="s">
        <v>2445</v>
      </c>
      <c r="Q120" s="81"/>
      <c r="R120" s="81"/>
      <c r="S120" s="81"/>
      <c r="T120" s="81"/>
      <c r="U120" s="81"/>
      <c r="V120" s="81"/>
      <c r="W120" s="81"/>
      <c r="X120" s="81"/>
      <c r="Y120" s="81"/>
      <c r="Z120" s="81"/>
      <c r="AA120" s="81"/>
      <c r="AB120" s="81"/>
      <c r="AC120" s="81"/>
      <c r="AD120" s="81"/>
      <c r="AE120" s="81"/>
      <c r="AF120" s="81"/>
      <c r="AG120" s="81"/>
      <c r="AH120" s="81"/>
      <c r="AI120" s="81"/>
      <c r="AJ120" s="82" t="s">
        <v>2446</v>
      </c>
    </row>
    <row r="121" spans="2:36" x14ac:dyDescent="0.2">
      <c r="B121" s="80" t="s">
        <v>2447</v>
      </c>
      <c r="C121" s="81" t="s">
        <v>2448</v>
      </c>
      <c r="D121" s="81"/>
      <c r="E121" s="81" t="s">
        <v>2449</v>
      </c>
      <c r="F121" s="81"/>
      <c r="G121" s="81"/>
      <c r="H121" s="81"/>
      <c r="I121" s="81"/>
      <c r="J121" s="81"/>
      <c r="K121" s="81" t="s">
        <v>2450</v>
      </c>
      <c r="L121" s="81" t="s">
        <v>2451</v>
      </c>
      <c r="M121" s="81" t="s">
        <v>2452</v>
      </c>
      <c r="N121" s="81" t="s">
        <v>2453</v>
      </c>
      <c r="O121" s="81" t="s">
        <v>2454</v>
      </c>
      <c r="P121" s="81" t="s">
        <v>2455</v>
      </c>
      <c r="Q121" s="81"/>
      <c r="R121" s="81"/>
      <c r="S121" s="81"/>
      <c r="T121" s="81"/>
      <c r="U121" s="81"/>
      <c r="V121" s="81"/>
      <c r="W121" s="81"/>
      <c r="X121" s="81"/>
      <c r="Y121" s="81"/>
      <c r="Z121" s="81"/>
      <c r="AA121" s="81"/>
      <c r="AB121" s="81"/>
      <c r="AC121" s="81"/>
      <c r="AD121" s="81"/>
      <c r="AE121" s="81"/>
      <c r="AF121" s="81"/>
      <c r="AG121" s="81"/>
      <c r="AH121" s="81"/>
      <c r="AI121" s="81"/>
      <c r="AJ121" s="82" t="s">
        <v>2456</v>
      </c>
    </row>
    <row r="122" spans="2:36" x14ac:dyDescent="0.2">
      <c r="B122" s="80" t="s">
        <v>2457</v>
      </c>
      <c r="C122" s="81" t="s">
        <v>2458</v>
      </c>
      <c r="D122" s="81" t="s">
        <v>2459</v>
      </c>
      <c r="E122" s="81" t="s">
        <v>2460</v>
      </c>
      <c r="F122" s="81" t="s">
        <v>2461</v>
      </c>
      <c r="G122" s="81" t="s">
        <v>2462</v>
      </c>
      <c r="H122" s="83" t="s">
        <v>2463</v>
      </c>
      <c r="I122" s="81" t="s">
        <v>2464</v>
      </c>
      <c r="J122" s="81" t="s">
        <v>2465</v>
      </c>
      <c r="K122" s="81" t="s">
        <v>2466</v>
      </c>
      <c r="L122" s="81"/>
      <c r="M122" s="81" t="s">
        <v>2467</v>
      </c>
      <c r="N122" s="81"/>
      <c r="O122" s="81" t="s">
        <v>2468</v>
      </c>
      <c r="P122" s="81" t="s">
        <v>2469</v>
      </c>
      <c r="Q122" s="81" t="s">
        <v>2470</v>
      </c>
      <c r="R122" s="81" t="s">
        <v>2471</v>
      </c>
      <c r="S122" s="81"/>
      <c r="T122" s="81"/>
      <c r="U122" s="81"/>
      <c r="V122" s="81"/>
      <c r="W122" s="81"/>
      <c r="X122" s="81"/>
      <c r="Y122" s="81"/>
      <c r="Z122" s="81"/>
      <c r="AA122" s="81"/>
      <c r="AB122" s="81"/>
      <c r="AC122" s="81"/>
      <c r="AD122" s="81"/>
      <c r="AE122" s="81"/>
      <c r="AF122" s="81"/>
      <c r="AG122" s="81"/>
      <c r="AH122" s="81"/>
      <c r="AI122" s="81"/>
      <c r="AJ122" s="82" t="s">
        <v>2472</v>
      </c>
    </row>
    <row r="123" spans="2:36" x14ac:dyDescent="0.2">
      <c r="B123" s="80" t="s">
        <v>2473</v>
      </c>
      <c r="C123" s="81" t="s">
        <v>2474</v>
      </c>
      <c r="D123" s="81" t="s">
        <v>2475</v>
      </c>
      <c r="E123" s="81" t="s">
        <v>2476</v>
      </c>
      <c r="F123" s="81"/>
      <c r="G123" s="81"/>
      <c r="H123" s="81"/>
      <c r="I123" s="81"/>
      <c r="J123" s="81"/>
      <c r="K123" s="81" t="s">
        <v>2477</v>
      </c>
      <c r="L123" s="81" t="s">
        <v>2478</v>
      </c>
      <c r="M123" s="81" t="s">
        <v>2479</v>
      </c>
      <c r="N123" s="81" t="s">
        <v>2480</v>
      </c>
      <c r="O123" s="81" t="s">
        <v>2481</v>
      </c>
      <c r="P123" s="81" t="s">
        <v>2482</v>
      </c>
      <c r="Q123" s="81"/>
      <c r="R123" s="81"/>
      <c r="S123" s="81"/>
      <c r="T123" s="81"/>
      <c r="U123" s="81"/>
      <c r="V123" s="81"/>
      <c r="W123" s="81"/>
      <c r="X123" s="81" t="s">
        <v>2483</v>
      </c>
      <c r="Y123" s="81" t="s">
        <v>2484</v>
      </c>
      <c r="Z123" s="81"/>
      <c r="AA123" s="81" t="s">
        <v>2485</v>
      </c>
      <c r="AB123" s="81" t="s">
        <v>2486</v>
      </c>
      <c r="AC123" s="81"/>
      <c r="AD123" s="81"/>
      <c r="AE123" s="81"/>
      <c r="AF123" s="81"/>
      <c r="AG123" s="81"/>
      <c r="AH123" s="81"/>
      <c r="AI123" s="81"/>
      <c r="AJ123" s="82" t="s">
        <v>2487</v>
      </c>
    </row>
    <row r="124" spans="2:36" x14ac:dyDescent="0.2">
      <c r="B124" s="80" t="s">
        <v>2488</v>
      </c>
      <c r="C124" s="81" t="s">
        <v>2489</v>
      </c>
      <c r="D124" s="81" t="s">
        <v>2490</v>
      </c>
      <c r="E124" s="81" t="s">
        <v>2491</v>
      </c>
      <c r="F124" s="81" t="s">
        <v>2492</v>
      </c>
      <c r="G124" s="81" t="s">
        <v>2493</v>
      </c>
      <c r="H124" s="83" t="s">
        <v>2494</v>
      </c>
      <c r="I124" s="81" t="s">
        <v>2495</v>
      </c>
      <c r="J124" s="81" t="s">
        <v>2496</v>
      </c>
      <c r="K124" s="81"/>
      <c r="L124" s="81" t="s">
        <v>2497</v>
      </c>
      <c r="M124" s="81" t="s">
        <v>2498</v>
      </c>
      <c r="N124" s="81"/>
      <c r="O124" s="81" t="s">
        <v>2499</v>
      </c>
      <c r="P124" s="81" t="s">
        <v>2500</v>
      </c>
      <c r="Q124" s="81"/>
      <c r="R124" s="81"/>
      <c r="S124" s="81"/>
      <c r="T124" s="81"/>
      <c r="U124" s="81"/>
      <c r="V124" s="81"/>
      <c r="W124" s="81"/>
      <c r="X124" s="81"/>
      <c r="Y124" s="81" t="s">
        <v>2501</v>
      </c>
      <c r="Z124" s="81"/>
      <c r="AA124" s="81"/>
      <c r="AB124" s="81"/>
      <c r="AC124" s="81"/>
      <c r="AD124" s="81"/>
      <c r="AE124" s="81"/>
      <c r="AF124" s="81"/>
      <c r="AG124" s="81"/>
      <c r="AH124" s="81"/>
      <c r="AI124" s="81"/>
      <c r="AJ124" s="82" t="s">
        <v>2502</v>
      </c>
    </row>
    <row r="125" spans="2:36" x14ac:dyDescent="0.2">
      <c r="B125" s="80" t="s">
        <v>2503</v>
      </c>
      <c r="C125" s="81" t="s">
        <v>2504</v>
      </c>
      <c r="D125" s="81" t="s">
        <v>2505</v>
      </c>
      <c r="E125" s="81" t="s">
        <v>2506</v>
      </c>
      <c r="F125" s="81" t="s">
        <v>2507</v>
      </c>
      <c r="G125" s="81" t="s">
        <v>2508</v>
      </c>
      <c r="H125" s="83" t="s">
        <v>2509</v>
      </c>
      <c r="I125" s="81" t="s">
        <v>2510</v>
      </c>
      <c r="J125" s="81" t="s">
        <v>2511</v>
      </c>
      <c r="K125" s="81" t="s">
        <v>2512</v>
      </c>
      <c r="L125" s="81" t="s">
        <v>2513</v>
      </c>
      <c r="M125" s="81" t="s">
        <v>2514</v>
      </c>
      <c r="N125" s="81"/>
      <c r="O125" s="81" t="s">
        <v>2515</v>
      </c>
      <c r="P125" s="81" t="s">
        <v>2516</v>
      </c>
      <c r="Q125" s="81"/>
      <c r="R125" s="81"/>
      <c r="S125" s="81"/>
      <c r="T125" s="81"/>
      <c r="U125" s="81"/>
      <c r="V125" s="81"/>
      <c r="W125" s="81"/>
      <c r="X125" s="81"/>
      <c r="Y125" s="81" t="s">
        <v>2517</v>
      </c>
      <c r="Z125" s="81"/>
      <c r="AA125" s="81"/>
      <c r="AB125" s="81"/>
      <c r="AC125" s="81"/>
      <c r="AD125" s="81"/>
      <c r="AE125" s="81"/>
      <c r="AF125" s="81"/>
      <c r="AG125" s="81"/>
      <c r="AH125" s="81"/>
      <c r="AI125" s="81"/>
      <c r="AJ125" s="82" t="s">
        <v>2518</v>
      </c>
    </row>
    <row r="126" spans="2:36" x14ac:dyDescent="0.2">
      <c r="B126" s="80" t="s">
        <v>2519</v>
      </c>
      <c r="C126" s="81" t="s">
        <v>2520</v>
      </c>
      <c r="D126" s="81" t="s">
        <v>2521</v>
      </c>
      <c r="E126" s="81" t="s">
        <v>2522</v>
      </c>
      <c r="F126" s="81" t="s">
        <v>2523</v>
      </c>
      <c r="G126" s="81" t="s">
        <v>2524</v>
      </c>
      <c r="H126" s="83" t="s">
        <v>2525</v>
      </c>
      <c r="I126" s="81" t="s">
        <v>2526</v>
      </c>
      <c r="J126" s="81" t="s">
        <v>2527</v>
      </c>
      <c r="K126" s="81" t="s">
        <v>2528</v>
      </c>
      <c r="L126" s="81" t="s">
        <v>2529</v>
      </c>
      <c r="M126" s="81" t="s">
        <v>2530</v>
      </c>
      <c r="N126" s="81" t="s">
        <v>2531</v>
      </c>
      <c r="O126" s="81" t="s">
        <v>2532</v>
      </c>
      <c r="P126" s="81" t="s">
        <v>2533</v>
      </c>
      <c r="Q126" s="81" t="s">
        <v>2534</v>
      </c>
      <c r="R126" s="81" t="s">
        <v>2535</v>
      </c>
      <c r="S126" s="81"/>
      <c r="T126" s="81"/>
      <c r="U126" s="81" t="s">
        <v>2536</v>
      </c>
      <c r="V126" s="81" t="s">
        <v>2537</v>
      </c>
      <c r="W126" s="81" t="s">
        <v>2538</v>
      </c>
      <c r="X126" s="81"/>
      <c r="Y126" s="81" t="s">
        <v>2539</v>
      </c>
      <c r="Z126" s="81" t="s">
        <v>2540</v>
      </c>
      <c r="AA126" s="81"/>
      <c r="AB126" s="81"/>
      <c r="AC126" s="81" t="s">
        <v>2541</v>
      </c>
      <c r="AD126" s="81" t="s">
        <v>2542</v>
      </c>
      <c r="AE126" s="81" t="s">
        <v>2543</v>
      </c>
      <c r="AF126" s="81" t="s">
        <v>2544</v>
      </c>
      <c r="AG126" s="81" t="s">
        <v>2545</v>
      </c>
      <c r="AH126" s="81" t="s">
        <v>2546</v>
      </c>
      <c r="AI126" s="81" t="s">
        <v>2547</v>
      </c>
      <c r="AJ126" s="82" t="s">
        <v>2548</v>
      </c>
    </row>
    <row r="127" spans="2:36" x14ac:dyDescent="0.2">
      <c r="B127" s="80" t="s">
        <v>2549</v>
      </c>
      <c r="C127" s="81" t="s">
        <v>2550</v>
      </c>
      <c r="D127" s="81" t="s">
        <v>2551</v>
      </c>
      <c r="E127" s="81" t="s">
        <v>2552</v>
      </c>
      <c r="F127" s="81" t="s">
        <v>2553</v>
      </c>
      <c r="G127" s="81" t="s">
        <v>2554</v>
      </c>
      <c r="H127" s="83" t="s">
        <v>2555</v>
      </c>
      <c r="I127" s="81" t="s">
        <v>2556</v>
      </c>
      <c r="J127" s="81" t="s">
        <v>2557</v>
      </c>
      <c r="K127" s="81" t="s">
        <v>2558</v>
      </c>
      <c r="L127" s="81" t="s">
        <v>2559</v>
      </c>
      <c r="M127" s="81" t="s">
        <v>2560</v>
      </c>
      <c r="N127" s="81" t="s">
        <v>2561</v>
      </c>
      <c r="O127" s="81" t="s">
        <v>2562</v>
      </c>
      <c r="P127" s="81" t="s">
        <v>2563</v>
      </c>
      <c r="Q127" s="81" t="s">
        <v>2564</v>
      </c>
      <c r="R127" s="81" t="s">
        <v>2565</v>
      </c>
      <c r="S127" s="81" t="s">
        <v>2566</v>
      </c>
      <c r="T127" s="81" t="s">
        <v>2567</v>
      </c>
      <c r="U127" s="81" t="s">
        <v>2568</v>
      </c>
      <c r="V127" s="81" t="s">
        <v>2569</v>
      </c>
      <c r="W127" s="81" t="s">
        <v>2570</v>
      </c>
      <c r="X127" s="81"/>
      <c r="Y127" s="81" t="s">
        <v>2571</v>
      </c>
      <c r="Z127" s="81" t="s">
        <v>2572</v>
      </c>
      <c r="AA127" s="81"/>
      <c r="AB127" s="81"/>
      <c r="AC127" s="81" t="s">
        <v>2573</v>
      </c>
      <c r="AD127" s="81" t="s">
        <v>2574</v>
      </c>
      <c r="AE127" s="81" t="s">
        <v>2575</v>
      </c>
      <c r="AF127" s="81" t="s">
        <v>2576</v>
      </c>
      <c r="AG127" s="81" t="s">
        <v>2577</v>
      </c>
      <c r="AH127" s="81" t="s">
        <v>2578</v>
      </c>
      <c r="AI127" s="81" t="s">
        <v>2579</v>
      </c>
      <c r="AJ127" s="82" t="s">
        <v>2580</v>
      </c>
    </row>
    <row r="128" spans="2:36" x14ac:dyDescent="0.2">
      <c r="B128" s="80" t="s">
        <v>2581</v>
      </c>
      <c r="C128" s="81" t="s">
        <v>2582</v>
      </c>
      <c r="D128" s="81" t="s">
        <v>2583</v>
      </c>
      <c r="E128" s="81" t="s">
        <v>2584</v>
      </c>
      <c r="F128" s="81" t="s">
        <v>2585</v>
      </c>
      <c r="G128" s="81" t="s">
        <v>2586</v>
      </c>
      <c r="H128" s="83" t="s">
        <v>2587</v>
      </c>
      <c r="I128" s="81" t="s">
        <v>2588</v>
      </c>
      <c r="J128" s="81" t="s">
        <v>2589</v>
      </c>
      <c r="K128" s="81" t="s">
        <v>2590</v>
      </c>
      <c r="L128" s="81" t="s">
        <v>2591</v>
      </c>
      <c r="M128" s="81" t="s">
        <v>2592</v>
      </c>
      <c r="N128" s="81" t="s">
        <v>2593</v>
      </c>
      <c r="O128" s="81" t="s">
        <v>2594</v>
      </c>
      <c r="P128" s="81" t="s">
        <v>2595</v>
      </c>
      <c r="Q128" s="81" t="s">
        <v>2596</v>
      </c>
      <c r="R128" s="81" t="s">
        <v>2597</v>
      </c>
      <c r="S128" s="81" t="s">
        <v>2598</v>
      </c>
      <c r="T128" s="81" t="s">
        <v>2599</v>
      </c>
      <c r="U128" s="81"/>
      <c r="V128" s="81"/>
      <c r="W128" s="81"/>
      <c r="X128" s="81"/>
      <c r="Y128" s="81" t="s">
        <v>2600</v>
      </c>
      <c r="Z128" s="81" t="s">
        <v>2601</v>
      </c>
      <c r="AA128" s="81"/>
      <c r="AB128" s="81"/>
      <c r="AC128" s="81" t="s">
        <v>2602</v>
      </c>
      <c r="AD128" s="81" t="s">
        <v>2603</v>
      </c>
      <c r="AE128" s="81" t="s">
        <v>2604</v>
      </c>
      <c r="AF128" s="81" t="s">
        <v>2605</v>
      </c>
      <c r="AG128" s="81" t="s">
        <v>2606</v>
      </c>
      <c r="AH128" s="81" t="s">
        <v>2607</v>
      </c>
      <c r="AI128" s="81" t="s">
        <v>2608</v>
      </c>
      <c r="AJ128" s="82" t="s">
        <v>2609</v>
      </c>
    </row>
    <row r="129" spans="2:36" x14ac:dyDescent="0.2">
      <c r="B129" s="80" t="s">
        <v>2610</v>
      </c>
      <c r="C129" s="81" t="s">
        <v>2611</v>
      </c>
      <c r="D129" s="81" t="s">
        <v>2612</v>
      </c>
      <c r="E129" s="81" t="s">
        <v>2613</v>
      </c>
      <c r="F129" s="81" t="s">
        <v>2614</v>
      </c>
      <c r="G129" s="81" t="s">
        <v>2615</v>
      </c>
      <c r="H129" s="83" t="s">
        <v>2616</v>
      </c>
      <c r="I129" s="81" t="s">
        <v>2617</v>
      </c>
      <c r="J129" s="81" t="s">
        <v>2618</v>
      </c>
      <c r="K129" s="81" t="s">
        <v>2619</v>
      </c>
      <c r="L129" s="81" t="s">
        <v>2620</v>
      </c>
      <c r="M129" s="81" t="s">
        <v>2621</v>
      </c>
      <c r="N129" s="81" t="s">
        <v>2622</v>
      </c>
      <c r="O129" s="81" t="s">
        <v>2623</v>
      </c>
      <c r="P129" s="81" t="s">
        <v>2624</v>
      </c>
      <c r="Q129" s="81"/>
      <c r="R129" s="81"/>
      <c r="S129" s="81" t="s">
        <v>2625</v>
      </c>
      <c r="T129" s="81" t="s">
        <v>2626</v>
      </c>
      <c r="U129" s="81"/>
      <c r="V129" s="81"/>
      <c r="W129" s="81"/>
      <c r="X129" s="81"/>
      <c r="Y129" s="81" t="s">
        <v>2627</v>
      </c>
      <c r="Z129" s="81" t="s">
        <v>2628</v>
      </c>
      <c r="AA129" s="81" t="s">
        <v>2629</v>
      </c>
      <c r="AB129" s="81" t="s">
        <v>2630</v>
      </c>
      <c r="AC129" s="81" t="s">
        <v>2631</v>
      </c>
      <c r="AD129" s="81" t="s">
        <v>2632</v>
      </c>
      <c r="AE129" s="81" t="s">
        <v>2633</v>
      </c>
      <c r="AF129" s="81" t="s">
        <v>2634</v>
      </c>
      <c r="AG129" s="81" t="s">
        <v>2635</v>
      </c>
      <c r="AH129" s="81" t="s">
        <v>2636</v>
      </c>
      <c r="AI129" s="81" t="s">
        <v>2637</v>
      </c>
      <c r="AJ129" s="82" t="s">
        <v>2638</v>
      </c>
    </row>
    <row r="130" spans="2:36" x14ac:dyDescent="0.2">
      <c r="B130" s="80" t="s">
        <v>2639</v>
      </c>
      <c r="C130" s="81" t="s">
        <v>2640</v>
      </c>
      <c r="D130" s="81" t="s">
        <v>2641</v>
      </c>
      <c r="E130" s="81" t="s">
        <v>2642</v>
      </c>
      <c r="F130" s="81" t="s">
        <v>2643</v>
      </c>
      <c r="G130" s="81" t="s">
        <v>2644</v>
      </c>
      <c r="H130" s="83" t="s">
        <v>2645</v>
      </c>
      <c r="I130" s="81" t="s">
        <v>2646</v>
      </c>
      <c r="J130" s="81" t="s">
        <v>2647</v>
      </c>
      <c r="K130" s="81" t="s">
        <v>2648</v>
      </c>
      <c r="L130" s="81" t="s">
        <v>2649</v>
      </c>
      <c r="M130" s="81" t="s">
        <v>2650</v>
      </c>
      <c r="N130" s="81" t="s">
        <v>2651</v>
      </c>
      <c r="O130" s="81" t="s">
        <v>2652</v>
      </c>
      <c r="P130" s="81" t="s">
        <v>2653</v>
      </c>
      <c r="Q130" s="81" t="s">
        <v>2654</v>
      </c>
      <c r="R130" s="81" t="s">
        <v>2655</v>
      </c>
      <c r="S130" s="81" t="s">
        <v>2656</v>
      </c>
      <c r="T130" s="81" t="s">
        <v>2657</v>
      </c>
      <c r="U130" s="81" t="s">
        <v>2658</v>
      </c>
      <c r="V130" s="81" t="s">
        <v>2659</v>
      </c>
      <c r="W130" s="81" t="s">
        <v>2660</v>
      </c>
      <c r="X130" s="81"/>
      <c r="Y130" s="81" t="s">
        <v>2661</v>
      </c>
      <c r="Z130" s="81" t="s">
        <v>2662</v>
      </c>
      <c r="AA130" s="81" t="s">
        <v>2663</v>
      </c>
      <c r="AB130" s="81" t="s">
        <v>2664</v>
      </c>
      <c r="AC130" s="81" t="s">
        <v>2665</v>
      </c>
      <c r="AD130" s="81" t="s">
        <v>2666</v>
      </c>
      <c r="AE130" s="81" t="s">
        <v>2667</v>
      </c>
      <c r="AF130" s="81" t="s">
        <v>2668</v>
      </c>
      <c r="AG130" s="81" t="s">
        <v>2669</v>
      </c>
      <c r="AH130" s="81" t="s">
        <v>2670</v>
      </c>
      <c r="AI130" s="81" t="s">
        <v>2671</v>
      </c>
      <c r="AJ130" s="82" t="s">
        <v>2672</v>
      </c>
    </row>
    <row r="131" spans="2:36" x14ac:dyDescent="0.2">
      <c r="B131" s="80" t="s">
        <v>2673</v>
      </c>
      <c r="C131" s="81" t="s">
        <v>2674</v>
      </c>
      <c r="D131" s="81" t="s">
        <v>2675</v>
      </c>
      <c r="E131" s="81" t="s">
        <v>2676</v>
      </c>
      <c r="F131" s="81" t="s">
        <v>2677</v>
      </c>
      <c r="G131" s="81" t="s">
        <v>2678</v>
      </c>
      <c r="H131" s="83" t="s">
        <v>2679</v>
      </c>
      <c r="I131" s="81" t="s">
        <v>2680</v>
      </c>
      <c r="J131" s="81" t="s">
        <v>2681</v>
      </c>
      <c r="K131" s="81"/>
      <c r="L131" s="81" t="s">
        <v>2682</v>
      </c>
      <c r="M131" s="81" t="s">
        <v>2683</v>
      </c>
      <c r="N131" s="81" t="s">
        <v>2684</v>
      </c>
      <c r="O131" s="81" t="s">
        <v>2685</v>
      </c>
      <c r="P131" s="81" t="s">
        <v>2686</v>
      </c>
      <c r="Q131" s="81" t="s">
        <v>2687</v>
      </c>
      <c r="R131" s="81" t="s">
        <v>2688</v>
      </c>
      <c r="S131" s="81" t="s">
        <v>2689</v>
      </c>
      <c r="T131" s="81" t="s">
        <v>2690</v>
      </c>
      <c r="U131" s="81" t="s">
        <v>2691</v>
      </c>
      <c r="V131" s="81" t="s">
        <v>2692</v>
      </c>
      <c r="W131" s="81" t="s">
        <v>2693</v>
      </c>
      <c r="X131" s="81"/>
      <c r="Y131" s="81" t="s">
        <v>2694</v>
      </c>
      <c r="Z131" s="81" t="s">
        <v>2695</v>
      </c>
      <c r="AA131" s="81" t="s">
        <v>2696</v>
      </c>
      <c r="AB131" s="81" t="s">
        <v>2697</v>
      </c>
      <c r="AC131" s="81" t="s">
        <v>2698</v>
      </c>
      <c r="AD131" s="81" t="s">
        <v>2699</v>
      </c>
      <c r="AE131" s="81" t="s">
        <v>2700</v>
      </c>
      <c r="AF131" s="81" t="s">
        <v>2701</v>
      </c>
      <c r="AG131" s="81" t="s">
        <v>2702</v>
      </c>
      <c r="AH131" s="81" t="s">
        <v>2703</v>
      </c>
      <c r="AI131" s="81" t="s">
        <v>2704</v>
      </c>
      <c r="AJ131" s="82" t="s">
        <v>2705</v>
      </c>
    </row>
    <row r="132" spans="2:36" x14ac:dyDescent="0.2">
      <c r="B132" s="80" t="s">
        <v>2706</v>
      </c>
      <c r="C132" s="81" t="s">
        <v>2707</v>
      </c>
      <c r="D132" s="81" t="s">
        <v>2708</v>
      </c>
      <c r="E132" s="81" t="s">
        <v>2709</v>
      </c>
      <c r="F132" s="81" t="s">
        <v>2710</v>
      </c>
      <c r="G132" s="81" t="s">
        <v>2711</v>
      </c>
      <c r="H132" s="83" t="s">
        <v>2712</v>
      </c>
      <c r="I132" s="81" t="s">
        <v>2713</v>
      </c>
      <c r="J132" s="81" t="s">
        <v>2714</v>
      </c>
      <c r="K132" s="81" t="s">
        <v>2715</v>
      </c>
      <c r="L132" s="81" t="s">
        <v>2716</v>
      </c>
      <c r="M132" s="81" t="s">
        <v>2717</v>
      </c>
      <c r="N132" s="81"/>
      <c r="O132" s="81" t="s">
        <v>2718</v>
      </c>
      <c r="P132" s="81" t="s">
        <v>2719</v>
      </c>
      <c r="Q132" s="81" t="s">
        <v>2720</v>
      </c>
      <c r="R132" s="81" t="s">
        <v>2721</v>
      </c>
      <c r="S132" s="81" t="s">
        <v>2722</v>
      </c>
      <c r="T132" s="81" t="s">
        <v>2723</v>
      </c>
      <c r="U132" s="81" t="s">
        <v>2724</v>
      </c>
      <c r="V132" s="81" t="s">
        <v>2725</v>
      </c>
      <c r="W132" s="81" t="s">
        <v>2726</v>
      </c>
      <c r="X132" s="81"/>
      <c r="Y132" s="81" t="s">
        <v>2727</v>
      </c>
      <c r="Z132" s="81" t="s">
        <v>2728</v>
      </c>
      <c r="AA132" s="81"/>
      <c r="AB132" s="81"/>
      <c r="AC132" s="81" t="s">
        <v>2729</v>
      </c>
      <c r="AD132" s="81" t="s">
        <v>2730</v>
      </c>
      <c r="AE132" s="81" t="s">
        <v>2731</v>
      </c>
      <c r="AF132" s="81" t="s">
        <v>2732</v>
      </c>
      <c r="AG132" s="81" t="s">
        <v>2733</v>
      </c>
      <c r="AH132" s="81" t="s">
        <v>2734</v>
      </c>
      <c r="AI132" s="81" t="s">
        <v>2735</v>
      </c>
      <c r="AJ132" s="82" t="s">
        <v>2736</v>
      </c>
    </row>
    <row r="133" spans="2:36" x14ac:dyDescent="0.2">
      <c r="B133" s="80" t="s">
        <v>2737</v>
      </c>
      <c r="C133" s="81" t="s">
        <v>2738</v>
      </c>
      <c r="D133" s="81" t="s">
        <v>2739</v>
      </c>
      <c r="E133" s="81" t="s">
        <v>2740</v>
      </c>
      <c r="F133" s="81"/>
      <c r="G133" s="81"/>
      <c r="H133" s="81"/>
      <c r="I133" s="81"/>
      <c r="J133" s="81"/>
      <c r="K133" s="81"/>
      <c r="L133" s="81" t="s">
        <v>2741</v>
      </c>
      <c r="M133" s="81" t="s">
        <v>2742</v>
      </c>
      <c r="N133" s="81"/>
      <c r="O133" s="81" t="s">
        <v>2743</v>
      </c>
      <c r="P133" s="81" t="s">
        <v>2744</v>
      </c>
      <c r="Q133" s="81"/>
      <c r="R133" s="81"/>
      <c r="S133" s="81"/>
      <c r="T133" s="81"/>
      <c r="U133" s="81"/>
      <c r="V133" s="81"/>
      <c r="W133" s="81"/>
      <c r="X133" s="81"/>
      <c r="Y133" s="81"/>
      <c r="Z133" s="81"/>
      <c r="AA133" s="81"/>
      <c r="AB133" s="81"/>
      <c r="AC133" s="81"/>
      <c r="AD133" s="81"/>
      <c r="AE133" s="81"/>
      <c r="AF133" s="81"/>
      <c r="AG133" s="81"/>
      <c r="AH133" s="81"/>
      <c r="AI133" s="81"/>
      <c r="AJ133" s="82"/>
    </row>
    <row r="134" spans="2:36" x14ac:dyDescent="0.2">
      <c r="B134" s="80" t="s">
        <v>2745</v>
      </c>
      <c r="C134" s="81" t="s">
        <v>2746</v>
      </c>
      <c r="D134" s="81" t="s">
        <v>2747</v>
      </c>
      <c r="E134" s="81" t="s">
        <v>2748</v>
      </c>
      <c r="F134" s="81" t="s">
        <v>2749</v>
      </c>
      <c r="G134" s="81" t="s">
        <v>2750</v>
      </c>
      <c r="H134" s="83" t="s">
        <v>2751</v>
      </c>
      <c r="I134" s="81" t="s">
        <v>2752</v>
      </c>
      <c r="J134" s="81" t="s">
        <v>2753</v>
      </c>
      <c r="K134" s="81"/>
      <c r="L134" s="81" t="s">
        <v>2754</v>
      </c>
      <c r="M134" s="81" t="s">
        <v>2755</v>
      </c>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2" t="s">
        <v>2756</v>
      </c>
    </row>
    <row r="135" spans="2:36" x14ac:dyDescent="0.2">
      <c r="B135" s="80" t="s">
        <v>2757</v>
      </c>
      <c r="C135" s="81" t="s">
        <v>2758</v>
      </c>
      <c r="D135" s="81" t="s">
        <v>2759</v>
      </c>
      <c r="E135" s="81" t="s">
        <v>2760</v>
      </c>
      <c r="F135" s="81" t="s">
        <v>2761</v>
      </c>
      <c r="G135" s="81" t="s">
        <v>2762</v>
      </c>
      <c r="H135" s="83" t="s">
        <v>2763</v>
      </c>
      <c r="I135" s="81" t="s">
        <v>2764</v>
      </c>
      <c r="J135" s="81" t="s">
        <v>2765</v>
      </c>
      <c r="K135" s="81" t="s">
        <v>2766</v>
      </c>
      <c r="L135" s="81" t="s">
        <v>2767</v>
      </c>
      <c r="M135" s="81" t="s">
        <v>2768</v>
      </c>
      <c r="N135" s="81" t="s">
        <v>2769</v>
      </c>
      <c r="O135" s="81" t="s">
        <v>2770</v>
      </c>
      <c r="P135" s="81" t="s">
        <v>2771</v>
      </c>
      <c r="Q135" s="81" t="s">
        <v>2772</v>
      </c>
      <c r="R135" s="81" t="s">
        <v>2773</v>
      </c>
      <c r="S135" s="81" t="s">
        <v>2774</v>
      </c>
      <c r="T135" s="81" t="s">
        <v>2775</v>
      </c>
      <c r="U135" s="81" t="s">
        <v>2776</v>
      </c>
      <c r="V135" s="81" t="s">
        <v>2777</v>
      </c>
      <c r="W135" s="81" t="s">
        <v>2778</v>
      </c>
      <c r="X135" s="81"/>
      <c r="Y135" s="81" t="s">
        <v>2779</v>
      </c>
      <c r="Z135" s="81" t="s">
        <v>2780</v>
      </c>
      <c r="AA135" s="81" t="s">
        <v>2781</v>
      </c>
      <c r="AB135" s="81" t="s">
        <v>2782</v>
      </c>
      <c r="AC135" s="81" t="s">
        <v>2783</v>
      </c>
      <c r="AD135" s="81" t="s">
        <v>2784</v>
      </c>
      <c r="AE135" s="81" t="s">
        <v>2785</v>
      </c>
      <c r="AF135" s="81" t="s">
        <v>2786</v>
      </c>
      <c r="AG135" s="81" t="s">
        <v>2787</v>
      </c>
      <c r="AH135" s="81" t="s">
        <v>2788</v>
      </c>
      <c r="AI135" s="81" t="s">
        <v>2789</v>
      </c>
      <c r="AJ135" s="82" t="s">
        <v>2790</v>
      </c>
    </row>
    <row r="136" spans="2:36" x14ac:dyDescent="0.2">
      <c r="B136" s="80" t="s">
        <v>2791</v>
      </c>
      <c r="C136" s="81" t="s">
        <v>2792</v>
      </c>
      <c r="D136" s="81" t="s">
        <v>2793</v>
      </c>
      <c r="E136" s="81" t="s">
        <v>2794</v>
      </c>
      <c r="F136" s="81" t="s">
        <v>2795</v>
      </c>
      <c r="G136" s="81" t="s">
        <v>2796</v>
      </c>
      <c r="H136" s="83" t="s">
        <v>2797</v>
      </c>
      <c r="I136" s="81" t="s">
        <v>2798</v>
      </c>
      <c r="J136" s="81" t="s">
        <v>2799</v>
      </c>
      <c r="K136" s="81" t="s">
        <v>2800</v>
      </c>
      <c r="L136" s="81" t="s">
        <v>2801</v>
      </c>
      <c r="M136" s="81" t="s">
        <v>2802</v>
      </c>
      <c r="N136" s="81" t="s">
        <v>2803</v>
      </c>
      <c r="O136" s="81" t="s">
        <v>2804</v>
      </c>
      <c r="P136" s="81" t="s">
        <v>2805</v>
      </c>
      <c r="Q136" s="81" t="s">
        <v>2806</v>
      </c>
      <c r="R136" s="81" t="s">
        <v>2807</v>
      </c>
      <c r="S136" s="81" t="s">
        <v>2808</v>
      </c>
      <c r="T136" s="81" t="s">
        <v>2809</v>
      </c>
      <c r="U136" s="81" t="s">
        <v>2810</v>
      </c>
      <c r="V136" s="81" t="s">
        <v>2811</v>
      </c>
      <c r="W136" s="81" t="s">
        <v>2812</v>
      </c>
      <c r="X136" s="81" t="s">
        <v>2813</v>
      </c>
      <c r="Y136" s="81" t="s">
        <v>2814</v>
      </c>
      <c r="Z136" s="81" t="s">
        <v>2815</v>
      </c>
      <c r="AA136" s="81"/>
      <c r="AB136" s="81"/>
      <c r="AC136" s="81" t="s">
        <v>2816</v>
      </c>
      <c r="AD136" s="81" t="s">
        <v>2817</v>
      </c>
      <c r="AE136" s="81" t="s">
        <v>2818</v>
      </c>
      <c r="AF136" s="81" t="s">
        <v>2819</v>
      </c>
      <c r="AG136" s="81" t="s">
        <v>2820</v>
      </c>
      <c r="AH136" s="81" t="s">
        <v>2821</v>
      </c>
      <c r="AI136" s="81" t="s">
        <v>2822</v>
      </c>
      <c r="AJ136" s="82" t="s">
        <v>2823</v>
      </c>
    </row>
    <row r="137" spans="2:36" x14ac:dyDescent="0.2">
      <c r="B137" s="80" t="s">
        <v>2824</v>
      </c>
      <c r="C137" s="81" t="s">
        <v>2825</v>
      </c>
      <c r="D137" s="81" t="s">
        <v>2826</v>
      </c>
      <c r="E137" s="81" t="s">
        <v>2827</v>
      </c>
      <c r="F137" s="81" t="s">
        <v>2828</v>
      </c>
      <c r="G137" s="81" t="s">
        <v>2829</v>
      </c>
      <c r="H137" s="83" t="s">
        <v>2830</v>
      </c>
      <c r="I137" s="81" t="s">
        <v>2831</v>
      </c>
      <c r="J137" s="81" t="s">
        <v>2832</v>
      </c>
      <c r="K137" s="81" t="s">
        <v>2833</v>
      </c>
      <c r="L137" s="81" t="s">
        <v>2834</v>
      </c>
      <c r="M137" s="81" t="s">
        <v>2835</v>
      </c>
      <c r="N137" s="81"/>
      <c r="O137" s="81" t="s">
        <v>2836</v>
      </c>
      <c r="P137" s="81" t="s">
        <v>2837</v>
      </c>
      <c r="Q137" s="81" t="s">
        <v>2838</v>
      </c>
      <c r="R137" s="81" t="s">
        <v>2839</v>
      </c>
      <c r="S137" s="81" t="s">
        <v>2840</v>
      </c>
      <c r="T137" s="81" t="s">
        <v>2841</v>
      </c>
      <c r="U137" s="81" t="s">
        <v>2842</v>
      </c>
      <c r="V137" s="81" t="s">
        <v>2843</v>
      </c>
      <c r="W137" s="81" t="s">
        <v>2844</v>
      </c>
      <c r="X137" s="81" t="s">
        <v>2845</v>
      </c>
      <c r="Y137" s="81" t="s">
        <v>2846</v>
      </c>
      <c r="Z137" s="81" t="s">
        <v>2847</v>
      </c>
      <c r="AA137" s="81" t="s">
        <v>2848</v>
      </c>
      <c r="AB137" s="81" t="s">
        <v>2849</v>
      </c>
      <c r="AC137" s="81" t="s">
        <v>2850</v>
      </c>
      <c r="AD137" s="81" t="s">
        <v>2851</v>
      </c>
      <c r="AE137" s="81" t="s">
        <v>2852</v>
      </c>
      <c r="AF137" s="81" t="s">
        <v>2853</v>
      </c>
      <c r="AG137" s="81" t="s">
        <v>2854</v>
      </c>
      <c r="AH137" s="81" t="s">
        <v>2855</v>
      </c>
      <c r="AI137" s="81" t="s">
        <v>2856</v>
      </c>
      <c r="AJ137" s="82" t="s">
        <v>2857</v>
      </c>
    </row>
    <row r="138" spans="2:36" x14ac:dyDescent="0.2">
      <c r="B138" s="80" t="s">
        <v>2858</v>
      </c>
      <c r="C138" s="81" t="s">
        <v>2859</v>
      </c>
      <c r="D138" s="81"/>
      <c r="E138" s="81" t="s">
        <v>2860</v>
      </c>
      <c r="F138" s="81"/>
      <c r="G138" s="81"/>
      <c r="H138" s="81"/>
      <c r="I138" s="81"/>
      <c r="J138" s="81"/>
      <c r="K138" s="81" t="s">
        <v>2861</v>
      </c>
      <c r="L138" s="81" t="s">
        <v>2862</v>
      </c>
      <c r="M138" s="81" t="s">
        <v>2863</v>
      </c>
      <c r="N138" s="81" t="s">
        <v>2864</v>
      </c>
      <c r="O138" s="81" t="s">
        <v>2865</v>
      </c>
      <c r="P138" s="81" t="s">
        <v>2866</v>
      </c>
      <c r="Q138" s="81" t="s">
        <v>2867</v>
      </c>
      <c r="R138" s="81" t="s">
        <v>2868</v>
      </c>
      <c r="S138" s="81"/>
      <c r="T138" s="81"/>
      <c r="U138" s="81"/>
      <c r="V138" s="81"/>
      <c r="W138" s="81"/>
      <c r="X138" s="81"/>
      <c r="Y138" s="81"/>
      <c r="Z138" s="81"/>
      <c r="AA138" s="81"/>
      <c r="AB138" s="81"/>
      <c r="AC138" s="81"/>
      <c r="AD138" s="81"/>
      <c r="AE138" s="81"/>
      <c r="AF138" s="81"/>
      <c r="AG138" s="81"/>
      <c r="AH138" s="81"/>
      <c r="AI138" s="81"/>
      <c r="AJ138" s="82" t="s">
        <v>2869</v>
      </c>
    </row>
    <row r="139" spans="2:36" x14ac:dyDescent="0.2">
      <c r="B139" s="80" t="s">
        <v>2870</v>
      </c>
      <c r="C139" s="81" t="s">
        <v>2871</v>
      </c>
      <c r="D139" s="81" t="s">
        <v>2872</v>
      </c>
      <c r="E139" s="81" t="s">
        <v>2873</v>
      </c>
      <c r="F139" s="81" t="s">
        <v>2874</v>
      </c>
      <c r="G139" s="81" t="s">
        <v>2875</v>
      </c>
      <c r="H139" s="83" t="s">
        <v>2876</v>
      </c>
      <c r="I139" s="81" t="s">
        <v>2877</v>
      </c>
      <c r="J139" s="81" t="s">
        <v>2878</v>
      </c>
      <c r="K139" s="81" t="s">
        <v>2879</v>
      </c>
      <c r="L139" s="81" t="s">
        <v>2880</v>
      </c>
      <c r="M139" s="81" t="s">
        <v>2881</v>
      </c>
      <c r="N139" s="81" t="s">
        <v>2882</v>
      </c>
      <c r="O139" s="81" t="s">
        <v>2883</v>
      </c>
      <c r="P139" s="81" t="s">
        <v>2884</v>
      </c>
      <c r="Q139" s="81"/>
      <c r="R139" s="81"/>
      <c r="S139" s="81"/>
      <c r="T139" s="81"/>
      <c r="U139" s="81"/>
      <c r="V139" s="81"/>
      <c r="W139" s="81"/>
      <c r="X139" s="81"/>
      <c r="Y139" s="81"/>
      <c r="Z139" s="81"/>
      <c r="AA139" s="81"/>
      <c r="AB139" s="81"/>
      <c r="AC139" s="81"/>
      <c r="AD139" s="81"/>
      <c r="AE139" s="81"/>
      <c r="AF139" s="81"/>
      <c r="AG139" s="81"/>
      <c r="AH139" s="81"/>
      <c r="AI139" s="81"/>
      <c r="AJ139" s="82" t="s">
        <v>2885</v>
      </c>
    </row>
    <row r="140" spans="2:36" x14ac:dyDescent="0.2">
      <c r="B140" s="80" t="s">
        <v>2886</v>
      </c>
      <c r="C140" s="81" t="s">
        <v>2887</v>
      </c>
      <c r="D140" s="81" t="s">
        <v>2888</v>
      </c>
      <c r="E140" s="81" t="s">
        <v>2889</v>
      </c>
      <c r="F140" s="81" t="s">
        <v>2890</v>
      </c>
      <c r="G140" s="81" t="s">
        <v>2891</v>
      </c>
      <c r="H140" s="83" t="s">
        <v>2892</v>
      </c>
      <c r="I140" s="81" t="s">
        <v>2893</v>
      </c>
      <c r="J140" s="81" t="s">
        <v>2894</v>
      </c>
      <c r="K140" s="81" t="s">
        <v>2895</v>
      </c>
      <c r="L140" s="81" t="s">
        <v>2896</v>
      </c>
      <c r="M140" s="81"/>
      <c r="N140" s="81" t="s">
        <v>2897</v>
      </c>
      <c r="O140" s="81" t="s">
        <v>2898</v>
      </c>
      <c r="P140" s="81" t="s">
        <v>2899</v>
      </c>
      <c r="Q140" s="81" t="s">
        <v>2900</v>
      </c>
      <c r="R140" s="81" t="s">
        <v>2901</v>
      </c>
      <c r="S140" s="81" t="s">
        <v>2902</v>
      </c>
      <c r="T140" s="81" t="s">
        <v>2903</v>
      </c>
      <c r="U140" s="81" t="s">
        <v>2904</v>
      </c>
      <c r="V140" s="81" t="s">
        <v>2905</v>
      </c>
      <c r="W140" s="81" t="s">
        <v>2906</v>
      </c>
      <c r="X140" s="81"/>
      <c r="Y140" s="81" t="s">
        <v>2907</v>
      </c>
      <c r="Z140" s="81" t="s">
        <v>2908</v>
      </c>
      <c r="AA140" s="81" t="s">
        <v>2909</v>
      </c>
      <c r="AB140" s="81" t="s">
        <v>2910</v>
      </c>
      <c r="AC140" s="81" t="s">
        <v>2911</v>
      </c>
      <c r="AD140" s="81" t="s">
        <v>2912</v>
      </c>
      <c r="AE140" s="81" t="s">
        <v>2913</v>
      </c>
      <c r="AF140" s="81" t="s">
        <v>2914</v>
      </c>
      <c r="AG140" s="81" t="s">
        <v>2915</v>
      </c>
      <c r="AH140" s="81" t="s">
        <v>2916</v>
      </c>
      <c r="AI140" s="81" t="s">
        <v>2917</v>
      </c>
      <c r="AJ140" s="82" t="s">
        <v>2918</v>
      </c>
    </row>
    <row r="141" spans="2:36" x14ac:dyDescent="0.2">
      <c r="B141" s="80" t="s">
        <v>2919</v>
      </c>
      <c r="C141" s="81" t="s">
        <v>2920</v>
      </c>
      <c r="D141" s="81" t="s">
        <v>2921</v>
      </c>
      <c r="E141" s="81" t="s">
        <v>2922</v>
      </c>
      <c r="F141" s="81" t="s">
        <v>2923</v>
      </c>
      <c r="G141" s="81" t="s">
        <v>2924</v>
      </c>
      <c r="H141" s="83" t="s">
        <v>2925</v>
      </c>
      <c r="I141" s="81" t="s">
        <v>2926</v>
      </c>
      <c r="J141" s="81" t="s">
        <v>2927</v>
      </c>
      <c r="K141" s="81" t="s">
        <v>2928</v>
      </c>
      <c r="L141" s="81"/>
      <c r="M141" s="81" t="s">
        <v>2929</v>
      </c>
      <c r="N141" s="81"/>
      <c r="O141" s="81" t="s">
        <v>2930</v>
      </c>
      <c r="P141" s="81" t="s">
        <v>2931</v>
      </c>
      <c r="Q141" s="81"/>
      <c r="R141" s="81"/>
      <c r="S141" s="81"/>
      <c r="T141" s="81"/>
      <c r="U141" s="81"/>
      <c r="V141" s="81"/>
      <c r="W141" s="81"/>
      <c r="X141" s="81"/>
      <c r="Y141" s="81"/>
      <c r="Z141" s="81"/>
      <c r="AA141" s="81"/>
      <c r="AB141" s="81"/>
      <c r="AC141" s="81"/>
      <c r="AD141" s="81"/>
      <c r="AE141" s="81"/>
      <c r="AF141" s="81"/>
      <c r="AG141" s="81"/>
      <c r="AH141" s="81"/>
      <c r="AI141" s="81"/>
      <c r="AJ141" s="82" t="s">
        <v>2932</v>
      </c>
    </row>
    <row r="142" spans="2:36" x14ac:dyDescent="0.2">
      <c r="B142" s="80" t="s">
        <v>2933</v>
      </c>
      <c r="C142" s="81" t="s">
        <v>2934</v>
      </c>
      <c r="D142" s="81" t="s">
        <v>2935</v>
      </c>
      <c r="E142" s="81" t="s">
        <v>2936</v>
      </c>
      <c r="F142" s="81"/>
      <c r="G142" s="81"/>
      <c r="H142" s="81"/>
      <c r="I142" s="81"/>
      <c r="J142" s="81"/>
      <c r="K142" s="81" t="s">
        <v>2937</v>
      </c>
      <c r="L142" s="81"/>
      <c r="M142" s="81" t="s">
        <v>2938</v>
      </c>
      <c r="N142" s="81" t="s">
        <v>2939</v>
      </c>
      <c r="O142" s="81"/>
      <c r="P142" s="81"/>
      <c r="Q142" s="81"/>
      <c r="R142" s="81"/>
      <c r="S142" s="81"/>
      <c r="T142" s="81"/>
      <c r="U142" s="81"/>
      <c r="V142" s="81"/>
      <c r="W142" s="81"/>
      <c r="X142" s="81"/>
      <c r="Y142" s="81"/>
      <c r="Z142" s="81" t="s">
        <v>2940</v>
      </c>
      <c r="AA142" s="81"/>
      <c r="AB142" s="81"/>
      <c r="AC142" s="81"/>
      <c r="AD142" s="81"/>
      <c r="AE142" s="81"/>
      <c r="AF142" s="81"/>
      <c r="AG142" s="81"/>
      <c r="AH142" s="81"/>
      <c r="AI142" s="81"/>
      <c r="AJ142" s="82" t="s">
        <v>2941</v>
      </c>
    </row>
    <row r="143" spans="2:36" x14ac:dyDescent="0.2">
      <c r="B143" s="80" t="s">
        <v>2942</v>
      </c>
      <c r="C143" s="81" t="s">
        <v>2943</v>
      </c>
      <c r="D143" s="81"/>
      <c r="E143" s="81" t="s">
        <v>2944</v>
      </c>
      <c r="F143" s="81"/>
      <c r="G143" s="81"/>
      <c r="H143" s="81"/>
      <c r="I143" s="81"/>
      <c r="J143" s="81"/>
      <c r="K143" s="81"/>
      <c r="L143" s="81" t="s">
        <v>2945</v>
      </c>
      <c r="M143" s="81" t="s">
        <v>2946</v>
      </c>
      <c r="N143" s="81" t="s">
        <v>2947</v>
      </c>
      <c r="O143" s="81" t="s">
        <v>2948</v>
      </c>
      <c r="P143" s="81" t="s">
        <v>2949</v>
      </c>
      <c r="Q143" s="81" t="s">
        <v>2950</v>
      </c>
      <c r="R143" s="81" t="s">
        <v>2951</v>
      </c>
      <c r="S143" s="81"/>
      <c r="T143" s="81"/>
      <c r="U143" s="81"/>
      <c r="V143" s="81"/>
      <c r="W143" s="81"/>
      <c r="X143" s="81"/>
      <c r="Y143" s="81"/>
      <c r="Z143" s="81"/>
      <c r="AA143" s="81"/>
      <c r="AB143" s="81"/>
      <c r="AC143" s="81"/>
      <c r="AD143" s="81"/>
      <c r="AE143" s="81"/>
      <c r="AF143" s="81"/>
      <c r="AG143" s="81"/>
      <c r="AH143" s="81"/>
      <c r="AI143" s="81"/>
      <c r="AJ143" s="82" t="s">
        <v>2952</v>
      </c>
    </row>
    <row r="144" spans="2:36" x14ac:dyDescent="0.2">
      <c r="B144" s="80" t="s">
        <v>2953</v>
      </c>
      <c r="C144" s="81" t="s">
        <v>2954</v>
      </c>
      <c r="D144" s="81" t="s">
        <v>2955</v>
      </c>
      <c r="E144" s="81" t="s">
        <v>2956</v>
      </c>
      <c r="F144" s="81" t="s">
        <v>2957</v>
      </c>
      <c r="G144" s="81" t="s">
        <v>2958</v>
      </c>
      <c r="H144" s="83" t="s">
        <v>2959</v>
      </c>
      <c r="I144" s="81" t="s">
        <v>2960</v>
      </c>
      <c r="J144" s="81" t="s">
        <v>2961</v>
      </c>
      <c r="K144" s="81"/>
      <c r="L144" s="81" t="s">
        <v>2962</v>
      </c>
      <c r="M144" s="81" t="s">
        <v>2963</v>
      </c>
      <c r="N144" s="81" t="s">
        <v>2964</v>
      </c>
      <c r="O144" s="81" t="s">
        <v>2965</v>
      </c>
      <c r="P144" s="81" t="s">
        <v>2966</v>
      </c>
      <c r="Q144" s="81" t="s">
        <v>2967</v>
      </c>
      <c r="R144" s="81" t="s">
        <v>2968</v>
      </c>
      <c r="S144" s="81" t="s">
        <v>2969</v>
      </c>
      <c r="T144" s="81" t="s">
        <v>2970</v>
      </c>
      <c r="U144" s="81" t="s">
        <v>2971</v>
      </c>
      <c r="V144" s="81" t="s">
        <v>2972</v>
      </c>
      <c r="W144" s="81" t="s">
        <v>2973</v>
      </c>
      <c r="X144" s="81"/>
      <c r="Y144" s="81" t="s">
        <v>2974</v>
      </c>
      <c r="Z144" s="81" t="s">
        <v>2975</v>
      </c>
      <c r="AA144" s="81" t="s">
        <v>2976</v>
      </c>
      <c r="AB144" s="81" t="s">
        <v>2977</v>
      </c>
      <c r="AC144" s="81" t="s">
        <v>2978</v>
      </c>
      <c r="AD144" s="81" t="s">
        <v>2979</v>
      </c>
      <c r="AE144" s="81" t="s">
        <v>2980</v>
      </c>
      <c r="AF144" s="81" t="s">
        <v>2981</v>
      </c>
      <c r="AG144" s="81" t="s">
        <v>2982</v>
      </c>
      <c r="AH144" s="81" t="s">
        <v>2983</v>
      </c>
      <c r="AI144" s="81" t="s">
        <v>2984</v>
      </c>
      <c r="AJ144" s="82" t="s">
        <v>2985</v>
      </c>
    </row>
    <row r="145" spans="2:36" x14ac:dyDescent="0.2">
      <c r="B145" s="80" t="s">
        <v>2986</v>
      </c>
      <c r="C145" s="81" t="s">
        <v>2987</v>
      </c>
      <c r="D145" s="81" t="s">
        <v>2988</v>
      </c>
      <c r="E145" s="81" t="s">
        <v>2989</v>
      </c>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2"/>
    </row>
    <row r="146" spans="2:36" x14ac:dyDescent="0.2">
      <c r="B146" s="80" t="s">
        <v>2990</v>
      </c>
      <c r="C146" s="81" t="s">
        <v>2991</v>
      </c>
      <c r="D146" s="81" t="s">
        <v>2992</v>
      </c>
      <c r="E146" s="81" t="s">
        <v>2993</v>
      </c>
      <c r="F146" s="81" t="s">
        <v>2994</v>
      </c>
      <c r="G146" s="81" t="s">
        <v>2995</v>
      </c>
      <c r="H146" s="83" t="s">
        <v>2996</v>
      </c>
      <c r="I146" s="81" t="s">
        <v>2997</v>
      </c>
      <c r="J146" s="81" t="s">
        <v>2998</v>
      </c>
      <c r="K146" s="81"/>
      <c r="L146" s="81" t="s">
        <v>2999</v>
      </c>
      <c r="M146" s="81" t="s">
        <v>3000</v>
      </c>
      <c r="N146" s="81" t="s">
        <v>3001</v>
      </c>
      <c r="O146" s="81" t="s">
        <v>3002</v>
      </c>
      <c r="P146" s="81" t="s">
        <v>3003</v>
      </c>
      <c r="Q146" s="81" t="s">
        <v>3004</v>
      </c>
      <c r="R146" s="81" t="s">
        <v>3005</v>
      </c>
      <c r="S146" s="81" t="s">
        <v>3006</v>
      </c>
      <c r="T146" s="81" t="s">
        <v>3007</v>
      </c>
      <c r="U146" s="81" t="s">
        <v>3008</v>
      </c>
      <c r="V146" s="81" t="s">
        <v>3009</v>
      </c>
      <c r="W146" s="81" t="s">
        <v>3010</v>
      </c>
      <c r="X146" s="81"/>
      <c r="Y146" s="81"/>
      <c r="Z146" s="81"/>
      <c r="AA146" s="81"/>
      <c r="AB146" s="81"/>
      <c r="AC146" s="81"/>
      <c r="AD146" s="81"/>
      <c r="AE146" s="81"/>
      <c r="AF146" s="81"/>
      <c r="AG146" s="81"/>
      <c r="AH146" s="81"/>
      <c r="AI146" s="81"/>
      <c r="AJ146" s="82" t="s">
        <v>3011</v>
      </c>
    </row>
    <row r="147" spans="2:36" x14ac:dyDescent="0.2">
      <c r="B147" s="80" t="s">
        <v>3012</v>
      </c>
      <c r="C147" s="81" t="s">
        <v>3013</v>
      </c>
      <c r="D147" s="81" t="s">
        <v>3014</v>
      </c>
      <c r="E147" s="81" t="s">
        <v>3015</v>
      </c>
      <c r="F147" s="81" t="s">
        <v>3016</v>
      </c>
      <c r="G147" s="81" t="s">
        <v>3017</v>
      </c>
      <c r="H147" s="83" t="s">
        <v>3018</v>
      </c>
      <c r="I147" s="81" t="s">
        <v>3019</v>
      </c>
      <c r="J147" s="81" t="s">
        <v>3020</v>
      </c>
      <c r="K147" s="81" t="s">
        <v>3021</v>
      </c>
      <c r="L147" s="81" t="s">
        <v>3022</v>
      </c>
      <c r="M147" s="81" t="s">
        <v>3023</v>
      </c>
      <c r="N147" s="81" t="s">
        <v>3024</v>
      </c>
      <c r="O147" s="81" t="s">
        <v>3025</v>
      </c>
      <c r="P147" s="81" t="s">
        <v>3026</v>
      </c>
      <c r="Q147" s="81" t="s">
        <v>3027</v>
      </c>
      <c r="R147" s="81" t="s">
        <v>3028</v>
      </c>
      <c r="S147" s="81" t="s">
        <v>3029</v>
      </c>
      <c r="T147" s="81" t="s">
        <v>3030</v>
      </c>
      <c r="U147" s="81"/>
      <c r="V147" s="81"/>
      <c r="W147" s="81"/>
      <c r="X147" s="81" t="s">
        <v>3031</v>
      </c>
      <c r="Y147" s="81" t="s">
        <v>3032</v>
      </c>
      <c r="Z147" s="81" t="s">
        <v>3033</v>
      </c>
      <c r="AA147" s="81" t="s">
        <v>3034</v>
      </c>
      <c r="AB147" s="81" t="s">
        <v>3035</v>
      </c>
      <c r="AC147" s="81" t="s">
        <v>3036</v>
      </c>
      <c r="AD147" s="81" t="s">
        <v>3037</v>
      </c>
      <c r="AE147" s="81" t="s">
        <v>3038</v>
      </c>
      <c r="AF147" s="81" t="s">
        <v>3039</v>
      </c>
      <c r="AG147" s="81" t="s">
        <v>3040</v>
      </c>
      <c r="AH147" s="81" t="s">
        <v>3041</v>
      </c>
      <c r="AI147" s="81" t="s">
        <v>3042</v>
      </c>
      <c r="AJ147" s="82" t="s">
        <v>3043</v>
      </c>
    </row>
    <row r="148" spans="2:36" x14ac:dyDescent="0.2">
      <c r="B148" s="80" t="s">
        <v>3044</v>
      </c>
      <c r="C148" s="81" t="s">
        <v>3045</v>
      </c>
      <c r="D148" s="81"/>
      <c r="E148" s="81" t="s">
        <v>3046</v>
      </c>
      <c r="F148" s="81"/>
      <c r="G148" s="81"/>
      <c r="H148" s="81"/>
      <c r="I148" s="81"/>
      <c r="J148" s="81"/>
      <c r="K148" s="81" t="s">
        <v>3047</v>
      </c>
      <c r="L148" s="81" t="s">
        <v>3048</v>
      </c>
      <c r="M148" s="81" t="s">
        <v>3049</v>
      </c>
      <c r="N148" s="81" t="s">
        <v>3050</v>
      </c>
      <c r="O148" s="81" t="s">
        <v>3051</v>
      </c>
      <c r="P148" s="81" t="s">
        <v>3052</v>
      </c>
      <c r="Q148" s="81"/>
      <c r="R148" s="81"/>
      <c r="S148" s="81"/>
      <c r="T148" s="81"/>
      <c r="U148" s="81"/>
      <c r="V148" s="81"/>
      <c r="W148" s="81"/>
      <c r="X148" s="81"/>
      <c r="Y148" s="81"/>
      <c r="Z148" s="81"/>
      <c r="AA148" s="81"/>
      <c r="AB148" s="81"/>
      <c r="AC148" s="81"/>
      <c r="AD148" s="81"/>
      <c r="AE148" s="81"/>
      <c r="AF148" s="81"/>
      <c r="AG148" s="81"/>
      <c r="AH148" s="81"/>
      <c r="AI148" s="81"/>
      <c r="AJ148" s="82" t="s">
        <v>3053</v>
      </c>
    </row>
    <row r="149" spans="2:36" x14ac:dyDescent="0.2">
      <c r="B149" s="80" t="s">
        <v>3054</v>
      </c>
      <c r="C149" s="81" t="s">
        <v>3055</v>
      </c>
      <c r="D149" s="81" t="s">
        <v>3056</v>
      </c>
      <c r="E149" s="81" t="s">
        <v>3057</v>
      </c>
      <c r="F149" s="81" t="s">
        <v>3058</v>
      </c>
      <c r="G149" s="81" t="s">
        <v>3059</v>
      </c>
      <c r="H149" s="83" t="s">
        <v>3060</v>
      </c>
      <c r="I149" s="81" t="s">
        <v>3061</v>
      </c>
      <c r="J149" s="81" t="s">
        <v>3062</v>
      </c>
      <c r="K149" s="81" t="s">
        <v>3063</v>
      </c>
      <c r="L149" s="81" t="s">
        <v>3064</v>
      </c>
      <c r="M149" s="81" t="s">
        <v>3065</v>
      </c>
      <c r="N149" s="81" t="s">
        <v>3066</v>
      </c>
      <c r="O149" s="81" t="s">
        <v>3067</v>
      </c>
      <c r="P149" s="81" t="s">
        <v>3068</v>
      </c>
      <c r="Q149" s="81" t="s">
        <v>3069</v>
      </c>
      <c r="R149" s="81" t="s">
        <v>3070</v>
      </c>
      <c r="S149" s="81" t="s">
        <v>3071</v>
      </c>
      <c r="T149" s="81" t="s">
        <v>3072</v>
      </c>
      <c r="U149" s="81" t="s">
        <v>3073</v>
      </c>
      <c r="V149" s="81" t="s">
        <v>3074</v>
      </c>
      <c r="W149" s="81" t="s">
        <v>3075</v>
      </c>
      <c r="X149" s="81"/>
      <c r="Y149" s="81" t="s">
        <v>3076</v>
      </c>
      <c r="Z149" s="81" t="s">
        <v>3077</v>
      </c>
      <c r="AA149" s="81" t="s">
        <v>3078</v>
      </c>
      <c r="AB149" s="81" t="s">
        <v>3079</v>
      </c>
      <c r="AC149" s="81" t="s">
        <v>3080</v>
      </c>
      <c r="AD149" s="81" t="s">
        <v>3081</v>
      </c>
      <c r="AE149" s="81" t="s">
        <v>3082</v>
      </c>
      <c r="AF149" s="81" t="s">
        <v>3083</v>
      </c>
      <c r="AG149" s="81" t="s">
        <v>3084</v>
      </c>
      <c r="AH149" s="81" t="s">
        <v>3085</v>
      </c>
      <c r="AI149" s="81" t="s">
        <v>3086</v>
      </c>
      <c r="AJ149" s="82" t="s">
        <v>3087</v>
      </c>
    </row>
    <row r="150" spans="2:36" x14ac:dyDescent="0.2">
      <c r="B150" s="80" t="s">
        <v>3088</v>
      </c>
      <c r="C150" s="81" t="s">
        <v>3089</v>
      </c>
      <c r="D150" s="81" t="s">
        <v>3090</v>
      </c>
      <c r="E150" s="81" t="s">
        <v>3091</v>
      </c>
      <c r="F150" s="81" t="s">
        <v>3092</v>
      </c>
      <c r="G150" s="81" t="s">
        <v>3093</v>
      </c>
      <c r="H150" s="83" t="s">
        <v>3094</v>
      </c>
      <c r="I150" s="81" t="s">
        <v>3095</v>
      </c>
      <c r="J150" s="81" t="s">
        <v>3096</v>
      </c>
      <c r="K150" s="81" t="s">
        <v>3097</v>
      </c>
      <c r="L150" s="81" t="s">
        <v>3098</v>
      </c>
      <c r="M150" s="81" t="s">
        <v>3099</v>
      </c>
      <c r="N150" s="81"/>
      <c r="O150" s="81" t="s">
        <v>3100</v>
      </c>
      <c r="P150" s="81" t="s">
        <v>3101</v>
      </c>
      <c r="Q150" s="81" t="s">
        <v>3102</v>
      </c>
      <c r="R150" s="81" t="s">
        <v>3103</v>
      </c>
      <c r="S150" s="81" t="s">
        <v>3104</v>
      </c>
      <c r="T150" s="81" t="s">
        <v>3105</v>
      </c>
      <c r="U150" s="81" t="s">
        <v>3106</v>
      </c>
      <c r="V150" s="81" t="s">
        <v>3107</v>
      </c>
      <c r="W150" s="81" t="s">
        <v>3108</v>
      </c>
      <c r="X150" s="81" t="s">
        <v>3109</v>
      </c>
      <c r="Y150" s="81" t="s">
        <v>3110</v>
      </c>
      <c r="Z150" s="81" t="s">
        <v>3111</v>
      </c>
      <c r="AA150" s="81" t="s">
        <v>3112</v>
      </c>
      <c r="AB150" s="81" t="s">
        <v>3113</v>
      </c>
      <c r="AC150" s="81" t="s">
        <v>3114</v>
      </c>
      <c r="AD150" s="81" t="s">
        <v>3115</v>
      </c>
      <c r="AE150" s="81" t="s">
        <v>3116</v>
      </c>
      <c r="AF150" s="81" t="s">
        <v>3117</v>
      </c>
      <c r="AG150" s="81" t="s">
        <v>3118</v>
      </c>
      <c r="AH150" s="81" t="s">
        <v>3119</v>
      </c>
      <c r="AI150" s="81" t="s">
        <v>3120</v>
      </c>
      <c r="AJ150" s="82" t="s">
        <v>3121</v>
      </c>
    </row>
    <row r="151" spans="2:36" x14ac:dyDescent="0.2">
      <c r="B151" s="80" t="s">
        <v>3122</v>
      </c>
      <c r="C151" s="81" t="s">
        <v>3123</v>
      </c>
      <c r="D151" s="81"/>
      <c r="E151" s="81" t="s">
        <v>3124</v>
      </c>
      <c r="F151" s="81"/>
      <c r="G151" s="81"/>
      <c r="H151" s="81"/>
      <c r="I151" s="81"/>
      <c r="J151" s="81"/>
      <c r="K151" s="81" t="s">
        <v>3125</v>
      </c>
      <c r="L151" s="81" t="s">
        <v>3126</v>
      </c>
      <c r="M151" s="81" t="s">
        <v>3127</v>
      </c>
      <c r="N151" s="81"/>
      <c r="O151" s="81" t="s">
        <v>3128</v>
      </c>
      <c r="P151" s="81" t="s">
        <v>3129</v>
      </c>
      <c r="Q151" s="81" t="s">
        <v>3130</v>
      </c>
      <c r="R151" s="81" t="s">
        <v>3131</v>
      </c>
      <c r="S151" s="81"/>
      <c r="T151" s="81"/>
      <c r="U151" s="81"/>
      <c r="V151" s="81"/>
      <c r="W151" s="81"/>
      <c r="X151" s="81"/>
      <c r="Y151" s="81" t="s">
        <v>3132</v>
      </c>
      <c r="Z151" s="81"/>
      <c r="AA151" s="81"/>
      <c r="AB151" s="81"/>
      <c r="AC151" s="81"/>
      <c r="AD151" s="81"/>
      <c r="AE151" s="81"/>
      <c r="AF151" s="81"/>
      <c r="AG151" s="81"/>
      <c r="AH151" s="81"/>
      <c r="AI151" s="81"/>
      <c r="AJ151" s="82" t="s">
        <v>3133</v>
      </c>
    </row>
    <row r="152" spans="2:36" x14ac:dyDescent="0.2">
      <c r="B152" s="80" t="s">
        <v>3134</v>
      </c>
      <c r="C152" s="81" t="s">
        <v>3135</v>
      </c>
      <c r="D152" s="81"/>
      <c r="E152" s="81" t="s">
        <v>3136</v>
      </c>
      <c r="F152" s="81"/>
      <c r="G152" s="81"/>
      <c r="H152" s="81"/>
      <c r="I152" s="81"/>
      <c r="J152" s="81"/>
      <c r="K152" s="81"/>
      <c r="L152" s="81"/>
      <c r="M152" s="81"/>
      <c r="N152" s="81"/>
      <c r="O152" s="81"/>
      <c r="P152" s="81"/>
      <c r="Q152" s="81"/>
      <c r="R152" s="81"/>
      <c r="S152" s="81"/>
      <c r="T152" s="81"/>
      <c r="U152" s="81"/>
      <c r="V152" s="81"/>
      <c r="W152" s="81"/>
      <c r="X152" s="81"/>
      <c r="Y152" s="81" t="s">
        <v>3137</v>
      </c>
      <c r="Z152" s="81"/>
      <c r="AA152" s="81" t="s">
        <v>3138</v>
      </c>
      <c r="AB152" s="81" t="s">
        <v>3139</v>
      </c>
      <c r="AC152" s="81"/>
      <c r="AD152" s="81"/>
      <c r="AE152" s="81"/>
      <c r="AF152" s="81"/>
      <c r="AG152" s="81"/>
      <c r="AH152" s="81"/>
      <c r="AI152" s="81"/>
      <c r="AJ152" s="82"/>
    </row>
    <row r="153" spans="2:36" x14ac:dyDescent="0.2">
      <c r="B153" s="80" t="s">
        <v>3140</v>
      </c>
      <c r="C153" s="81" t="s">
        <v>3141</v>
      </c>
      <c r="D153" s="81" t="s">
        <v>3142</v>
      </c>
      <c r="E153" s="81" t="s">
        <v>3143</v>
      </c>
      <c r="F153" s="81" t="s">
        <v>3144</v>
      </c>
      <c r="G153" s="81" t="s">
        <v>3145</v>
      </c>
      <c r="H153" s="83" t="s">
        <v>3146</v>
      </c>
      <c r="I153" s="81" t="s">
        <v>3147</v>
      </c>
      <c r="J153" s="81" t="s">
        <v>3148</v>
      </c>
      <c r="K153" s="81" t="s">
        <v>3149</v>
      </c>
      <c r="L153" s="81" t="s">
        <v>3150</v>
      </c>
      <c r="M153" s="81" t="s">
        <v>3151</v>
      </c>
      <c r="N153" s="81" t="s">
        <v>3152</v>
      </c>
      <c r="O153" s="81" t="s">
        <v>3153</v>
      </c>
      <c r="P153" s="81" t="s">
        <v>3154</v>
      </c>
      <c r="Q153" s="81"/>
      <c r="R153" s="81"/>
      <c r="S153" s="81"/>
      <c r="T153" s="81"/>
      <c r="U153" s="81"/>
      <c r="V153" s="81"/>
      <c r="W153" s="81"/>
      <c r="X153" s="81"/>
      <c r="Y153" s="81"/>
      <c r="Z153" s="81" t="s">
        <v>3155</v>
      </c>
      <c r="AA153" s="81"/>
      <c r="AB153" s="81"/>
      <c r="AC153" s="81"/>
      <c r="AD153" s="81"/>
      <c r="AE153" s="81" t="s">
        <v>3156</v>
      </c>
      <c r="AF153" s="81" t="s">
        <v>3157</v>
      </c>
      <c r="AG153" s="81"/>
      <c r="AH153" s="81"/>
      <c r="AI153" s="81"/>
      <c r="AJ153" s="82" t="s">
        <v>3158</v>
      </c>
    </row>
    <row r="154" spans="2:36" x14ac:dyDescent="0.2">
      <c r="B154" s="80" t="s">
        <v>3159</v>
      </c>
      <c r="C154" s="81" t="s">
        <v>3160</v>
      </c>
      <c r="D154" s="81" t="s">
        <v>3161</v>
      </c>
      <c r="E154" s="81" t="s">
        <v>3162</v>
      </c>
      <c r="F154" s="81" t="s">
        <v>3163</v>
      </c>
      <c r="G154" s="81" t="s">
        <v>3164</v>
      </c>
      <c r="H154" s="83" t="s">
        <v>3165</v>
      </c>
      <c r="I154" s="81" t="s">
        <v>3166</v>
      </c>
      <c r="J154" s="81" t="s">
        <v>3167</v>
      </c>
      <c r="K154" s="81"/>
      <c r="L154" s="81"/>
      <c r="M154" s="81"/>
      <c r="N154" s="81"/>
      <c r="O154" s="81" t="s">
        <v>3168</v>
      </c>
      <c r="P154" s="81" t="s">
        <v>3169</v>
      </c>
      <c r="Q154" s="81"/>
      <c r="R154" s="81"/>
      <c r="S154" s="81"/>
      <c r="T154" s="81"/>
      <c r="U154" s="81"/>
      <c r="V154" s="81"/>
      <c r="W154" s="81"/>
      <c r="X154" s="81"/>
      <c r="Y154" s="81" t="s">
        <v>3170</v>
      </c>
      <c r="Z154" s="81" t="s">
        <v>3171</v>
      </c>
      <c r="AA154" s="81" t="s">
        <v>3172</v>
      </c>
      <c r="AB154" s="81" t="s">
        <v>3173</v>
      </c>
      <c r="AC154" s="81" t="s">
        <v>3174</v>
      </c>
      <c r="AD154" s="81" t="s">
        <v>3175</v>
      </c>
      <c r="AE154" s="81" t="s">
        <v>3176</v>
      </c>
      <c r="AF154" s="81" t="s">
        <v>3177</v>
      </c>
      <c r="AG154" s="81" t="s">
        <v>3178</v>
      </c>
      <c r="AH154" s="81" t="s">
        <v>3179</v>
      </c>
      <c r="AI154" s="81" t="s">
        <v>3180</v>
      </c>
      <c r="AJ154" s="82"/>
    </row>
    <row r="155" spans="2:36" x14ac:dyDescent="0.2">
      <c r="B155" s="80" t="s">
        <v>3181</v>
      </c>
      <c r="C155" s="81" t="s">
        <v>3182</v>
      </c>
      <c r="D155" s="81" t="s">
        <v>3183</v>
      </c>
      <c r="E155" s="81" t="s">
        <v>3184</v>
      </c>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2"/>
    </row>
    <row r="156" spans="2:36" x14ac:dyDescent="0.2">
      <c r="B156" s="80" t="s">
        <v>3185</v>
      </c>
      <c r="C156" s="81" t="s">
        <v>3186</v>
      </c>
      <c r="D156" s="81"/>
      <c r="E156" s="81"/>
      <c r="F156" s="81"/>
      <c r="G156" s="81"/>
      <c r="H156" s="81"/>
      <c r="I156" s="81"/>
      <c r="J156" s="81"/>
      <c r="K156" s="81"/>
      <c r="L156" s="81"/>
      <c r="M156" s="81"/>
      <c r="N156" s="81"/>
      <c r="O156" s="81" t="s">
        <v>3187</v>
      </c>
      <c r="P156" s="81" t="s">
        <v>3188</v>
      </c>
      <c r="Q156" s="81"/>
      <c r="R156" s="81"/>
      <c r="S156" s="81"/>
      <c r="T156" s="81"/>
      <c r="U156" s="81"/>
      <c r="V156" s="81"/>
      <c r="W156" s="81"/>
      <c r="X156" s="81"/>
      <c r="Y156" s="81"/>
      <c r="Z156" s="81"/>
      <c r="AA156" s="81"/>
      <c r="AB156" s="81"/>
      <c r="AC156" s="81"/>
      <c r="AD156" s="81"/>
      <c r="AE156" s="81"/>
      <c r="AF156" s="81"/>
      <c r="AG156" s="81"/>
      <c r="AH156" s="81"/>
      <c r="AI156" s="81"/>
      <c r="AJ156" s="82"/>
    </row>
    <row r="157" spans="2:36" ht="13.5" thickBot="1" x14ac:dyDescent="0.25">
      <c r="B157" s="84" t="s">
        <v>3189</v>
      </c>
      <c r="C157" s="85" t="s">
        <v>3190</v>
      </c>
      <c r="D157" s="85" t="s">
        <v>3191</v>
      </c>
      <c r="E157" s="85" t="s">
        <v>3192</v>
      </c>
      <c r="F157" s="85" t="s">
        <v>3193</v>
      </c>
      <c r="G157" s="85" t="s">
        <v>3194</v>
      </c>
      <c r="H157" s="86" t="s">
        <v>3195</v>
      </c>
      <c r="I157" s="85" t="s">
        <v>3196</v>
      </c>
      <c r="J157" s="85" t="s">
        <v>3197</v>
      </c>
      <c r="K157" s="85"/>
      <c r="L157" s="85" t="s">
        <v>3198</v>
      </c>
      <c r="M157" s="85" t="s">
        <v>3199</v>
      </c>
      <c r="N157" s="85" t="s">
        <v>3200</v>
      </c>
      <c r="O157" s="85" t="s">
        <v>3201</v>
      </c>
      <c r="P157" s="85" t="s">
        <v>3202</v>
      </c>
      <c r="Q157" s="85"/>
      <c r="R157" s="85"/>
      <c r="S157" s="85"/>
      <c r="T157" s="85"/>
      <c r="U157" s="85"/>
      <c r="V157" s="85"/>
      <c r="W157" s="85"/>
      <c r="X157" s="85"/>
      <c r="Y157" s="85"/>
      <c r="Z157" s="85"/>
      <c r="AA157" s="85"/>
      <c r="AB157" s="85"/>
      <c r="AC157" s="85"/>
      <c r="AD157" s="85"/>
      <c r="AE157" s="85"/>
      <c r="AF157" s="85"/>
      <c r="AG157" s="85"/>
      <c r="AH157" s="85"/>
      <c r="AI157" s="85"/>
      <c r="AJ157" s="87" t="s">
        <v>3203</v>
      </c>
    </row>
    <row r="159" spans="2:36" x14ac:dyDescent="0.2">
      <c r="B159" s="88" t="s">
        <v>22</v>
      </c>
      <c r="C159" s="81"/>
      <c r="D159" s="81"/>
      <c r="E159" s="81"/>
      <c r="F159" s="81"/>
      <c r="G159" s="81"/>
      <c r="H159" s="83"/>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2"/>
    </row>
    <row r="160" spans="2:36" x14ac:dyDescent="0.2">
      <c r="B160" s="88" t="s">
        <v>3204</v>
      </c>
      <c r="C160" s="81"/>
      <c r="D160" s="81"/>
      <c r="E160" s="81"/>
      <c r="F160" s="81"/>
      <c r="G160" s="81"/>
      <c r="H160" s="83"/>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2"/>
    </row>
    <row r="164" spans="2:36" x14ac:dyDescent="0.2">
      <c r="B164" s="66">
        <v>1</v>
      </c>
      <c r="C164" s="66">
        <f>B164+1</f>
        <v>2</v>
      </c>
      <c r="D164" s="66">
        <f t="shared" ref="D164:AJ164" si="0">C164+1</f>
        <v>3</v>
      </c>
      <c r="E164" s="66">
        <f t="shared" si="0"/>
        <v>4</v>
      </c>
      <c r="F164" s="66">
        <f t="shared" si="0"/>
        <v>5</v>
      </c>
      <c r="G164" s="66">
        <f t="shared" si="0"/>
        <v>6</v>
      </c>
      <c r="H164" s="66">
        <f t="shared" si="0"/>
        <v>7</v>
      </c>
      <c r="I164" s="66">
        <f t="shared" si="0"/>
        <v>8</v>
      </c>
      <c r="J164" s="66">
        <f t="shared" si="0"/>
        <v>9</v>
      </c>
      <c r="K164" s="66">
        <f t="shared" si="0"/>
        <v>10</v>
      </c>
      <c r="L164" s="66">
        <f t="shared" si="0"/>
        <v>11</v>
      </c>
      <c r="M164" s="66">
        <f t="shared" si="0"/>
        <v>12</v>
      </c>
      <c r="N164" s="66">
        <f t="shared" si="0"/>
        <v>13</v>
      </c>
      <c r="O164" s="66">
        <f t="shared" si="0"/>
        <v>14</v>
      </c>
      <c r="P164" s="66">
        <f t="shared" si="0"/>
        <v>15</v>
      </c>
      <c r="Q164" s="66">
        <f t="shared" si="0"/>
        <v>16</v>
      </c>
      <c r="R164" s="66">
        <f t="shared" si="0"/>
        <v>17</v>
      </c>
      <c r="S164" s="66">
        <f t="shared" si="0"/>
        <v>18</v>
      </c>
      <c r="T164" s="66">
        <f t="shared" si="0"/>
        <v>19</v>
      </c>
      <c r="U164" s="66">
        <f t="shared" si="0"/>
        <v>20</v>
      </c>
      <c r="V164" s="66">
        <f t="shared" si="0"/>
        <v>21</v>
      </c>
      <c r="W164" s="66">
        <f t="shared" si="0"/>
        <v>22</v>
      </c>
      <c r="X164" s="66">
        <f t="shared" si="0"/>
        <v>23</v>
      </c>
      <c r="Y164" s="66">
        <f t="shared" si="0"/>
        <v>24</v>
      </c>
      <c r="Z164" s="66">
        <f t="shared" si="0"/>
        <v>25</v>
      </c>
      <c r="AA164" s="66">
        <f t="shared" si="0"/>
        <v>26</v>
      </c>
      <c r="AB164" s="66">
        <f t="shared" si="0"/>
        <v>27</v>
      </c>
      <c r="AC164" s="66">
        <f t="shared" si="0"/>
        <v>28</v>
      </c>
      <c r="AD164" s="66">
        <f t="shared" si="0"/>
        <v>29</v>
      </c>
      <c r="AE164" s="66">
        <f t="shared" si="0"/>
        <v>30</v>
      </c>
      <c r="AF164" s="66">
        <f t="shared" si="0"/>
        <v>31</v>
      </c>
      <c r="AG164" s="66">
        <f t="shared" si="0"/>
        <v>32</v>
      </c>
      <c r="AH164" s="66">
        <f t="shared" si="0"/>
        <v>33</v>
      </c>
      <c r="AI164" s="66">
        <f t="shared" si="0"/>
        <v>34</v>
      </c>
      <c r="AJ164" s="66">
        <f t="shared" si="0"/>
        <v>35</v>
      </c>
    </row>
    <row r="165" spans="2:36" x14ac:dyDescent="0.2">
      <c r="B165" s="80" t="s">
        <v>169</v>
      </c>
      <c r="C165" s="66" t="str">
        <f>VLOOKUP($B165,$B$5:$AJ$157,C$164,FALSE)</f>
        <v>AU</v>
      </c>
      <c r="D165" s="66" t="str">
        <f t="shared" ref="D165:AJ173" si="1">VLOOKUP($B165,$B$5:$AJ$157,D$164,FALSE)</f>
        <v>AUCGDP..D</v>
      </c>
      <c r="E165" s="66" t="str">
        <f t="shared" si="1"/>
        <v>AUCGDP..A</v>
      </c>
      <c r="F165" s="66" t="str">
        <f t="shared" si="1"/>
        <v>AUCPCE..D</v>
      </c>
      <c r="G165" s="66" t="str">
        <f t="shared" si="1"/>
        <v>AUCGCE..D</v>
      </c>
      <c r="H165" s="66" t="str">
        <f t="shared" si="1"/>
        <v>AUCGFC..D</v>
      </c>
      <c r="I165" s="66" t="str">
        <f t="shared" si="1"/>
        <v>AUCEXN..D</v>
      </c>
      <c r="J165" s="66" t="str">
        <f t="shared" si="1"/>
        <v>AUCIMN..D</v>
      </c>
      <c r="K165" s="66" t="str">
        <f t="shared" si="1"/>
        <v>AUCMS0..B</v>
      </c>
      <c r="L165" s="66" t="str">
        <f t="shared" si="1"/>
        <v>AUCMS1..B</v>
      </c>
      <c r="M165" s="66">
        <f t="shared" si="1"/>
        <v>0</v>
      </c>
      <c r="N165" s="66" t="str">
        <f t="shared" si="1"/>
        <v>AUCMS3..B</v>
      </c>
      <c r="O165" s="66" t="str">
        <f t="shared" si="1"/>
        <v>AUCCPI..E</v>
      </c>
      <c r="P165" s="66" t="str">
        <f t="shared" si="1"/>
        <v>AUCCPI..F</v>
      </c>
      <c r="Q165" s="66" t="str">
        <f t="shared" si="1"/>
        <v>AUCPPI..E</v>
      </c>
      <c r="R165" s="66" t="str">
        <f t="shared" si="1"/>
        <v>AUCPPI..F</v>
      </c>
      <c r="S165" s="66" t="str">
        <f t="shared" si="1"/>
        <v>AUCCOR..E</v>
      </c>
      <c r="T165" s="66" t="str">
        <f t="shared" si="1"/>
        <v>AUCCOR..F</v>
      </c>
      <c r="U165" s="66" t="str">
        <f t="shared" si="1"/>
        <v>AUCEXI..F</v>
      </c>
      <c r="V165" s="66" t="str">
        <f t="shared" si="1"/>
        <v>AUCIMI..F</v>
      </c>
      <c r="W165" s="66" t="str">
        <f t="shared" si="1"/>
        <v>AUCTRM..F</v>
      </c>
      <c r="X165" s="66">
        <f t="shared" si="1"/>
        <v>0</v>
      </c>
      <c r="Y165" s="66" t="str">
        <f t="shared" si="1"/>
        <v>AUCEMF..O</v>
      </c>
      <c r="Z165" s="66" t="str">
        <f t="shared" si="1"/>
        <v>AUCUNP..Q</v>
      </c>
      <c r="AA165" s="66" t="str">
        <f t="shared" si="1"/>
        <v>AUCRET..E</v>
      </c>
      <c r="AB165" s="66" t="str">
        <f t="shared" si="1"/>
        <v>AUCRET..F</v>
      </c>
      <c r="AC165" s="66" t="str">
        <f t="shared" si="1"/>
        <v>AUCIND..G</v>
      </c>
      <c r="AD165" s="66" t="str">
        <f t="shared" si="1"/>
        <v>AUCGOV..A</v>
      </c>
      <c r="AE165" s="66" t="str">
        <f t="shared" si="1"/>
        <v>AUCCUR..B</v>
      </c>
      <c r="AF165" s="66" t="str">
        <f t="shared" si="1"/>
        <v>AUCCUR..Q</v>
      </c>
      <c r="AG165" s="66" t="str">
        <f t="shared" si="1"/>
        <v>AUCEXP..B</v>
      </c>
      <c r="AH165" s="66" t="str">
        <f t="shared" si="1"/>
        <v>AUCIMP..B</v>
      </c>
      <c r="AI165" s="66" t="str">
        <f t="shared" si="1"/>
        <v>AUCVIS..B</v>
      </c>
      <c r="AJ165" s="66" t="str">
        <f t="shared" si="1"/>
        <v>AUCRES..A</v>
      </c>
    </row>
    <row r="166" spans="2:36" x14ac:dyDescent="0.2">
      <c r="B166" s="80" t="s">
        <v>494</v>
      </c>
      <c r="C166" s="66" t="str">
        <f t="shared" ref="C166:R182" si="2">VLOOKUP($B166,$B$5:$AJ$157,C$164,FALSE)</f>
        <v>CN</v>
      </c>
      <c r="D166" s="66" t="str">
        <f t="shared" si="2"/>
        <v>CNCGDP..D</v>
      </c>
      <c r="E166" s="66" t="str">
        <f t="shared" si="2"/>
        <v>CNCGDP..A</v>
      </c>
      <c r="F166" s="66" t="str">
        <f t="shared" si="2"/>
        <v>CNCPCE..D</v>
      </c>
      <c r="G166" s="66" t="str">
        <f t="shared" si="2"/>
        <v>CNCGCE..D</v>
      </c>
      <c r="H166" s="66" t="str">
        <f t="shared" si="2"/>
        <v>CNCGFC..D</v>
      </c>
      <c r="I166" s="66" t="str">
        <f t="shared" si="2"/>
        <v>CNCEXN..D</v>
      </c>
      <c r="J166" s="66" t="str">
        <f t="shared" si="2"/>
        <v>CNCIMN..D</v>
      </c>
      <c r="K166" s="66" t="str">
        <f t="shared" si="2"/>
        <v>CNCMS0..B</v>
      </c>
      <c r="L166" s="66" t="str">
        <f t="shared" si="2"/>
        <v>CNCMS1..B</v>
      </c>
      <c r="M166" s="66" t="str">
        <f t="shared" si="2"/>
        <v>CNCMS2..B</v>
      </c>
      <c r="N166" s="66" t="str">
        <f t="shared" si="2"/>
        <v>CNCMS3..B</v>
      </c>
      <c r="O166" s="66" t="str">
        <f t="shared" si="2"/>
        <v>CNCCPI..E</v>
      </c>
      <c r="P166" s="66" t="str">
        <f t="shared" si="2"/>
        <v>CNCCPI..F</v>
      </c>
      <c r="Q166" s="66" t="str">
        <f t="shared" si="2"/>
        <v>CNCPPI..E</v>
      </c>
      <c r="R166" s="66" t="str">
        <f t="shared" si="2"/>
        <v>CNCPPI..F</v>
      </c>
      <c r="S166" s="66" t="str">
        <f t="shared" si="1"/>
        <v>CNCCOR..E</v>
      </c>
      <c r="T166" s="66" t="str">
        <f t="shared" si="1"/>
        <v>CNCCOR..F</v>
      </c>
      <c r="U166" s="66" t="str">
        <f t="shared" si="1"/>
        <v>CNCEXI..F</v>
      </c>
      <c r="V166" s="66" t="str">
        <f t="shared" si="1"/>
        <v>CNCIMI..F</v>
      </c>
      <c r="W166" s="66" t="str">
        <f t="shared" si="1"/>
        <v>CNCTRM..F</v>
      </c>
      <c r="X166" s="66" t="str">
        <f t="shared" si="1"/>
        <v>CNCEMP..O</v>
      </c>
      <c r="Y166" s="66" t="str">
        <f t="shared" si="1"/>
        <v>CNCEMF..O</v>
      </c>
      <c r="Z166" s="66" t="str">
        <f t="shared" si="1"/>
        <v>CNCUNP..Q</v>
      </c>
      <c r="AA166" s="66" t="str">
        <f t="shared" si="1"/>
        <v>CNCRET..E</v>
      </c>
      <c r="AB166" s="66" t="str">
        <f t="shared" si="1"/>
        <v>CNCRET..F</v>
      </c>
      <c r="AC166" s="66" t="str">
        <f t="shared" si="1"/>
        <v>CNCIND..G</v>
      </c>
      <c r="AD166" s="66" t="str">
        <f t="shared" si="1"/>
        <v>CNCGOV..A</v>
      </c>
      <c r="AE166" s="66" t="str">
        <f t="shared" si="1"/>
        <v>CNCCUR..B</v>
      </c>
      <c r="AF166" s="66" t="str">
        <f t="shared" si="1"/>
        <v>CNCCUR..Q</v>
      </c>
      <c r="AG166" s="66" t="str">
        <f t="shared" si="1"/>
        <v>CNCEXP..B</v>
      </c>
      <c r="AH166" s="66" t="str">
        <f t="shared" si="1"/>
        <v>CNCIMP..B</v>
      </c>
      <c r="AI166" s="66" t="str">
        <f t="shared" si="1"/>
        <v>CNCVIS..B</v>
      </c>
      <c r="AJ166" s="66" t="str">
        <f t="shared" si="1"/>
        <v>CNCRES..A</v>
      </c>
    </row>
    <row r="167" spans="2:36" x14ac:dyDescent="0.2">
      <c r="B167" s="80" t="s">
        <v>787</v>
      </c>
      <c r="C167" s="66" t="str">
        <f t="shared" si="2"/>
        <v>DK</v>
      </c>
      <c r="D167" s="66" t="str">
        <f t="shared" si="1"/>
        <v>DKCGDP..D</v>
      </c>
      <c r="E167" s="66" t="str">
        <f t="shared" si="1"/>
        <v>DKCGDP..A</v>
      </c>
      <c r="F167" s="66" t="str">
        <f t="shared" si="1"/>
        <v>DKCPCE..D</v>
      </c>
      <c r="G167" s="66" t="str">
        <f t="shared" si="1"/>
        <v>DKCGCE..D</v>
      </c>
      <c r="H167" s="66" t="str">
        <f t="shared" si="1"/>
        <v>DKCGFC..D</v>
      </c>
      <c r="I167" s="66" t="str">
        <f t="shared" si="1"/>
        <v>DKCEXN..D</v>
      </c>
      <c r="J167" s="66" t="str">
        <f t="shared" si="1"/>
        <v>DKCIMN..D</v>
      </c>
      <c r="K167" s="66" t="str">
        <f t="shared" si="1"/>
        <v>DKCMS0..B</v>
      </c>
      <c r="L167" s="66" t="str">
        <f t="shared" si="1"/>
        <v>DKCMS1..B</v>
      </c>
      <c r="M167" s="66" t="str">
        <f t="shared" si="1"/>
        <v>DKCMS2..B</v>
      </c>
      <c r="N167" s="66" t="str">
        <f t="shared" si="1"/>
        <v>DKCMS3..B</v>
      </c>
      <c r="O167" s="66" t="str">
        <f t="shared" si="1"/>
        <v>DKCCPI..E</v>
      </c>
      <c r="P167" s="66" t="str">
        <f t="shared" si="1"/>
        <v>DKCCPI..F</v>
      </c>
      <c r="Q167" s="66" t="str">
        <f t="shared" si="1"/>
        <v>DKCPPI..E</v>
      </c>
      <c r="R167" s="66" t="str">
        <f t="shared" si="1"/>
        <v>DKCPPI..F</v>
      </c>
      <c r="S167" s="66" t="str">
        <f t="shared" si="1"/>
        <v>DKCCOR..E</v>
      </c>
      <c r="T167" s="66" t="str">
        <f t="shared" si="1"/>
        <v>DKCCOR..F</v>
      </c>
      <c r="U167" s="66" t="str">
        <f t="shared" si="1"/>
        <v>DKCEXI..F</v>
      </c>
      <c r="V167" s="66" t="str">
        <f t="shared" si="1"/>
        <v>DKCIMI..F</v>
      </c>
      <c r="W167" s="66" t="str">
        <f t="shared" si="1"/>
        <v>DKCTRM..F</v>
      </c>
      <c r="X167" s="66" t="str">
        <f t="shared" si="1"/>
        <v>DKCEMP..O</v>
      </c>
      <c r="Y167" s="66" t="str">
        <f t="shared" si="1"/>
        <v>DKCEMF..O</v>
      </c>
      <c r="Z167" s="66" t="str">
        <f t="shared" si="1"/>
        <v>DKCUNP..Q</v>
      </c>
      <c r="AA167" s="66" t="str">
        <f t="shared" si="1"/>
        <v>DKCRET..E</v>
      </c>
      <c r="AB167" s="66" t="str">
        <f t="shared" si="1"/>
        <v>DKCRET..F</v>
      </c>
      <c r="AC167" s="66" t="str">
        <f t="shared" si="1"/>
        <v>DKCIND..G</v>
      </c>
      <c r="AD167" s="66" t="str">
        <f t="shared" si="1"/>
        <v>DKCGOV..A</v>
      </c>
      <c r="AE167" s="66" t="str">
        <f t="shared" si="1"/>
        <v>DKCCUR..B</v>
      </c>
      <c r="AF167" s="66" t="str">
        <f t="shared" si="1"/>
        <v>DKCCUR..Q</v>
      </c>
      <c r="AG167" s="66" t="str">
        <f t="shared" si="1"/>
        <v>DKCEXP..B</v>
      </c>
      <c r="AH167" s="66" t="str">
        <f t="shared" si="1"/>
        <v>DKCIMP..B</v>
      </c>
      <c r="AI167" s="66" t="str">
        <f t="shared" si="1"/>
        <v>DKCVIS..B</v>
      </c>
      <c r="AJ167" s="66" t="str">
        <f t="shared" si="1"/>
        <v>DKCRES..A</v>
      </c>
    </row>
    <row r="168" spans="2:36" x14ac:dyDescent="0.2">
      <c r="B168" s="80" t="s">
        <v>969</v>
      </c>
      <c r="C168" s="66" t="str">
        <f t="shared" si="2"/>
        <v>EK</v>
      </c>
      <c r="D168" s="66" t="str">
        <f t="shared" si="1"/>
        <v>EKCGDP..D</v>
      </c>
      <c r="E168" s="66" t="str">
        <f t="shared" si="1"/>
        <v>EKCGDP..A</v>
      </c>
      <c r="F168" s="66" t="str">
        <f t="shared" si="1"/>
        <v>EKCPCE..D</v>
      </c>
      <c r="G168" s="66" t="str">
        <f t="shared" si="1"/>
        <v>EKCGCE..D</v>
      </c>
      <c r="H168" s="66" t="str">
        <f t="shared" si="1"/>
        <v>EKCGFC..D</v>
      </c>
      <c r="I168" s="66" t="str">
        <f t="shared" si="1"/>
        <v>EKCEXN..D</v>
      </c>
      <c r="J168" s="66" t="str">
        <f t="shared" si="1"/>
        <v>EKCIMN..D</v>
      </c>
      <c r="K168" s="66">
        <f t="shared" si="1"/>
        <v>0</v>
      </c>
      <c r="L168" s="66" t="str">
        <f t="shared" si="1"/>
        <v>EKCMS1..B</v>
      </c>
      <c r="M168" s="66" t="str">
        <f t="shared" si="1"/>
        <v>EKCMS2..B</v>
      </c>
      <c r="N168" s="66" t="str">
        <f t="shared" si="1"/>
        <v>EKCMS3..B</v>
      </c>
      <c r="O168" s="66" t="str">
        <f t="shared" si="1"/>
        <v>EKCCPI..E</v>
      </c>
      <c r="P168" s="66" t="str">
        <f t="shared" si="1"/>
        <v>EKCCPI..F</v>
      </c>
      <c r="Q168" s="66">
        <f t="shared" si="1"/>
        <v>0</v>
      </c>
      <c r="R168" s="66">
        <f t="shared" si="1"/>
        <v>0</v>
      </c>
      <c r="S168" s="66" t="str">
        <f t="shared" si="1"/>
        <v>EKCCOR..E</v>
      </c>
      <c r="T168" s="66" t="str">
        <f t="shared" si="1"/>
        <v>EKCCOR..F</v>
      </c>
      <c r="U168" s="66">
        <f t="shared" si="1"/>
        <v>0</v>
      </c>
      <c r="V168" s="66">
        <f t="shared" si="1"/>
        <v>0</v>
      </c>
      <c r="W168" s="66">
        <f t="shared" si="1"/>
        <v>0</v>
      </c>
      <c r="X168" s="66">
        <f t="shared" si="1"/>
        <v>0</v>
      </c>
      <c r="Y168" s="66">
        <f t="shared" si="1"/>
        <v>0</v>
      </c>
      <c r="Z168" s="66" t="str">
        <f t="shared" si="1"/>
        <v>EKCUNP..Q</v>
      </c>
      <c r="AA168" s="66">
        <f t="shared" si="1"/>
        <v>0</v>
      </c>
      <c r="AB168" s="66">
        <f t="shared" si="1"/>
        <v>0</v>
      </c>
      <c r="AC168" s="66" t="str">
        <f t="shared" si="1"/>
        <v>EKCIND..G</v>
      </c>
      <c r="AD168" s="66" t="str">
        <f t="shared" si="1"/>
        <v>EKCGOV..A</v>
      </c>
      <c r="AE168" s="66" t="str">
        <f t="shared" si="1"/>
        <v>EKCCUR..B</v>
      </c>
      <c r="AF168" s="66" t="str">
        <f t="shared" si="1"/>
        <v>EKCCUR..Q</v>
      </c>
      <c r="AG168" s="66" t="str">
        <f t="shared" si="1"/>
        <v>EKCEXP..B</v>
      </c>
      <c r="AH168" s="66" t="str">
        <f t="shared" si="1"/>
        <v>EKCIMP..B</v>
      </c>
      <c r="AI168" s="66" t="str">
        <f t="shared" si="1"/>
        <v>EKCVIS..B</v>
      </c>
      <c r="AJ168" s="66" t="str">
        <f t="shared" si="1"/>
        <v>EKCRES..A</v>
      </c>
    </row>
    <row r="169" spans="2:36" x14ac:dyDescent="0.2">
      <c r="B169" s="80" t="s">
        <v>994</v>
      </c>
      <c r="C169" s="66" t="str">
        <f t="shared" si="2"/>
        <v>FN</v>
      </c>
      <c r="D169" s="66" t="str">
        <f t="shared" si="1"/>
        <v>FNCGDP..D</v>
      </c>
      <c r="E169" s="66" t="str">
        <f t="shared" si="1"/>
        <v>FNCGDP..A</v>
      </c>
      <c r="F169" s="66" t="str">
        <f t="shared" si="1"/>
        <v>FNCPCE..D</v>
      </c>
      <c r="G169" s="66" t="str">
        <f t="shared" si="1"/>
        <v>FNCGCE..D</v>
      </c>
      <c r="H169" s="66" t="str">
        <f t="shared" si="1"/>
        <v>FNCGFC..D</v>
      </c>
      <c r="I169" s="66" t="str">
        <f t="shared" si="1"/>
        <v>FNCEXN..D</v>
      </c>
      <c r="J169" s="66" t="str">
        <f t="shared" si="1"/>
        <v>FNCIMN..D</v>
      </c>
      <c r="K169" s="66" t="str">
        <f t="shared" si="1"/>
        <v>FNCMS0..B</v>
      </c>
      <c r="L169" s="66" t="str">
        <f t="shared" si="1"/>
        <v>FNCMS1..B</v>
      </c>
      <c r="M169" s="66" t="str">
        <f t="shared" si="1"/>
        <v>FNCMS2..B</v>
      </c>
      <c r="N169" s="66" t="str">
        <f t="shared" si="1"/>
        <v>FNCMS3..B</v>
      </c>
      <c r="O169" s="66" t="str">
        <f t="shared" si="1"/>
        <v>FNCCPI..E</v>
      </c>
      <c r="P169" s="66" t="str">
        <f t="shared" si="1"/>
        <v>FNCCPI..F</v>
      </c>
      <c r="Q169" s="66" t="str">
        <f t="shared" si="1"/>
        <v>FNCPPI..E</v>
      </c>
      <c r="R169" s="66" t="str">
        <f t="shared" si="1"/>
        <v>FNCPPI..F</v>
      </c>
      <c r="S169" s="66">
        <f t="shared" si="1"/>
        <v>0</v>
      </c>
      <c r="T169" s="66">
        <f t="shared" si="1"/>
        <v>0</v>
      </c>
      <c r="U169" s="66" t="str">
        <f t="shared" si="1"/>
        <v>FNCEXI..F</v>
      </c>
      <c r="V169" s="66" t="str">
        <f t="shared" si="1"/>
        <v>FNCIMI..F</v>
      </c>
      <c r="W169" s="66" t="str">
        <f t="shared" si="1"/>
        <v>FNCTRM..F</v>
      </c>
      <c r="X169" s="66" t="str">
        <f t="shared" si="1"/>
        <v>FNCEMP..O</v>
      </c>
      <c r="Y169" s="66" t="str">
        <f t="shared" si="1"/>
        <v>FNCEMF..O</v>
      </c>
      <c r="Z169" s="66" t="str">
        <f t="shared" si="1"/>
        <v>FNCUNP..Q</v>
      </c>
      <c r="AA169" s="66">
        <f t="shared" si="1"/>
        <v>0</v>
      </c>
      <c r="AB169" s="66">
        <f t="shared" si="1"/>
        <v>0</v>
      </c>
      <c r="AC169" s="66" t="str">
        <f t="shared" si="1"/>
        <v>FNCIND..G</v>
      </c>
      <c r="AD169" s="66" t="str">
        <f t="shared" si="1"/>
        <v>FNCGOV..A</v>
      </c>
      <c r="AE169" s="66" t="str">
        <f t="shared" si="1"/>
        <v>FNCCUR..B</v>
      </c>
      <c r="AF169" s="66" t="str">
        <f t="shared" si="1"/>
        <v>FNCCUR..Q</v>
      </c>
      <c r="AG169" s="66" t="str">
        <f t="shared" si="1"/>
        <v>FNCEXP..B</v>
      </c>
      <c r="AH169" s="66" t="str">
        <f t="shared" si="1"/>
        <v>FNCIMP..B</v>
      </c>
      <c r="AI169" s="66" t="str">
        <f t="shared" si="1"/>
        <v>FNCVIS..B</v>
      </c>
      <c r="AJ169" s="66" t="str">
        <f t="shared" si="1"/>
        <v>FNCRES..A</v>
      </c>
    </row>
    <row r="170" spans="2:36" x14ac:dyDescent="0.2">
      <c r="B170" s="80" t="s">
        <v>1025</v>
      </c>
      <c r="C170" s="66" t="str">
        <f t="shared" si="2"/>
        <v>FR</v>
      </c>
      <c r="D170" s="66" t="str">
        <f t="shared" si="1"/>
        <v>FRCGDP..D</v>
      </c>
      <c r="E170" s="66" t="str">
        <f t="shared" si="1"/>
        <v>FRCGDP..A</v>
      </c>
      <c r="F170" s="66" t="str">
        <f t="shared" si="1"/>
        <v>FRCPCE..D</v>
      </c>
      <c r="G170" s="66" t="str">
        <f t="shared" si="1"/>
        <v>FRCGCE..D</v>
      </c>
      <c r="H170" s="66" t="str">
        <f t="shared" si="1"/>
        <v>FRCGFC..D</v>
      </c>
      <c r="I170" s="66" t="str">
        <f t="shared" si="1"/>
        <v>FRCEXN..D</v>
      </c>
      <c r="J170" s="66" t="str">
        <f t="shared" si="1"/>
        <v>FRCIMN..D</v>
      </c>
      <c r="K170" s="66">
        <f t="shared" si="1"/>
        <v>0</v>
      </c>
      <c r="L170" s="66" t="str">
        <f t="shared" si="1"/>
        <v>FRCMS1..B</v>
      </c>
      <c r="M170" s="66" t="str">
        <f t="shared" si="1"/>
        <v>FRCMS2..B</v>
      </c>
      <c r="N170" s="66" t="str">
        <f t="shared" si="1"/>
        <v>FRCMS3..B</v>
      </c>
      <c r="O170" s="66" t="str">
        <f t="shared" si="1"/>
        <v>FRCCPI..E</v>
      </c>
      <c r="P170" s="66" t="str">
        <f t="shared" si="1"/>
        <v>FRCCPI..F</v>
      </c>
      <c r="Q170" s="66" t="str">
        <f t="shared" si="1"/>
        <v>FRCPPI..E</v>
      </c>
      <c r="R170" s="66" t="str">
        <f t="shared" si="1"/>
        <v>FRCPPI..F</v>
      </c>
      <c r="S170" s="66" t="str">
        <f t="shared" si="1"/>
        <v>FRCCOR..E</v>
      </c>
      <c r="T170" s="66" t="str">
        <f t="shared" si="1"/>
        <v>FRCCOR..F</v>
      </c>
      <c r="U170" s="66" t="str">
        <f t="shared" si="1"/>
        <v>FRCEXI..F</v>
      </c>
      <c r="V170" s="66" t="str">
        <f t="shared" si="1"/>
        <v>FRCIMI..F</v>
      </c>
      <c r="W170" s="66" t="str">
        <f t="shared" si="1"/>
        <v>FRCTRM..F</v>
      </c>
      <c r="X170" s="66">
        <f t="shared" si="1"/>
        <v>0</v>
      </c>
      <c r="Y170" s="66" t="str">
        <f t="shared" si="1"/>
        <v>FRCEMF..O</v>
      </c>
      <c r="Z170" s="66" t="str">
        <f t="shared" si="1"/>
        <v>FRCUNP..Q</v>
      </c>
      <c r="AA170" s="66">
        <f t="shared" si="1"/>
        <v>0</v>
      </c>
      <c r="AB170" s="66">
        <f t="shared" si="1"/>
        <v>0</v>
      </c>
      <c r="AC170" s="66" t="str">
        <f t="shared" si="1"/>
        <v>FRCIND..G</v>
      </c>
      <c r="AD170" s="66" t="str">
        <f t="shared" si="1"/>
        <v>FRCGOV..A</v>
      </c>
      <c r="AE170" s="66" t="str">
        <f t="shared" si="1"/>
        <v>FRCCUR..B</v>
      </c>
      <c r="AF170" s="66" t="str">
        <f t="shared" si="1"/>
        <v>FRCCUR..Q</v>
      </c>
      <c r="AG170" s="66" t="str">
        <f t="shared" si="1"/>
        <v>FRCEXP..B</v>
      </c>
      <c r="AH170" s="66" t="str">
        <f t="shared" si="1"/>
        <v>FRCIMP..B</v>
      </c>
      <c r="AI170" s="66" t="str">
        <f t="shared" si="1"/>
        <v>FRCVIS..B</v>
      </c>
      <c r="AJ170" s="66" t="str">
        <f t="shared" si="1"/>
        <v>FRCRES..A</v>
      </c>
    </row>
    <row r="171" spans="2:36" x14ac:dyDescent="0.2">
      <c r="B171" s="80" t="s">
        <v>1093</v>
      </c>
      <c r="C171" s="66" t="str">
        <f t="shared" si="2"/>
        <v>BD</v>
      </c>
      <c r="D171" s="66" t="str">
        <f t="shared" si="1"/>
        <v>BDCGDP..D</v>
      </c>
      <c r="E171" s="66" t="str">
        <f t="shared" si="1"/>
        <v>BDCGDP..A</v>
      </c>
      <c r="F171" s="66" t="str">
        <f t="shared" si="1"/>
        <v>BDCPCE..D</v>
      </c>
      <c r="G171" s="66" t="str">
        <f t="shared" si="1"/>
        <v>BDCGCE..D</v>
      </c>
      <c r="H171" s="66" t="str">
        <f t="shared" si="1"/>
        <v>BDCGFC..D</v>
      </c>
      <c r="I171" s="66" t="str">
        <f t="shared" si="1"/>
        <v>BDCEXN..D</v>
      </c>
      <c r="J171" s="66" t="str">
        <f t="shared" si="1"/>
        <v>BDCIMN..D</v>
      </c>
      <c r="K171" s="66" t="str">
        <f t="shared" si="1"/>
        <v>BDCMS0..B</v>
      </c>
      <c r="L171" s="66" t="str">
        <f t="shared" si="1"/>
        <v>BDCMS1..B</v>
      </c>
      <c r="M171" s="66" t="str">
        <f t="shared" si="1"/>
        <v>BDCMS2..B</v>
      </c>
      <c r="N171" s="66" t="str">
        <f t="shared" si="1"/>
        <v>BDCMS3..B</v>
      </c>
      <c r="O171" s="66" t="str">
        <f t="shared" si="1"/>
        <v>BDCCPI..E</v>
      </c>
      <c r="P171" s="66" t="str">
        <f t="shared" si="1"/>
        <v>BDCCPI..F</v>
      </c>
      <c r="Q171" s="66" t="str">
        <f t="shared" si="1"/>
        <v>BDCPPI..E</v>
      </c>
      <c r="R171" s="66" t="str">
        <f t="shared" si="1"/>
        <v>BDCPPI..F</v>
      </c>
      <c r="S171" s="66" t="str">
        <f t="shared" si="1"/>
        <v>BDCCOR..E</v>
      </c>
      <c r="T171" s="66" t="str">
        <f t="shared" si="1"/>
        <v>BDCCOR..F</v>
      </c>
      <c r="U171" s="66" t="str">
        <f t="shared" si="1"/>
        <v>BDCEXI..F</v>
      </c>
      <c r="V171" s="66" t="str">
        <f t="shared" si="1"/>
        <v>BDCIMI..F</v>
      </c>
      <c r="W171" s="66" t="str">
        <f t="shared" si="1"/>
        <v>BDCTRM..F</v>
      </c>
      <c r="X171" s="66">
        <f t="shared" si="1"/>
        <v>0</v>
      </c>
      <c r="Y171" s="66" t="str">
        <f t="shared" si="1"/>
        <v>BDCEMF..O</v>
      </c>
      <c r="Z171" s="66" t="str">
        <f t="shared" si="1"/>
        <v>BDCUNP..Q</v>
      </c>
      <c r="AA171" s="66" t="str">
        <f t="shared" si="1"/>
        <v>BDCRET..E</v>
      </c>
      <c r="AB171" s="66" t="str">
        <f t="shared" si="1"/>
        <v>BDCRET..F</v>
      </c>
      <c r="AC171" s="66" t="str">
        <f t="shared" si="1"/>
        <v>BDCIND..G</v>
      </c>
      <c r="AD171" s="66" t="str">
        <f t="shared" si="1"/>
        <v>BDCGOV..A</v>
      </c>
      <c r="AE171" s="66" t="str">
        <f t="shared" si="1"/>
        <v>BDCCUR..B</v>
      </c>
      <c r="AF171" s="66" t="str">
        <f t="shared" si="1"/>
        <v>BDCCUR..Q</v>
      </c>
      <c r="AG171" s="66" t="str">
        <f t="shared" si="1"/>
        <v>BDCEXP..B</v>
      </c>
      <c r="AH171" s="66" t="str">
        <f t="shared" si="1"/>
        <v>BDCIMP..B</v>
      </c>
      <c r="AI171" s="66" t="str">
        <f t="shared" si="1"/>
        <v>BDCVIS..B</v>
      </c>
      <c r="AJ171" s="66" t="str">
        <f t="shared" si="1"/>
        <v>BDCRES..A</v>
      </c>
    </row>
    <row r="172" spans="2:36" x14ac:dyDescent="0.2">
      <c r="B172" s="80" t="s">
        <v>1459</v>
      </c>
      <c r="C172" s="66" t="str">
        <f t="shared" si="2"/>
        <v>IT</v>
      </c>
      <c r="D172" s="66" t="str">
        <f t="shared" si="1"/>
        <v>ITCGDP..D</v>
      </c>
      <c r="E172" s="66" t="str">
        <f t="shared" si="1"/>
        <v>ITCGDP..A</v>
      </c>
      <c r="F172" s="66" t="str">
        <f t="shared" si="1"/>
        <v>ITCPCE..D</v>
      </c>
      <c r="G172" s="66" t="str">
        <f t="shared" si="1"/>
        <v>ITCGCE..D</v>
      </c>
      <c r="H172" s="66" t="str">
        <f t="shared" si="1"/>
        <v>ITCGFC..D</v>
      </c>
      <c r="I172" s="66" t="str">
        <f t="shared" si="1"/>
        <v>ITCEXN..D</v>
      </c>
      <c r="J172" s="66" t="str">
        <f t="shared" si="1"/>
        <v>ITCIMN..D</v>
      </c>
      <c r="K172" s="66">
        <f t="shared" si="1"/>
        <v>0</v>
      </c>
      <c r="L172" s="66" t="str">
        <f t="shared" si="1"/>
        <v>ITCMS1..B</v>
      </c>
      <c r="M172" s="66" t="str">
        <f t="shared" si="1"/>
        <v>ITCMS2..B</v>
      </c>
      <c r="N172" s="66" t="str">
        <f t="shared" si="1"/>
        <v>ITCMS3..B</v>
      </c>
      <c r="O172" s="66" t="str">
        <f t="shared" si="1"/>
        <v>ITCCPI..E</v>
      </c>
      <c r="P172" s="66" t="str">
        <f t="shared" si="1"/>
        <v>ITCCPI..F</v>
      </c>
      <c r="Q172" s="66" t="str">
        <f t="shared" si="1"/>
        <v>ITCPPI..E</v>
      </c>
      <c r="R172" s="66" t="str">
        <f t="shared" si="1"/>
        <v>ITCPPI..F</v>
      </c>
      <c r="S172" s="66" t="str">
        <f t="shared" si="1"/>
        <v>ITCCOR..E</v>
      </c>
      <c r="T172" s="66" t="str">
        <f t="shared" si="1"/>
        <v>ITCCOR..F</v>
      </c>
      <c r="U172" s="66" t="str">
        <f t="shared" si="1"/>
        <v>ITCEXI..F</v>
      </c>
      <c r="V172" s="66" t="str">
        <f t="shared" si="1"/>
        <v>ITCIMI..F</v>
      </c>
      <c r="W172" s="66" t="str">
        <f t="shared" si="1"/>
        <v>ITCTRM..F</v>
      </c>
      <c r="X172" s="66">
        <f t="shared" si="1"/>
        <v>0</v>
      </c>
      <c r="Y172" s="66" t="str">
        <f t="shared" si="1"/>
        <v>ITCEMF..O</v>
      </c>
      <c r="Z172" s="66" t="str">
        <f t="shared" si="1"/>
        <v>ITCUNP..Q</v>
      </c>
      <c r="AA172" s="66" t="str">
        <f t="shared" si="1"/>
        <v>ITCRET..E</v>
      </c>
      <c r="AB172" s="66" t="str">
        <f t="shared" si="1"/>
        <v>ITCRET..F</v>
      </c>
      <c r="AC172" s="66" t="str">
        <f t="shared" si="1"/>
        <v>ITCIND..G</v>
      </c>
      <c r="AD172" s="66" t="str">
        <f t="shared" si="1"/>
        <v>ITCGOV..A</v>
      </c>
      <c r="AE172" s="66" t="str">
        <f t="shared" si="1"/>
        <v>ITCCUR..B</v>
      </c>
      <c r="AF172" s="66" t="str">
        <f t="shared" si="1"/>
        <v>ITCCUR..Q</v>
      </c>
      <c r="AG172" s="66" t="str">
        <f t="shared" si="1"/>
        <v>ITCEXP..B</v>
      </c>
      <c r="AH172" s="66" t="str">
        <f t="shared" si="1"/>
        <v>ITCIMP..B</v>
      </c>
      <c r="AI172" s="66" t="str">
        <f t="shared" si="1"/>
        <v>ITCVIS..B</v>
      </c>
      <c r="AJ172" s="66" t="str">
        <f t="shared" si="1"/>
        <v>ITCRES..A</v>
      </c>
    </row>
    <row r="173" spans="2:36" x14ac:dyDescent="0.2">
      <c r="B173" s="80" t="s">
        <v>1492</v>
      </c>
      <c r="C173" s="66" t="str">
        <f t="shared" si="2"/>
        <v>JP</v>
      </c>
      <c r="D173" s="66" t="str">
        <f t="shared" si="1"/>
        <v>JPCGDP..D</v>
      </c>
      <c r="E173" s="66" t="str">
        <f t="shared" si="1"/>
        <v>JPCGDP..A</v>
      </c>
      <c r="F173" s="66" t="str">
        <f t="shared" si="1"/>
        <v>JPCPCE..D</v>
      </c>
      <c r="G173" s="66" t="str">
        <f t="shared" si="1"/>
        <v>JPCGCE..D</v>
      </c>
      <c r="H173" s="66" t="str">
        <f t="shared" si="1"/>
        <v>JPCGFC..D</v>
      </c>
      <c r="I173" s="66" t="str">
        <f t="shared" si="1"/>
        <v>JPCEXN..D</v>
      </c>
      <c r="J173" s="66" t="str">
        <f t="shared" ref="D173:AJ180" si="3">VLOOKUP($B173,$B$5:$AJ$157,J$164,FALSE)</f>
        <v>JPCIMN..D</v>
      </c>
      <c r="K173" s="66" t="str">
        <f t="shared" si="3"/>
        <v>JPCMS0..B</v>
      </c>
      <c r="L173" s="66" t="str">
        <f t="shared" si="3"/>
        <v>JPCMS1..B</v>
      </c>
      <c r="M173" s="66" t="str">
        <f t="shared" si="3"/>
        <v>JPCMS2..B</v>
      </c>
      <c r="N173" s="66" t="str">
        <f t="shared" si="3"/>
        <v>JPCMS3..B</v>
      </c>
      <c r="O173" s="66" t="str">
        <f t="shared" si="3"/>
        <v>JPCCPI..E</v>
      </c>
      <c r="P173" s="66" t="str">
        <f t="shared" si="3"/>
        <v>JPCCPI..F</v>
      </c>
      <c r="Q173" s="66" t="str">
        <f t="shared" si="3"/>
        <v>JPCPPI..E</v>
      </c>
      <c r="R173" s="66" t="str">
        <f t="shared" si="3"/>
        <v>JPCPPI..F</v>
      </c>
      <c r="S173" s="66" t="str">
        <f t="shared" si="3"/>
        <v>JPCCOR..E</v>
      </c>
      <c r="T173" s="66" t="str">
        <f t="shared" si="3"/>
        <v>JPCCOR..F</v>
      </c>
      <c r="U173" s="66" t="str">
        <f t="shared" si="3"/>
        <v>JPCEXI..F</v>
      </c>
      <c r="V173" s="66" t="str">
        <f t="shared" si="3"/>
        <v>JPCIMI..F</v>
      </c>
      <c r="W173" s="66" t="str">
        <f t="shared" si="3"/>
        <v>JPCTRM..F</v>
      </c>
      <c r="X173" s="66" t="str">
        <f t="shared" si="3"/>
        <v>JPCEMP..O</v>
      </c>
      <c r="Y173" s="66" t="str">
        <f t="shared" si="3"/>
        <v>JPCEMF..O</v>
      </c>
      <c r="Z173" s="66" t="str">
        <f t="shared" si="3"/>
        <v>JPCUNP..Q</v>
      </c>
      <c r="AA173" s="66" t="str">
        <f t="shared" si="3"/>
        <v>JPCRET..E</v>
      </c>
      <c r="AB173" s="66" t="str">
        <f t="shared" si="3"/>
        <v>JPCRET..F</v>
      </c>
      <c r="AC173" s="66" t="str">
        <f t="shared" si="3"/>
        <v>JPCIND..G</v>
      </c>
      <c r="AD173" s="66" t="str">
        <f t="shared" si="3"/>
        <v>JPCGOV..A</v>
      </c>
      <c r="AE173" s="66" t="str">
        <f t="shared" si="3"/>
        <v>JPCCUR..B</v>
      </c>
      <c r="AF173" s="66" t="str">
        <f t="shared" si="3"/>
        <v>JPCCUR..Q</v>
      </c>
      <c r="AG173" s="66" t="str">
        <f t="shared" si="3"/>
        <v>JPCEXP..B</v>
      </c>
      <c r="AH173" s="66" t="str">
        <f t="shared" si="3"/>
        <v>JPCIMP..B</v>
      </c>
      <c r="AI173" s="66" t="str">
        <f t="shared" si="3"/>
        <v>JPCVIS..B</v>
      </c>
      <c r="AJ173" s="66" t="str">
        <f t="shared" si="3"/>
        <v>JPCRES..A</v>
      </c>
    </row>
    <row r="174" spans="2:36" x14ac:dyDescent="0.2">
      <c r="B174" s="80" t="s">
        <v>2046</v>
      </c>
      <c r="C174" s="66" t="str">
        <f t="shared" si="2"/>
        <v>NL</v>
      </c>
      <c r="D174" s="66" t="str">
        <f t="shared" si="3"/>
        <v>NLCGDP..D</v>
      </c>
      <c r="E174" s="66" t="str">
        <f t="shared" si="3"/>
        <v>NLCGDP..A</v>
      </c>
      <c r="F174" s="66" t="str">
        <f t="shared" si="3"/>
        <v>NLCPCE..D</v>
      </c>
      <c r="G174" s="66" t="str">
        <f t="shared" si="3"/>
        <v>NLCGCE..D</v>
      </c>
      <c r="H174" s="66" t="str">
        <f t="shared" si="3"/>
        <v>NLCGFC..D</v>
      </c>
      <c r="I174" s="66" t="str">
        <f t="shared" si="3"/>
        <v>NLCEXN..D</v>
      </c>
      <c r="J174" s="66" t="str">
        <f t="shared" si="3"/>
        <v>NLCIMN..D</v>
      </c>
      <c r="K174" s="66" t="str">
        <f t="shared" si="3"/>
        <v>NLCMS0..B</v>
      </c>
      <c r="L174" s="66" t="str">
        <f t="shared" si="3"/>
        <v>NLCMS1..B</v>
      </c>
      <c r="M174" s="66" t="str">
        <f t="shared" si="3"/>
        <v>NLCMS2..B</v>
      </c>
      <c r="N174" s="66" t="str">
        <f t="shared" si="3"/>
        <v>NLCMS3..B</v>
      </c>
      <c r="O174" s="66" t="str">
        <f t="shared" si="3"/>
        <v>NLCCPI..E</v>
      </c>
      <c r="P174" s="66" t="str">
        <f t="shared" si="3"/>
        <v>NLCCPI..F</v>
      </c>
      <c r="Q174" s="66" t="str">
        <f t="shared" si="3"/>
        <v>NLCPPI..E</v>
      </c>
      <c r="R174" s="66" t="str">
        <f t="shared" si="3"/>
        <v>NLCPPI..F</v>
      </c>
      <c r="S174" s="66" t="str">
        <f t="shared" si="3"/>
        <v>NLCCOR..E</v>
      </c>
      <c r="T174" s="66" t="str">
        <f t="shared" si="3"/>
        <v>NLCCOR..F</v>
      </c>
      <c r="U174" s="66" t="str">
        <f t="shared" si="3"/>
        <v>NLCEXI..F</v>
      </c>
      <c r="V174" s="66" t="str">
        <f t="shared" si="3"/>
        <v>NLCIMI..F</v>
      </c>
      <c r="W174" s="66" t="str">
        <f t="shared" si="3"/>
        <v>NLCTRM..F</v>
      </c>
      <c r="X174" s="66" t="str">
        <f t="shared" si="3"/>
        <v>NLCEMP..O</v>
      </c>
      <c r="Y174" s="66" t="str">
        <f t="shared" si="3"/>
        <v>NLCEMF..O</v>
      </c>
      <c r="Z174" s="66" t="str">
        <f t="shared" si="3"/>
        <v>NLCUNP..Q</v>
      </c>
      <c r="AA174" s="66" t="str">
        <f t="shared" si="3"/>
        <v>NLCRET..E</v>
      </c>
      <c r="AB174" s="66" t="str">
        <f t="shared" si="3"/>
        <v>NLCRET..F</v>
      </c>
      <c r="AC174" s="66" t="str">
        <f t="shared" si="3"/>
        <v>NLCIND..G</v>
      </c>
      <c r="AD174" s="66" t="str">
        <f t="shared" si="3"/>
        <v>NLCGOV..A</v>
      </c>
      <c r="AE174" s="66" t="str">
        <f t="shared" si="3"/>
        <v>NLCCUR..B</v>
      </c>
      <c r="AF174" s="66" t="str">
        <f t="shared" si="3"/>
        <v>NLCCUR..Q</v>
      </c>
      <c r="AG174" s="66" t="str">
        <f t="shared" si="3"/>
        <v>NLCEXP..B</v>
      </c>
      <c r="AH174" s="66" t="str">
        <f t="shared" si="3"/>
        <v>NLCIMP..B</v>
      </c>
      <c r="AI174" s="66" t="str">
        <f t="shared" si="3"/>
        <v>NLCVIS..B</v>
      </c>
      <c r="AJ174" s="66" t="str">
        <f t="shared" si="3"/>
        <v>NLCRES..A</v>
      </c>
    </row>
    <row r="175" spans="2:36" x14ac:dyDescent="0.2">
      <c r="B175" s="80" t="s">
        <v>2081</v>
      </c>
      <c r="C175" s="66" t="str">
        <f t="shared" si="2"/>
        <v>NZ</v>
      </c>
      <c r="D175" s="66" t="str">
        <f t="shared" si="3"/>
        <v>NZCGDP..D</v>
      </c>
      <c r="E175" s="66" t="str">
        <f t="shared" si="3"/>
        <v>NZCGDP..A</v>
      </c>
      <c r="F175" s="66" t="str">
        <f t="shared" si="3"/>
        <v>NZCPCE..D</v>
      </c>
      <c r="G175" s="66" t="str">
        <f t="shared" si="3"/>
        <v>NZCGCE..D</v>
      </c>
      <c r="H175" s="66" t="str">
        <f t="shared" si="3"/>
        <v>NZCGFC..D</v>
      </c>
      <c r="I175" s="66" t="str">
        <f t="shared" si="3"/>
        <v>NZCEXN..D</v>
      </c>
      <c r="J175" s="66" t="str">
        <f t="shared" si="3"/>
        <v>NZCIMN..D</v>
      </c>
      <c r="K175" s="66" t="str">
        <f t="shared" si="3"/>
        <v>NZCMS0..B</v>
      </c>
      <c r="L175" s="66" t="str">
        <f t="shared" si="3"/>
        <v>NZCMS1..B</v>
      </c>
      <c r="M175" s="66" t="str">
        <f t="shared" si="3"/>
        <v>NZCMS2..B</v>
      </c>
      <c r="N175" s="66" t="str">
        <f t="shared" si="3"/>
        <v>NZCMS3..B</v>
      </c>
      <c r="O175" s="66" t="str">
        <f t="shared" si="3"/>
        <v>NZCCPI..E</v>
      </c>
      <c r="P175" s="66" t="str">
        <f t="shared" si="3"/>
        <v>NZCCPI..F</v>
      </c>
      <c r="Q175" s="66" t="str">
        <f t="shared" si="3"/>
        <v>NZCPPI..E</v>
      </c>
      <c r="R175" s="66" t="str">
        <f t="shared" si="3"/>
        <v>NZCPPI..F</v>
      </c>
      <c r="S175" s="66" t="str">
        <f t="shared" si="3"/>
        <v>NZCCOR..E</v>
      </c>
      <c r="T175" s="66" t="str">
        <f t="shared" si="3"/>
        <v>NZCCOR..F</v>
      </c>
      <c r="U175" s="66" t="str">
        <f t="shared" si="3"/>
        <v>NZCEXI..F</v>
      </c>
      <c r="V175" s="66" t="str">
        <f t="shared" si="3"/>
        <v>NZCIMI..F</v>
      </c>
      <c r="W175" s="66" t="str">
        <f t="shared" si="3"/>
        <v>NZCTRM..F</v>
      </c>
      <c r="X175" s="66">
        <f t="shared" si="3"/>
        <v>0</v>
      </c>
      <c r="Y175" s="66" t="str">
        <f t="shared" si="3"/>
        <v>NZCEMF..O</v>
      </c>
      <c r="Z175" s="66" t="str">
        <f t="shared" si="3"/>
        <v>NZCUNP..Q</v>
      </c>
      <c r="AA175" s="66" t="str">
        <f t="shared" si="3"/>
        <v>NZCRET..E</v>
      </c>
      <c r="AB175" s="66" t="str">
        <f t="shared" si="3"/>
        <v>NZCRET..F</v>
      </c>
      <c r="AC175" s="66">
        <f t="shared" si="3"/>
        <v>0</v>
      </c>
      <c r="AD175" s="66" t="str">
        <f t="shared" si="3"/>
        <v>NZCGOV..A</v>
      </c>
      <c r="AE175" s="66" t="str">
        <f t="shared" si="3"/>
        <v>NZCCUR..B</v>
      </c>
      <c r="AF175" s="66" t="str">
        <f t="shared" si="3"/>
        <v>NZCCUR..Q</v>
      </c>
      <c r="AG175" s="66" t="str">
        <f t="shared" si="3"/>
        <v>NZCEXP..B</v>
      </c>
      <c r="AH175" s="66" t="str">
        <f t="shared" si="3"/>
        <v>NZCIMP..B</v>
      </c>
      <c r="AI175" s="66" t="str">
        <f t="shared" si="3"/>
        <v>NZCVIS..B</v>
      </c>
      <c r="AJ175" s="66" t="str">
        <f t="shared" si="3"/>
        <v>NZCRES..A</v>
      </c>
    </row>
    <row r="176" spans="2:36" x14ac:dyDescent="0.2">
      <c r="B176" s="80" t="s">
        <v>2402</v>
      </c>
      <c r="C176" s="66" t="str">
        <f t="shared" si="2"/>
        <v>RS</v>
      </c>
      <c r="D176" s="66" t="str">
        <f t="shared" si="3"/>
        <v>RSCGDP..D</v>
      </c>
      <c r="E176" s="66" t="str">
        <f t="shared" si="3"/>
        <v>RSCGDP..A</v>
      </c>
      <c r="F176" s="66" t="str">
        <f t="shared" si="3"/>
        <v>RSCPCE..D</v>
      </c>
      <c r="G176" s="66" t="str">
        <f t="shared" si="3"/>
        <v>RSCGCE..D</v>
      </c>
      <c r="H176" s="66" t="str">
        <f t="shared" si="3"/>
        <v>RSCGFC..D</v>
      </c>
      <c r="I176" s="66" t="str">
        <f t="shared" si="3"/>
        <v>RSCEXN..D</v>
      </c>
      <c r="J176" s="66" t="str">
        <f t="shared" si="3"/>
        <v>RSCIMN..D</v>
      </c>
      <c r="K176" s="66" t="str">
        <f t="shared" si="3"/>
        <v>RSCMS0..B</v>
      </c>
      <c r="L176" s="66" t="str">
        <f t="shared" si="3"/>
        <v>RSCMS1..B</v>
      </c>
      <c r="M176" s="66" t="str">
        <f t="shared" si="3"/>
        <v>RSCMS2..B</v>
      </c>
      <c r="N176" s="66">
        <f t="shared" si="3"/>
        <v>0</v>
      </c>
      <c r="O176" s="66" t="str">
        <f t="shared" si="3"/>
        <v>RSCCPI..E</v>
      </c>
      <c r="P176" s="66" t="str">
        <f t="shared" si="3"/>
        <v>RSCCPI..F</v>
      </c>
      <c r="Q176" s="66" t="str">
        <f t="shared" si="3"/>
        <v>RSCPPI..E</v>
      </c>
      <c r="R176" s="66" t="str">
        <f t="shared" si="3"/>
        <v>RSCPPI..F</v>
      </c>
      <c r="S176" s="66" t="str">
        <f t="shared" si="3"/>
        <v>RSCCOR..E</v>
      </c>
      <c r="T176" s="66" t="str">
        <f t="shared" si="3"/>
        <v>RSCCOR..F</v>
      </c>
      <c r="U176" s="66">
        <f t="shared" si="3"/>
        <v>0</v>
      </c>
      <c r="V176" s="66">
        <f t="shared" si="3"/>
        <v>0</v>
      </c>
      <c r="W176" s="66">
        <f t="shared" si="3"/>
        <v>0</v>
      </c>
      <c r="X176" s="66">
        <f t="shared" si="3"/>
        <v>0</v>
      </c>
      <c r="Y176" s="66" t="str">
        <f t="shared" si="3"/>
        <v>RSCEMF..O</v>
      </c>
      <c r="Z176" s="66" t="str">
        <f t="shared" si="3"/>
        <v>RSCUNP..Q</v>
      </c>
      <c r="AA176" s="66" t="str">
        <f t="shared" si="3"/>
        <v>RSCRET..E</v>
      </c>
      <c r="AB176" s="66" t="str">
        <f t="shared" si="3"/>
        <v>RSCRET..F</v>
      </c>
      <c r="AC176" s="66" t="str">
        <f t="shared" si="3"/>
        <v>RSCIND..G</v>
      </c>
      <c r="AD176" s="66" t="str">
        <f t="shared" si="3"/>
        <v>RSCGOV..A</v>
      </c>
      <c r="AE176" s="66" t="str">
        <f t="shared" si="3"/>
        <v>RSCCUR..B</v>
      </c>
      <c r="AF176" s="66" t="str">
        <f t="shared" si="3"/>
        <v>RSCCUR..Q</v>
      </c>
      <c r="AG176" s="66" t="str">
        <f t="shared" si="3"/>
        <v>RSCEXP..B</v>
      </c>
      <c r="AH176" s="66" t="str">
        <f t="shared" si="3"/>
        <v>RSCIMP..B</v>
      </c>
      <c r="AI176" s="66" t="str">
        <f t="shared" si="3"/>
        <v>RSCVIS..B</v>
      </c>
      <c r="AJ176" s="66" t="str">
        <f t="shared" si="3"/>
        <v>RSCRES..A</v>
      </c>
    </row>
    <row r="177" spans="2:36" x14ac:dyDescent="0.2">
      <c r="B177" s="80" t="s">
        <v>2673</v>
      </c>
      <c r="C177" s="66" t="str">
        <f t="shared" si="2"/>
        <v>ES</v>
      </c>
      <c r="D177" s="66" t="str">
        <f t="shared" si="3"/>
        <v>ESCGDP..D</v>
      </c>
      <c r="E177" s="66" t="str">
        <f t="shared" si="3"/>
        <v>ESCGDP..A</v>
      </c>
      <c r="F177" s="66" t="str">
        <f t="shared" si="3"/>
        <v>ESCPCE..D</v>
      </c>
      <c r="G177" s="66" t="str">
        <f t="shared" si="3"/>
        <v>ESCGCE..D</v>
      </c>
      <c r="H177" s="66" t="str">
        <f t="shared" si="3"/>
        <v>ESCGFC..D</v>
      </c>
      <c r="I177" s="66" t="str">
        <f t="shared" si="3"/>
        <v>ESCEXN..D</v>
      </c>
      <c r="J177" s="66" t="str">
        <f t="shared" si="3"/>
        <v>ESCIMN..D</v>
      </c>
      <c r="K177" s="66">
        <f t="shared" si="3"/>
        <v>0</v>
      </c>
      <c r="L177" s="66" t="str">
        <f t="shared" si="3"/>
        <v>ESCMS1..B</v>
      </c>
      <c r="M177" s="66" t="str">
        <f t="shared" si="3"/>
        <v>ESCMS2..B</v>
      </c>
      <c r="N177" s="66" t="str">
        <f t="shared" si="3"/>
        <v>ESCMS3..B</v>
      </c>
      <c r="O177" s="66" t="str">
        <f t="shared" si="3"/>
        <v>ESCCPI..E</v>
      </c>
      <c r="P177" s="66" t="str">
        <f t="shared" si="3"/>
        <v>ESCCPI..F</v>
      </c>
      <c r="Q177" s="66" t="str">
        <f t="shared" si="3"/>
        <v>ESCPPI..E</v>
      </c>
      <c r="R177" s="66" t="str">
        <f t="shared" si="3"/>
        <v>ESCPPI..F</v>
      </c>
      <c r="S177" s="66" t="str">
        <f t="shared" si="3"/>
        <v>ESCCOR..E</v>
      </c>
      <c r="T177" s="66" t="str">
        <f t="shared" si="3"/>
        <v>ESCCOR..F</v>
      </c>
      <c r="U177" s="66" t="str">
        <f t="shared" si="3"/>
        <v>ESCEXI..F</v>
      </c>
      <c r="V177" s="66" t="str">
        <f t="shared" si="3"/>
        <v>ESCIMI..F</v>
      </c>
      <c r="W177" s="66" t="str">
        <f t="shared" si="3"/>
        <v>ESCTRM..F</v>
      </c>
      <c r="X177" s="66">
        <f t="shared" si="3"/>
        <v>0</v>
      </c>
      <c r="Y177" s="66" t="str">
        <f t="shared" si="3"/>
        <v>ESCEMF..O</v>
      </c>
      <c r="Z177" s="66" t="str">
        <f t="shared" si="3"/>
        <v>ESCUNP..Q</v>
      </c>
      <c r="AA177" s="66" t="str">
        <f t="shared" si="3"/>
        <v>ESCRET..E</v>
      </c>
      <c r="AB177" s="66" t="str">
        <f t="shared" si="3"/>
        <v>ESCRET..F</v>
      </c>
      <c r="AC177" s="66" t="str">
        <f t="shared" si="3"/>
        <v>ESCIND..G</v>
      </c>
      <c r="AD177" s="66" t="str">
        <f t="shared" si="3"/>
        <v>ESCGOV..A</v>
      </c>
      <c r="AE177" s="66" t="str">
        <f t="shared" si="3"/>
        <v>ESCCUR..B</v>
      </c>
      <c r="AF177" s="66" t="str">
        <f t="shared" si="3"/>
        <v>ESCCUR..Q</v>
      </c>
      <c r="AG177" s="66" t="str">
        <f t="shared" si="3"/>
        <v>ESCEXP..B</v>
      </c>
      <c r="AH177" s="66" t="str">
        <f t="shared" si="3"/>
        <v>ESCIMP..B</v>
      </c>
      <c r="AI177" s="66" t="str">
        <f t="shared" si="3"/>
        <v>ESCVIS..B</v>
      </c>
      <c r="AJ177" s="66" t="str">
        <f t="shared" si="3"/>
        <v>ESCRES..A</v>
      </c>
    </row>
    <row r="178" spans="2:36" x14ac:dyDescent="0.2">
      <c r="B178" s="80" t="s">
        <v>2757</v>
      </c>
      <c r="C178" s="66" t="str">
        <f t="shared" si="2"/>
        <v>SD</v>
      </c>
      <c r="D178" s="66" t="str">
        <f t="shared" si="3"/>
        <v>SDCGDP..D</v>
      </c>
      <c r="E178" s="66" t="str">
        <f t="shared" si="3"/>
        <v>SDCGDP..A</v>
      </c>
      <c r="F178" s="66" t="str">
        <f t="shared" si="3"/>
        <v>SDCPCE..D</v>
      </c>
      <c r="G178" s="66" t="str">
        <f t="shared" si="3"/>
        <v>SDCGCE..D</v>
      </c>
      <c r="H178" s="66" t="str">
        <f t="shared" si="3"/>
        <v>SDCGFC..D</v>
      </c>
      <c r="I178" s="66" t="str">
        <f t="shared" si="3"/>
        <v>SDCEXN..D</v>
      </c>
      <c r="J178" s="66" t="str">
        <f t="shared" si="3"/>
        <v>SDCIMN..D</v>
      </c>
      <c r="K178" s="66" t="str">
        <f t="shared" si="3"/>
        <v>SDCMS0..B</v>
      </c>
      <c r="L178" s="66" t="str">
        <f t="shared" si="3"/>
        <v>SDCMS1..B</v>
      </c>
      <c r="M178" s="66" t="str">
        <f t="shared" si="3"/>
        <v>SDCMS2..B</v>
      </c>
      <c r="N178" s="66" t="str">
        <f t="shared" si="3"/>
        <v>SDCMS3..B</v>
      </c>
      <c r="O178" s="66" t="str">
        <f t="shared" si="3"/>
        <v>SDCCPI..E</v>
      </c>
      <c r="P178" s="66" t="str">
        <f t="shared" si="3"/>
        <v>SDCCPI..F</v>
      </c>
      <c r="Q178" s="66" t="str">
        <f t="shared" si="3"/>
        <v>SDCPPI..E</v>
      </c>
      <c r="R178" s="66" t="str">
        <f t="shared" si="3"/>
        <v>SDCPPI..F</v>
      </c>
      <c r="S178" s="66" t="str">
        <f t="shared" si="3"/>
        <v>SDCCOR..E</v>
      </c>
      <c r="T178" s="66" t="str">
        <f t="shared" si="3"/>
        <v>SDCCOR..F</v>
      </c>
      <c r="U178" s="66" t="str">
        <f t="shared" si="3"/>
        <v>SDCEXI..F</v>
      </c>
      <c r="V178" s="66" t="str">
        <f t="shared" si="3"/>
        <v>SDCIMI..F</v>
      </c>
      <c r="W178" s="66" t="str">
        <f t="shared" si="3"/>
        <v>SDCTRM..F</v>
      </c>
      <c r="X178" s="66">
        <f t="shared" si="3"/>
        <v>0</v>
      </c>
      <c r="Y178" s="66" t="str">
        <f t="shared" si="3"/>
        <v>SDCEMF..O</v>
      </c>
      <c r="Z178" s="66" t="str">
        <f t="shared" si="3"/>
        <v>SDCUNP..Q</v>
      </c>
      <c r="AA178" s="66" t="str">
        <f t="shared" si="3"/>
        <v>SDCRET..E</v>
      </c>
      <c r="AB178" s="66" t="str">
        <f t="shared" si="3"/>
        <v>SDCRET..F</v>
      </c>
      <c r="AC178" s="66" t="str">
        <f t="shared" si="3"/>
        <v>SDCIND..G</v>
      </c>
      <c r="AD178" s="66" t="str">
        <f t="shared" si="3"/>
        <v>SDCGOV..A</v>
      </c>
      <c r="AE178" s="66" t="str">
        <f t="shared" si="3"/>
        <v>SDCCUR..B</v>
      </c>
      <c r="AF178" s="66" t="str">
        <f t="shared" si="3"/>
        <v>SDCCUR..Q</v>
      </c>
      <c r="AG178" s="66" t="str">
        <f t="shared" si="3"/>
        <v>SDCEXP..B</v>
      </c>
      <c r="AH178" s="66" t="str">
        <f t="shared" si="3"/>
        <v>SDCIMP..B</v>
      </c>
      <c r="AI178" s="66" t="str">
        <f t="shared" si="3"/>
        <v>SDCVIS..B</v>
      </c>
      <c r="AJ178" s="66" t="str">
        <f t="shared" si="3"/>
        <v>SDCRES..A</v>
      </c>
    </row>
    <row r="179" spans="2:36" x14ac:dyDescent="0.2">
      <c r="B179" s="80" t="s">
        <v>2791</v>
      </c>
      <c r="C179" s="66" t="str">
        <f t="shared" si="2"/>
        <v>SW</v>
      </c>
      <c r="D179" s="66" t="str">
        <f t="shared" si="3"/>
        <v>SWCGDP..D</v>
      </c>
      <c r="E179" s="66" t="str">
        <f t="shared" si="3"/>
        <v>SWCGDP..A</v>
      </c>
      <c r="F179" s="66" t="str">
        <f t="shared" si="3"/>
        <v>SWCPCE..D</v>
      </c>
      <c r="G179" s="66" t="str">
        <f t="shared" si="3"/>
        <v>SWCGCE..D</v>
      </c>
      <c r="H179" s="66" t="str">
        <f t="shared" si="3"/>
        <v>SWCGFC..D</v>
      </c>
      <c r="I179" s="66" t="str">
        <f t="shared" si="3"/>
        <v>SWCEXN..D</v>
      </c>
      <c r="J179" s="66" t="str">
        <f t="shared" si="3"/>
        <v>SWCIMN..D</v>
      </c>
      <c r="K179" s="66" t="str">
        <f t="shared" si="3"/>
        <v>SWCMS0..B</v>
      </c>
      <c r="L179" s="66" t="str">
        <f t="shared" si="3"/>
        <v>SWCMS1..B</v>
      </c>
      <c r="M179" s="66" t="str">
        <f t="shared" si="3"/>
        <v>SWCMS2..B</v>
      </c>
      <c r="N179" s="66" t="str">
        <f t="shared" si="3"/>
        <v>SWCMS3..B</v>
      </c>
      <c r="O179" s="66" t="str">
        <f t="shared" si="3"/>
        <v>SWCCPI..E</v>
      </c>
      <c r="P179" s="66" t="str">
        <f t="shared" si="3"/>
        <v>SWCCPI..F</v>
      </c>
      <c r="Q179" s="66" t="str">
        <f t="shared" si="3"/>
        <v>SWCPPI..E</v>
      </c>
      <c r="R179" s="66" t="str">
        <f t="shared" si="3"/>
        <v>SWCPPI..F</v>
      </c>
      <c r="S179" s="66" t="str">
        <f t="shared" si="3"/>
        <v>SWCCOR..E</v>
      </c>
      <c r="T179" s="66" t="str">
        <f t="shared" si="3"/>
        <v>SWCCOR..F</v>
      </c>
      <c r="U179" s="66" t="str">
        <f t="shared" si="3"/>
        <v>SWCEXI..F</v>
      </c>
      <c r="V179" s="66" t="str">
        <f t="shared" si="3"/>
        <v>SWCIMI..F</v>
      </c>
      <c r="W179" s="66" t="str">
        <f t="shared" si="3"/>
        <v>SWCTRM..F</v>
      </c>
      <c r="X179" s="66" t="str">
        <f t="shared" si="3"/>
        <v>SWCEMP..O</v>
      </c>
      <c r="Y179" s="66" t="str">
        <f t="shared" si="3"/>
        <v>SWCEMF..O</v>
      </c>
      <c r="Z179" s="66" t="str">
        <f t="shared" si="3"/>
        <v>SWCUNP..Q</v>
      </c>
      <c r="AA179" s="66">
        <f t="shared" si="3"/>
        <v>0</v>
      </c>
      <c r="AB179" s="66">
        <f t="shared" si="3"/>
        <v>0</v>
      </c>
      <c r="AC179" s="66" t="str">
        <f t="shared" si="3"/>
        <v>SWCIND..G</v>
      </c>
      <c r="AD179" s="66" t="str">
        <f t="shared" si="3"/>
        <v>SWCGOV..A</v>
      </c>
      <c r="AE179" s="66" t="str">
        <f t="shared" si="3"/>
        <v>SWCCUR..B</v>
      </c>
      <c r="AF179" s="66" t="str">
        <f t="shared" si="3"/>
        <v>SWCCUR..Q</v>
      </c>
      <c r="AG179" s="66" t="str">
        <f t="shared" si="3"/>
        <v>SWCEXP..B</v>
      </c>
      <c r="AH179" s="66" t="str">
        <f t="shared" si="3"/>
        <v>SWCIMP..B</v>
      </c>
      <c r="AI179" s="66" t="str">
        <f t="shared" si="3"/>
        <v>SWCVIS..B</v>
      </c>
      <c r="AJ179" s="66" t="str">
        <f t="shared" si="3"/>
        <v>SWCRES..A</v>
      </c>
    </row>
    <row r="180" spans="2:36" x14ac:dyDescent="0.2">
      <c r="B180" s="80" t="s">
        <v>3054</v>
      </c>
      <c r="C180" s="66" t="str">
        <f t="shared" si="2"/>
        <v>UK</v>
      </c>
      <c r="D180" s="66" t="str">
        <f t="shared" si="3"/>
        <v>UKCGDP..D</v>
      </c>
      <c r="E180" s="66" t="str">
        <f t="shared" si="3"/>
        <v>UKCGDP..A</v>
      </c>
      <c r="F180" s="66" t="str">
        <f t="shared" si="3"/>
        <v>UKCPCE..D</v>
      </c>
      <c r="G180" s="66" t="str">
        <f t="shared" si="3"/>
        <v>UKCGCE..D</v>
      </c>
      <c r="H180" s="66" t="str">
        <f t="shared" si="3"/>
        <v>UKCGFC..D</v>
      </c>
      <c r="I180" s="66" t="str">
        <f t="shared" si="3"/>
        <v>UKCEXN..D</v>
      </c>
      <c r="J180" s="66" t="str">
        <f t="shared" si="3"/>
        <v>UKCIMN..D</v>
      </c>
      <c r="K180" s="66" t="str">
        <f t="shared" si="3"/>
        <v>UKCMS0..B</v>
      </c>
      <c r="L180" s="66" t="str">
        <f t="shared" si="3"/>
        <v>UKCMS1..B</v>
      </c>
      <c r="M180" s="66" t="str">
        <f t="shared" si="3"/>
        <v>UKCMS2..B</v>
      </c>
      <c r="N180" s="66" t="str">
        <f t="shared" si="3"/>
        <v>UKCMS3..B</v>
      </c>
      <c r="O180" s="66" t="str">
        <f t="shared" si="3"/>
        <v>UKCCPI..E</v>
      </c>
      <c r="P180" s="66" t="str">
        <f t="shared" si="3"/>
        <v>UKCCPI..F</v>
      </c>
      <c r="Q180" s="66" t="str">
        <f t="shared" si="3"/>
        <v>UKCPPI..E</v>
      </c>
      <c r="R180" s="66" t="str">
        <f t="shared" si="3"/>
        <v>UKCPPI..F</v>
      </c>
      <c r="S180" s="66" t="str">
        <f t="shared" si="3"/>
        <v>UKCCOR..E</v>
      </c>
      <c r="T180" s="66" t="str">
        <f t="shared" si="3"/>
        <v>UKCCOR..F</v>
      </c>
      <c r="U180" s="66" t="str">
        <f t="shared" si="3"/>
        <v>UKCEXI..F</v>
      </c>
      <c r="V180" s="66" t="str">
        <f t="shared" si="3"/>
        <v>UKCIMI..F</v>
      </c>
      <c r="W180" s="66" t="str">
        <f t="shared" si="3"/>
        <v>UKCTRM..F</v>
      </c>
      <c r="X180" s="66">
        <f t="shared" si="3"/>
        <v>0</v>
      </c>
      <c r="Y180" s="66" t="str">
        <f t="shared" si="3"/>
        <v>UKCEMF..O</v>
      </c>
      <c r="Z180" s="66" t="str">
        <f t="shared" si="3"/>
        <v>UKCUNP..Q</v>
      </c>
      <c r="AA180" s="66" t="str">
        <f t="shared" si="3"/>
        <v>UKCRET..E</v>
      </c>
      <c r="AB180" s="66" t="str">
        <f t="shared" si="3"/>
        <v>UKCRET..F</v>
      </c>
      <c r="AC180" s="66" t="str">
        <f t="shared" si="3"/>
        <v>UKCIND..G</v>
      </c>
      <c r="AD180" s="66" t="str">
        <f t="shared" si="3"/>
        <v>UKCGOV..A</v>
      </c>
      <c r="AE180" s="66" t="str">
        <f t="shared" si="3"/>
        <v>UKCCUR..B</v>
      </c>
      <c r="AF180" s="66" t="str">
        <f t="shared" si="3"/>
        <v>UKCCUR..Q</v>
      </c>
      <c r="AG180" s="66" t="str">
        <f t="shared" si="3"/>
        <v>UKCEXP..B</v>
      </c>
      <c r="AH180" s="66" t="str">
        <f t="shared" ref="D180:AJ188" si="4">VLOOKUP($B180,$B$5:$AJ$157,AH$164,FALSE)</f>
        <v>UKCIMP..B</v>
      </c>
      <c r="AI180" s="66" t="str">
        <f t="shared" si="4"/>
        <v>UKCVIS..B</v>
      </c>
      <c r="AJ180" s="66" t="str">
        <f t="shared" si="4"/>
        <v>UKCRES..A</v>
      </c>
    </row>
    <row r="181" spans="2:36" x14ac:dyDescent="0.2">
      <c r="B181" s="80" t="s">
        <v>3088</v>
      </c>
      <c r="C181" s="66" t="str">
        <f t="shared" si="2"/>
        <v>US</v>
      </c>
      <c r="D181" s="66" t="str">
        <f t="shared" si="4"/>
        <v>USCGDP..D</v>
      </c>
      <c r="E181" s="66" t="str">
        <f t="shared" si="4"/>
        <v>USCGDP..A</v>
      </c>
      <c r="F181" s="66" t="str">
        <f t="shared" si="4"/>
        <v>USCPCE..D</v>
      </c>
      <c r="G181" s="66" t="str">
        <f t="shared" si="4"/>
        <v>USCGCE..D</v>
      </c>
      <c r="H181" s="66" t="str">
        <f t="shared" si="4"/>
        <v>USCGFC..D</v>
      </c>
      <c r="I181" s="66" t="str">
        <f t="shared" si="4"/>
        <v>USCEXN..D</v>
      </c>
      <c r="J181" s="66" t="str">
        <f t="shared" si="4"/>
        <v>USCIMN..D</v>
      </c>
      <c r="K181" s="66" t="str">
        <f t="shared" si="4"/>
        <v>USCMS0..B</v>
      </c>
      <c r="L181" s="66" t="str">
        <f t="shared" si="4"/>
        <v>USCMS1..B</v>
      </c>
      <c r="M181" s="66" t="str">
        <f t="shared" si="4"/>
        <v>USCMS2..B</v>
      </c>
      <c r="N181" s="66">
        <f t="shared" si="4"/>
        <v>0</v>
      </c>
      <c r="O181" s="66" t="str">
        <f t="shared" si="4"/>
        <v>USCCPI..E</v>
      </c>
      <c r="P181" s="66" t="str">
        <f t="shared" si="4"/>
        <v>USCCPI..F</v>
      </c>
      <c r="Q181" s="66" t="str">
        <f t="shared" si="4"/>
        <v>USCPPI..E</v>
      </c>
      <c r="R181" s="66" t="str">
        <f t="shared" si="4"/>
        <v>USCPPI..F</v>
      </c>
      <c r="S181" s="66" t="str">
        <f t="shared" si="4"/>
        <v>USCCOR..E</v>
      </c>
      <c r="T181" s="66" t="str">
        <f t="shared" si="4"/>
        <v>USCCOR..F</v>
      </c>
      <c r="U181" s="66" t="str">
        <f t="shared" si="4"/>
        <v>USCEXI..F</v>
      </c>
      <c r="V181" s="66" t="str">
        <f t="shared" si="4"/>
        <v>USCIMI..F</v>
      </c>
      <c r="W181" s="66" t="str">
        <f t="shared" si="4"/>
        <v>USCTRM..F</v>
      </c>
      <c r="X181" s="66" t="str">
        <f t="shared" si="4"/>
        <v>USCEMP..O</v>
      </c>
      <c r="Y181" s="66" t="str">
        <f t="shared" si="4"/>
        <v>USCEMF..O</v>
      </c>
      <c r="Z181" s="66" t="str">
        <f t="shared" si="4"/>
        <v>USCUNP..Q</v>
      </c>
      <c r="AA181" s="66" t="str">
        <f t="shared" si="4"/>
        <v>USCRET..E</v>
      </c>
      <c r="AB181" s="66" t="str">
        <f t="shared" si="4"/>
        <v>USCRET..F</v>
      </c>
      <c r="AC181" s="66" t="str">
        <f t="shared" si="4"/>
        <v>USCIND..G</v>
      </c>
      <c r="AD181" s="66" t="str">
        <f t="shared" si="4"/>
        <v>USCGOV..A</v>
      </c>
      <c r="AE181" s="66" t="str">
        <f t="shared" si="4"/>
        <v>USCCUR..B</v>
      </c>
      <c r="AF181" s="66" t="str">
        <f t="shared" si="4"/>
        <v>USCCUR..Q</v>
      </c>
      <c r="AG181" s="66" t="str">
        <f t="shared" si="4"/>
        <v>USCEXP..B</v>
      </c>
      <c r="AH181" s="66" t="str">
        <f t="shared" si="4"/>
        <v>USCIMP..B</v>
      </c>
      <c r="AI181" s="66" t="str">
        <f t="shared" si="4"/>
        <v>USCVIS..B</v>
      </c>
      <c r="AJ181" s="66" t="str">
        <f t="shared" si="4"/>
        <v>USCRES..A</v>
      </c>
    </row>
    <row r="182" spans="2:36" x14ac:dyDescent="0.2">
      <c r="B182" s="80" t="s">
        <v>302</v>
      </c>
      <c r="C182" s="66" t="str">
        <f t="shared" si="2"/>
        <v>BG</v>
      </c>
      <c r="D182" s="66" t="str">
        <f t="shared" si="4"/>
        <v>BGCGDP..D</v>
      </c>
      <c r="E182" s="66" t="str">
        <f t="shared" si="4"/>
        <v>BGCGDP..A</v>
      </c>
      <c r="F182" s="66" t="str">
        <f t="shared" si="4"/>
        <v>BGCPCE..D</v>
      </c>
      <c r="G182" s="66" t="str">
        <f t="shared" si="4"/>
        <v>BGCGCE..D</v>
      </c>
      <c r="H182" s="66" t="str">
        <f t="shared" si="4"/>
        <v>BGCGFC..D</v>
      </c>
      <c r="I182" s="66" t="str">
        <f t="shared" si="4"/>
        <v>BGCEXN..D</v>
      </c>
      <c r="J182" s="66" t="str">
        <f t="shared" si="4"/>
        <v>BGCIMN..D</v>
      </c>
      <c r="K182" s="66" t="str">
        <f t="shared" si="4"/>
        <v>BGCMS0..B</v>
      </c>
      <c r="L182" s="66" t="str">
        <f t="shared" si="4"/>
        <v>BGCMS1..B</v>
      </c>
      <c r="M182" s="66" t="str">
        <f t="shared" si="4"/>
        <v>BGCMS2..B</v>
      </c>
      <c r="N182" s="66" t="str">
        <f t="shared" si="4"/>
        <v>BGCMS3..B</v>
      </c>
      <c r="O182" s="66" t="str">
        <f t="shared" si="4"/>
        <v>BGCCPI..E</v>
      </c>
      <c r="P182" s="66" t="str">
        <f t="shared" si="4"/>
        <v>BGCCPI..F</v>
      </c>
      <c r="Q182" s="66" t="str">
        <f t="shared" si="4"/>
        <v>BGCPPI..E</v>
      </c>
      <c r="R182" s="66" t="str">
        <f t="shared" si="4"/>
        <v>BGCPPI..F</v>
      </c>
      <c r="S182" s="66">
        <f t="shared" si="4"/>
        <v>0</v>
      </c>
      <c r="T182" s="66">
        <f t="shared" si="4"/>
        <v>0</v>
      </c>
      <c r="U182" s="66" t="str">
        <f t="shared" si="4"/>
        <v>BGCEXI..F</v>
      </c>
      <c r="V182" s="66" t="str">
        <f t="shared" si="4"/>
        <v>BGCIMI..F</v>
      </c>
      <c r="W182" s="66" t="str">
        <f t="shared" si="4"/>
        <v>BGCTRM..F</v>
      </c>
      <c r="X182" s="66" t="str">
        <f t="shared" si="4"/>
        <v>BGCEMP..O</v>
      </c>
      <c r="Y182" s="66" t="str">
        <f t="shared" si="4"/>
        <v>BGCEMF..O</v>
      </c>
      <c r="Z182" s="66" t="str">
        <f t="shared" si="4"/>
        <v>BGCUNP..Q</v>
      </c>
      <c r="AA182" s="66" t="str">
        <f t="shared" si="4"/>
        <v>BGCRET..E</v>
      </c>
      <c r="AB182" s="66" t="str">
        <f t="shared" si="4"/>
        <v>BGCRET..F</v>
      </c>
      <c r="AC182" s="66" t="str">
        <f t="shared" si="4"/>
        <v>BGCIND..G</v>
      </c>
      <c r="AD182" s="66" t="str">
        <f t="shared" si="4"/>
        <v>BGCGOV..A</v>
      </c>
      <c r="AE182" s="66" t="str">
        <f t="shared" si="4"/>
        <v>BGCCUR..B</v>
      </c>
      <c r="AF182" s="66" t="str">
        <f t="shared" si="4"/>
        <v>BGCCUR..Q</v>
      </c>
      <c r="AG182" s="66" t="str">
        <f t="shared" si="4"/>
        <v>BGCEXP..B</v>
      </c>
      <c r="AH182" s="66" t="str">
        <f t="shared" si="4"/>
        <v>BGCIMP..B</v>
      </c>
      <c r="AI182" s="66" t="str">
        <f t="shared" si="4"/>
        <v>BGCVIS..B</v>
      </c>
      <c r="AJ182" s="66" t="str">
        <f t="shared" si="4"/>
        <v>BGCRES..A</v>
      </c>
    </row>
    <row r="183" spans="2:36" x14ac:dyDescent="0.2">
      <c r="B183" s="80" t="s">
        <v>575</v>
      </c>
      <c r="C183" s="66" t="str">
        <f t="shared" ref="C183:R189" si="5">VLOOKUP($B183,$B$5:$AJ$157,C$164,FALSE)</f>
        <v>CH</v>
      </c>
      <c r="D183" s="66" t="str">
        <f t="shared" si="4"/>
        <v>CHCGDP..D</v>
      </c>
      <c r="E183" s="66" t="str">
        <f t="shared" si="4"/>
        <v>CHCGDP..A</v>
      </c>
      <c r="F183" s="66" t="str">
        <f t="shared" si="4"/>
        <v>CHCPCE..D</v>
      </c>
      <c r="G183" s="66" t="str">
        <f t="shared" si="4"/>
        <v>CHCGCE..D</v>
      </c>
      <c r="H183" s="66" t="str">
        <f t="shared" si="4"/>
        <v>CHCGFC..D</v>
      </c>
      <c r="I183" s="66" t="str">
        <f t="shared" si="4"/>
        <v>CHCEXN..D</v>
      </c>
      <c r="J183" s="66" t="str">
        <f t="shared" si="4"/>
        <v>CHCIMN..D</v>
      </c>
      <c r="K183" s="66" t="str">
        <f t="shared" si="4"/>
        <v>CHCMS0..B</v>
      </c>
      <c r="L183" s="66" t="str">
        <f t="shared" si="4"/>
        <v>CHCMS1..B</v>
      </c>
      <c r="M183" s="66" t="str">
        <f t="shared" si="4"/>
        <v>CHCMS2..B</v>
      </c>
      <c r="N183" s="66">
        <f t="shared" si="4"/>
        <v>0</v>
      </c>
      <c r="O183" s="66" t="str">
        <f t="shared" si="4"/>
        <v>CHCCPI..E</v>
      </c>
      <c r="P183" s="66" t="str">
        <f t="shared" si="4"/>
        <v>CHCCPI..F</v>
      </c>
      <c r="Q183" s="66">
        <f t="shared" si="4"/>
        <v>0</v>
      </c>
      <c r="R183" s="66">
        <f t="shared" si="4"/>
        <v>0</v>
      </c>
      <c r="S183" s="66" t="str">
        <f t="shared" si="4"/>
        <v>CHCCOR..E</v>
      </c>
      <c r="T183" s="66" t="str">
        <f t="shared" si="4"/>
        <v>CHCCOR..F</v>
      </c>
      <c r="U183" s="66">
        <f t="shared" si="4"/>
        <v>0</v>
      </c>
      <c r="V183" s="66">
        <f t="shared" si="4"/>
        <v>0</v>
      </c>
      <c r="W183" s="66">
        <f t="shared" si="4"/>
        <v>0</v>
      </c>
      <c r="X183" s="66" t="str">
        <f t="shared" si="4"/>
        <v>CHCEMP..O</v>
      </c>
      <c r="Y183" s="66" t="str">
        <f t="shared" si="4"/>
        <v>CHCEMF..O</v>
      </c>
      <c r="Z183" s="66" t="str">
        <f t="shared" si="4"/>
        <v>CHCUNP..Q</v>
      </c>
      <c r="AA183" s="66" t="str">
        <f t="shared" si="4"/>
        <v>CHCRET..E</v>
      </c>
      <c r="AB183" s="66" t="str">
        <f t="shared" si="4"/>
        <v>CHCRET..F</v>
      </c>
      <c r="AC183" s="66">
        <f t="shared" si="4"/>
        <v>0</v>
      </c>
      <c r="AD183" s="66" t="str">
        <f t="shared" si="4"/>
        <v>CHCGOV..A</v>
      </c>
      <c r="AE183" s="66" t="str">
        <f t="shared" si="4"/>
        <v>CHCCUR..B</v>
      </c>
      <c r="AF183" s="66" t="str">
        <f t="shared" si="4"/>
        <v>CHCCUR..Q</v>
      </c>
      <c r="AG183" s="66" t="str">
        <f t="shared" si="4"/>
        <v>CHCEXP..B</v>
      </c>
      <c r="AH183" s="66" t="str">
        <f t="shared" si="4"/>
        <v>CHCIMP..B</v>
      </c>
      <c r="AI183" s="66" t="str">
        <f t="shared" si="4"/>
        <v>CHCVIS..B</v>
      </c>
      <c r="AJ183" s="66" t="str">
        <f t="shared" si="4"/>
        <v>CHCRES..A</v>
      </c>
    </row>
    <row r="184" spans="2:36" x14ac:dyDescent="0.2">
      <c r="B184" s="80" t="s">
        <v>1315</v>
      </c>
      <c r="C184" s="66" t="str">
        <f t="shared" si="5"/>
        <v>IN</v>
      </c>
      <c r="D184" s="66" t="str">
        <f t="shared" si="4"/>
        <v>INCGDP..D</v>
      </c>
      <c r="E184" s="66" t="str">
        <f t="shared" si="4"/>
        <v>INCGDP..A</v>
      </c>
      <c r="F184" s="66" t="str">
        <f t="shared" si="4"/>
        <v>INCPCE..D</v>
      </c>
      <c r="G184" s="66" t="str">
        <f t="shared" si="4"/>
        <v>INCGCE..D</v>
      </c>
      <c r="H184" s="66" t="str">
        <f t="shared" si="4"/>
        <v>INCGFC..D</v>
      </c>
      <c r="I184" s="66" t="str">
        <f t="shared" si="4"/>
        <v>INCEXN..D</v>
      </c>
      <c r="J184" s="66" t="str">
        <f t="shared" si="4"/>
        <v>INCIMN..D</v>
      </c>
      <c r="K184" s="66">
        <f t="shared" si="4"/>
        <v>0</v>
      </c>
      <c r="L184" s="66" t="str">
        <f t="shared" si="4"/>
        <v>INCMS1..B</v>
      </c>
      <c r="M184" s="66" t="str">
        <f t="shared" si="4"/>
        <v>INCMS2..B</v>
      </c>
      <c r="N184" s="66" t="str">
        <f t="shared" si="4"/>
        <v>INCMS3..B</v>
      </c>
      <c r="O184" s="66" t="str">
        <f t="shared" si="4"/>
        <v>INCCPI..E</v>
      </c>
      <c r="P184" s="66" t="str">
        <f t="shared" si="4"/>
        <v>INCCPI..F</v>
      </c>
      <c r="Q184" s="66" t="str">
        <f t="shared" si="4"/>
        <v>INCPPI..E</v>
      </c>
      <c r="R184" s="66" t="str">
        <f t="shared" si="4"/>
        <v>INCPPI..F</v>
      </c>
      <c r="S184" s="66">
        <f t="shared" si="4"/>
        <v>0</v>
      </c>
      <c r="T184" s="66">
        <f t="shared" si="4"/>
        <v>0</v>
      </c>
      <c r="U184" s="66" t="str">
        <f t="shared" si="4"/>
        <v>INCEXI..F</v>
      </c>
      <c r="V184" s="66" t="str">
        <f t="shared" si="4"/>
        <v>INCIMI..F</v>
      </c>
      <c r="W184" s="66" t="str">
        <f t="shared" si="4"/>
        <v>INCTRM..F</v>
      </c>
      <c r="X184" s="66">
        <f t="shared" si="4"/>
        <v>0</v>
      </c>
      <c r="Y184" s="66">
        <f t="shared" si="4"/>
        <v>0</v>
      </c>
      <c r="Z184" s="66">
        <f t="shared" si="4"/>
        <v>0</v>
      </c>
      <c r="AA184" s="66">
        <f t="shared" si="4"/>
        <v>0</v>
      </c>
      <c r="AB184" s="66">
        <f t="shared" si="4"/>
        <v>0</v>
      </c>
      <c r="AC184" s="66" t="str">
        <f t="shared" si="4"/>
        <v>INCIND..G</v>
      </c>
      <c r="AD184" s="66" t="str">
        <f t="shared" si="4"/>
        <v>INCGOV..A</v>
      </c>
      <c r="AE184" s="66" t="str">
        <f t="shared" si="4"/>
        <v>INCCUR..B</v>
      </c>
      <c r="AF184" s="66" t="str">
        <f t="shared" si="4"/>
        <v>INCCUR..Q</v>
      </c>
      <c r="AG184" s="66" t="str">
        <f t="shared" si="4"/>
        <v>INCEXP..B</v>
      </c>
      <c r="AH184" s="66" t="str">
        <f t="shared" si="4"/>
        <v>INCIMP..B</v>
      </c>
      <c r="AI184" s="66" t="str">
        <f t="shared" si="4"/>
        <v>INCVIS..B</v>
      </c>
      <c r="AJ184" s="66" t="str">
        <f t="shared" si="4"/>
        <v>INCRES..A</v>
      </c>
    </row>
    <row r="185" spans="2:36" x14ac:dyDescent="0.2">
      <c r="B185" s="80" t="s">
        <v>1374</v>
      </c>
      <c r="C185" s="66" t="str">
        <f t="shared" si="5"/>
        <v>IA</v>
      </c>
      <c r="D185" s="66">
        <f t="shared" si="4"/>
        <v>0</v>
      </c>
      <c r="E185" s="66" t="str">
        <f t="shared" si="4"/>
        <v>IACGDP..A</v>
      </c>
      <c r="F185" s="66">
        <f t="shared" si="4"/>
        <v>0</v>
      </c>
      <c r="G185" s="66">
        <f t="shared" si="4"/>
        <v>0</v>
      </c>
      <c r="H185" s="66">
        <f t="shared" si="4"/>
        <v>0</v>
      </c>
      <c r="I185" s="66">
        <f t="shared" si="4"/>
        <v>0</v>
      </c>
      <c r="J185" s="66">
        <f t="shared" si="4"/>
        <v>0</v>
      </c>
      <c r="K185" s="66">
        <f t="shared" si="4"/>
        <v>0</v>
      </c>
      <c r="L185" s="66">
        <f t="shared" si="4"/>
        <v>0</v>
      </c>
      <c r="M185" s="66">
        <f t="shared" si="4"/>
        <v>0</v>
      </c>
      <c r="N185" s="66">
        <f t="shared" si="4"/>
        <v>0</v>
      </c>
      <c r="O185" s="66" t="str">
        <f t="shared" si="4"/>
        <v>IACCPI..E</v>
      </c>
      <c r="P185" s="66" t="str">
        <f t="shared" si="4"/>
        <v>IACCPI..F</v>
      </c>
      <c r="Q185" s="66" t="str">
        <f t="shared" si="4"/>
        <v>IACPPI..E</v>
      </c>
      <c r="R185" s="66" t="str">
        <f t="shared" si="4"/>
        <v>IACPPI..F</v>
      </c>
      <c r="S185" s="66">
        <f t="shared" si="4"/>
        <v>0</v>
      </c>
      <c r="T185" s="66">
        <f t="shared" si="4"/>
        <v>0</v>
      </c>
      <c r="U185" s="66">
        <f t="shared" si="4"/>
        <v>0</v>
      </c>
      <c r="V185" s="66">
        <f t="shared" si="4"/>
        <v>0</v>
      </c>
      <c r="W185" s="66">
        <f t="shared" si="4"/>
        <v>0</v>
      </c>
      <c r="X185" s="66">
        <f t="shared" si="4"/>
        <v>0</v>
      </c>
      <c r="Y185" s="66">
        <f t="shared" si="4"/>
        <v>0</v>
      </c>
      <c r="Z185" s="66">
        <f t="shared" si="4"/>
        <v>0</v>
      </c>
      <c r="AA185" s="66">
        <f t="shared" si="4"/>
        <v>0</v>
      </c>
      <c r="AB185" s="66">
        <f t="shared" si="4"/>
        <v>0</v>
      </c>
      <c r="AC185" s="66">
        <f t="shared" si="4"/>
        <v>0</v>
      </c>
      <c r="AD185" s="66">
        <f t="shared" si="4"/>
        <v>0</v>
      </c>
      <c r="AE185" s="66">
        <f t="shared" si="4"/>
        <v>0</v>
      </c>
      <c r="AF185" s="66">
        <f t="shared" si="4"/>
        <v>0</v>
      </c>
      <c r="AG185" s="66">
        <f t="shared" si="4"/>
        <v>0</v>
      </c>
      <c r="AH185" s="66">
        <f t="shared" si="4"/>
        <v>0</v>
      </c>
      <c r="AI185" s="66">
        <f t="shared" si="4"/>
        <v>0</v>
      </c>
      <c r="AJ185" s="66">
        <f t="shared" si="4"/>
        <v>0</v>
      </c>
    </row>
    <row r="186" spans="2:36" x14ac:dyDescent="0.2">
      <c r="B186" s="80" t="s">
        <v>1381</v>
      </c>
      <c r="C186" s="66" t="str">
        <f t="shared" si="5"/>
        <v>IQ</v>
      </c>
      <c r="D186" s="66" t="str">
        <f t="shared" si="4"/>
        <v>IQCGDP..D</v>
      </c>
      <c r="E186" s="66" t="str">
        <f t="shared" si="4"/>
        <v>IQCGDP..A</v>
      </c>
      <c r="F186" s="66">
        <f t="shared" si="4"/>
        <v>0</v>
      </c>
      <c r="G186" s="66">
        <f t="shared" si="4"/>
        <v>0</v>
      </c>
      <c r="H186" s="66">
        <f t="shared" si="4"/>
        <v>0</v>
      </c>
      <c r="I186" s="66">
        <f t="shared" si="4"/>
        <v>0</v>
      </c>
      <c r="J186" s="66">
        <f t="shared" si="4"/>
        <v>0</v>
      </c>
      <c r="K186" s="66" t="str">
        <f t="shared" si="4"/>
        <v>IQCMS0..B</v>
      </c>
      <c r="L186" s="66" t="str">
        <f t="shared" si="4"/>
        <v>IQCMS1..B</v>
      </c>
      <c r="M186" s="66" t="str">
        <f t="shared" si="4"/>
        <v>IQCMS2..B</v>
      </c>
      <c r="N186" s="66">
        <f t="shared" si="4"/>
        <v>0</v>
      </c>
      <c r="O186" s="66" t="str">
        <f t="shared" si="4"/>
        <v>IQCCPI..E</v>
      </c>
      <c r="P186" s="66" t="str">
        <f t="shared" si="4"/>
        <v>IQCCPI..F</v>
      </c>
      <c r="Q186" s="66">
        <f t="shared" si="4"/>
        <v>0</v>
      </c>
      <c r="R186" s="66">
        <f t="shared" si="4"/>
        <v>0</v>
      </c>
      <c r="S186" s="66">
        <f t="shared" si="4"/>
        <v>0</v>
      </c>
      <c r="T186" s="66">
        <f t="shared" si="4"/>
        <v>0</v>
      </c>
      <c r="U186" s="66">
        <f t="shared" si="4"/>
        <v>0</v>
      </c>
      <c r="V186" s="66">
        <f t="shared" si="4"/>
        <v>0</v>
      </c>
      <c r="W186" s="66">
        <f t="shared" si="4"/>
        <v>0</v>
      </c>
      <c r="X186" s="66">
        <f t="shared" si="4"/>
        <v>0</v>
      </c>
      <c r="Y186" s="66">
        <f t="shared" si="4"/>
        <v>0</v>
      </c>
      <c r="Z186" s="66">
        <f t="shared" si="4"/>
        <v>0</v>
      </c>
      <c r="AA186" s="66">
        <f t="shared" si="4"/>
        <v>0</v>
      </c>
      <c r="AB186" s="66">
        <f t="shared" si="4"/>
        <v>0</v>
      </c>
      <c r="AC186" s="66">
        <f t="shared" si="4"/>
        <v>0</v>
      </c>
      <c r="AD186" s="66">
        <f t="shared" si="4"/>
        <v>0</v>
      </c>
      <c r="AE186" s="66">
        <f t="shared" si="4"/>
        <v>0</v>
      </c>
      <c r="AF186" s="66">
        <f t="shared" si="4"/>
        <v>0</v>
      </c>
      <c r="AG186" s="66">
        <f t="shared" si="4"/>
        <v>0</v>
      </c>
      <c r="AH186" s="66">
        <f t="shared" si="4"/>
        <v>0</v>
      </c>
      <c r="AI186" s="66">
        <f t="shared" si="4"/>
        <v>0</v>
      </c>
      <c r="AJ186" s="66" t="str">
        <f t="shared" si="4"/>
        <v>IQCRES..A</v>
      </c>
    </row>
    <row r="187" spans="2:36" x14ac:dyDescent="0.2">
      <c r="B187" s="80" t="s">
        <v>2447</v>
      </c>
      <c r="C187" s="66" t="str">
        <f t="shared" si="5"/>
        <v>SI</v>
      </c>
      <c r="D187" s="66">
        <f t="shared" si="4"/>
        <v>0</v>
      </c>
      <c r="E187" s="66" t="str">
        <f t="shared" si="4"/>
        <v>SICGDP..A</v>
      </c>
      <c r="F187" s="66">
        <f t="shared" si="4"/>
        <v>0</v>
      </c>
      <c r="G187" s="66">
        <f t="shared" si="4"/>
        <v>0</v>
      </c>
      <c r="H187" s="66">
        <f t="shared" si="4"/>
        <v>0</v>
      </c>
      <c r="I187" s="66">
        <f t="shared" si="4"/>
        <v>0</v>
      </c>
      <c r="J187" s="66">
        <f t="shared" si="4"/>
        <v>0</v>
      </c>
      <c r="K187" s="66" t="str">
        <f t="shared" si="4"/>
        <v>SICMS0..B</v>
      </c>
      <c r="L187" s="66" t="str">
        <f t="shared" si="4"/>
        <v>SICMS1..B</v>
      </c>
      <c r="M187" s="66" t="str">
        <f t="shared" si="4"/>
        <v>SICMS2..B</v>
      </c>
      <c r="N187" s="66" t="str">
        <f t="shared" si="4"/>
        <v>SICMS3..B</v>
      </c>
      <c r="O187" s="66" t="str">
        <f t="shared" si="4"/>
        <v>SICCPI..E</v>
      </c>
      <c r="P187" s="66" t="str">
        <f t="shared" si="4"/>
        <v>SICCPI..F</v>
      </c>
      <c r="Q187" s="66">
        <f t="shared" si="4"/>
        <v>0</v>
      </c>
      <c r="R187" s="66">
        <f t="shared" si="4"/>
        <v>0</v>
      </c>
      <c r="S187" s="66">
        <f t="shared" si="4"/>
        <v>0</v>
      </c>
      <c r="T187" s="66">
        <f t="shared" si="4"/>
        <v>0</v>
      </c>
      <c r="U187" s="66">
        <f t="shared" si="4"/>
        <v>0</v>
      </c>
      <c r="V187" s="66">
        <f t="shared" si="4"/>
        <v>0</v>
      </c>
      <c r="W187" s="66">
        <f t="shared" si="4"/>
        <v>0</v>
      </c>
      <c r="X187" s="66">
        <f t="shared" si="4"/>
        <v>0</v>
      </c>
      <c r="Y187" s="66">
        <f t="shared" si="4"/>
        <v>0</v>
      </c>
      <c r="Z187" s="66">
        <f t="shared" si="4"/>
        <v>0</v>
      </c>
      <c r="AA187" s="66">
        <f t="shared" si="4"/>
        <v>0</v>
      </c>
      <c r="AB187" s="66">
        <f t="shared" si="4"/>
        <v>0</v>
      </c>
      <c r="AC187" s="66">
        <f t="shared" si="4"/>
        <v>0</v>
      </c>
      <c r="AD187" s="66">
        <f t="shared" si="4"/>
        <v>0</v>
      </c>
      <c r="AE187" s="66">
        <f t="shared" si="4"/>
        <v>0</v>
      </c>
      <c r="AF187" s="66">
        <f t="shared" si="4"/>
        <v>0</v>
      </c>
      <c r="AG187" s="66">
        <f t="shared" si="4"/>
        <v>0</v>
      </c>
      <c r="AH187" s="66">
        <f t="shared" si="4"/>
        <v>0</v>
      </c>
      <c r="AI187" s="66">
        <f t="shared" si="4"/>
        <v>0</v>
      </c>
      <c r="AJ187" s="66" t="str">
        <f t="shared" si="4"/>
        <v>SICRES..A</v>
      </c>
    </row>
    <row r="188" spans="2:36" x14ac:dyDescent="0.2">
      <c r="B188" s="80" t="s">
        <v>2639</v>
      </c>
      <c r="C188" s="66" t="str">
        <f t="shared" si="5"/>
        <v>KO</v>
      </c>
      <c r="D188" s="66" t="str">
        <f t="shared" si="4"/>
        <v>KOCGDP..D</v>
      </c>
      <c r="E188" s="66" t="str">
        <f t="shared" si="4"/>
        <v>KOCGDP..A</v>
      </c>
      <c r="F188" s="66" t="str">
        <f t="shared" si="4"/>
        <v>KOCPCE..D</v>
      </c>
      <c r="G188" s="66" t="str">
        <f t="shared" si="4"/>
        <v>KOCGCE..D</v>
      </c>
      <c r="H188" s="66" t="str">
        <f t="shared" si="4"/>
        <v>KOCGFC..D</v>
      </c>
      <c r="I188" s="66" t="str">
        <f t="shared" si="4"/>
        <v>KOCEXN..D</v>
      </c>
      <c r="J188" s="66" t="str">
        <f t="shared" si="4"/>
        <v>KOCIMN..D</v>
      </c>
      <c r="K188" s="66" t="str">
        <f t="shared" si="4"/>
        <v>KOCMS0..B</v>
      </c>
      <c r="L188" s="66" t="str">
        <f t="shared" si="4"/>
        <v>KOCMS1..B</v>
      </c>
      <c r="M188" s="66" t="str">
        <f t="shared" si="4"/>
        <v>KOCMS2..B</v>
      </c>
      <c r="N188" s="66" t="str">
        <f t="shared" si="4"/>
        <v>KOCMS3..B</v>
      </c>
      <c r="O188" s="66" t="str">
        <f t="shared" si="4"/>
        <v>KOCCPI..E</v>
      </c>
      <c r="P188" s="66" t="str">
        <f t="shared" si="4"/>
        <v>KOCCPI..F</v>
      </c>
      <c r="Q188" s="66" t="str">
        <f t="shared" si="4"/>
        <v>KOCPPI..E</v>
      </c>
      <c r="R188" s="66" t="str">
        <f t="shared" si="4"/>
        <v>KOCPPI..F</v>
      </c>
      <c r="S188" s="66" t="str">
        <f t="shared" si="4"/>
        <v>KOCCOR..E</v>
      </c>
      <c r="T188" s="66" t="str">
        <f t="shared" si="4"/>
        <v>KOCCOR..F</v>
      </c>
      <c r="U188" s="66" t="str">
        <f t="shared" si="4"/>
        <v>KOCEXI..F</v>
      </c>
      <c r="V188" s="66" t="str">
        <f t="shared" si="4"/>
        <v>KOCIMI..F</v>
      </c>
      <c r="W188" s="66" t="str">
        <f t="shared" si="4"/>
        <v>KOCTRM..F</v>
      </c>
      <c r="X188" s="66">
        <f t="shared" si="4"/>
        <v>0</v>
      </c>
      <c r="Y188" s="66" t="str">
        <f t="shared" ref="Y188:AJ188" si="6">VLOOKUP($B188,$B$5:$AJ$157,Y$164,FALSE)</f>
        <v>KOCEMF..O</v>
      </c>
      <c r="Z188" s="66" t="str">
        <f t="shared" si="6"/>
        <v>KOCUNP..Q</v>
      </c>
      <c r="AA188" s="66" t="str">
        <f t="shared" si="6"/>
        <v>KOCRET..E</v>
      </c>
      <c r="AB188" s="66" t="str">
        <f t="shared" si="6"/>
        <v>KOCRET..F</v>
      </c>
      <c r="AC188" s="66" t="str">
        <f t="shared" si="6"/>
        <v>KOCIND..G</v>
      </c>
      <c r="AD188" s="66" t="str">
        <f t="shared" si="6"/>
        <v>KOCGOV..A</v>
      </c>
      <c r="AE188" s="66" t="str">
        <f t="shared" si="6"/>
        <v>KOCCUR..B</v>
      </c>
      <c r="AF188" s="66" t="str">
        <f t="shared" si="6"/>
        <v>KOCCUR..Q</v>
      </c>
      <c r="AG188" s="66" t="str">
        <f t="shared" si="6"/>
        <v>KOCEXP..B</v>
      </c>
      <c r="AH188" s="66" t="str">
        <f t="shared" si="6"/>
        <v>KOCIMP..B</v>
      </c>
      <c r="AI188" s="66" t="str">
        <f t="shared" si="6"/>
        <v>KOCVIS..B</v>
      </c>
      <c r="AJ188" s="66" t="str">
        <f t="shared" si="6"/>
        <v>KOCRES..A</v>
      </c>
    </row>
    <row r="189" spans="2:36" x14ac:dyDescent="0.2">
      <c r="C189" s="66" t="e">
        <f t="shared" si="5"/>
        <v>#N/A</v>
      </c>
      <c r="D189" s="66" t="e">
        <f t="shared" si="5"/>
        <v>#N/A</v>
      </c>
      <c r="E189" s="66" t="e">
        <f t="shared" si="5"/>
        <v>#N/A</v>
      </c>
      <c r="F189" s="66" t="e">
        <f t="shared" si="5"/>
        <v>#N/A</v>
      </c>
      <c r="G189" s="66" t="e">
        <f t="shared" si="5"/>
        <v>#N/A</v>
      </c>
      <c r="H189" s="66" t="e">
        <f t="shared" si="5"/>
        <v>#N/A</v>
      </c>
      <c r="I189" s="66" t="e">
        <f t="shared" si="5"/>
        <v>#N/A</v>
      </c>
      <c r="J189" s="66" t="e">
        <f t="shared" si="5"/>
        <v>#N/A</v>
      </c>
      <c r="K189" s="66" t="e">
        <f t="shared" si="5"/>
        <v>#N/A</v>
      </c>
      <c r="L189" s="66" t="e">
        <f t="shared" si="5"/>
        <v>#N/A</v>
      </c>
      <c r="M189" s="66" t="e">
        <f t="shared" si="5"/>
        <v>#N/A</v>
      </c>
      <c r="N189" s="66" t="e">
        <f t="shared" si="5"/>
        <v>#N/A</v>
      </c>
      <c r="O189" s="66" t="e">
        <f t="shared" si="5"/>
        <v>#N/A</v>
      </c>
      <c r="P189" s="66" t="e">
        <f t="shared" si="5"/>
        <v>#N/A</v>
      </c>
      <c r="Q189" s="66" t="e">
        <f t="shared" si="5"/>
        <v>#N/A</v>
      </c>
      <c r="R189" s="66" t="e">
        <f t="shared" si="5"/>
        <v>#N/A</v>
      </c>
      <c r="S189" s="66" t="e">
        <f t="shared" ref="S189:AJ189" si="7">VLOOKUP($B189,$B$5:$AJ$157,S$164,FALSE)</f>
        <v>#N/A</v>
      </c>
      <c r="T189" s="66" t="e">
        <f t="shared" si="7"/>
        <v>#N/A</v>
      </c>
      <c r="U189" s="66" t="e">
        <f t="shared" si="7"/>
        <v>#N/A</v>
      </c>
      <c r="V189" s="66" t="e">
        <f t="shared" si="7"/>
        <v>#N/A</v>
      </c>
      <c r="W189" s="66" t="e">
        <f t="shared" si="7"/>
        <v>#N/A</v>
      </c>
      <c r="X189" s="66" t="e">
        <f t="shared" si="7"/>
        <v>#N/A</v>
      </c>
      <c r="Y189" s="66" t="e">
        <f t="shared" si="7"/>
        <v>#N/A</v>
      </c>
      <c r="Z189" s="66" t="e">
        <f t="shared" si="7"/>
        <v>#N/A</v>
      </c>
      <c r="AA189" s="66" t="e">
        <f t="shared" si="7"/>
        <v>#N/A</v>
      </c>
      <c r="AB189" s="66" t="e">
        <f t="shared" si="7"/>
        <v>#N/A</v>
      </c>
      <c r="AC189" s="66" t="e">
        <f t="shared" si="7"/>
        <v>#N/A</v>
      </c>
      <c r="AD189" s="66" t="e">
        <f t="shared" si="7"/>
        <v>#N/A</v>
      </c>
      <c r="AE189" s="66" t="e">
        <f t="shared" si="7"/>
        <v>#N/A</v>
      </c>
      <c r="AF189" s="66" t="e">
        <f t="shared" si="7"/>
        <v>#N/A</v>
      </c>
      <c r="AG189" s="66" t="e">
        <f t="shared" si="7"/>
        <v>#N/A</v>
      </c>
      <c r="AH189" s="66" t="e">
        <f t="shared" si="7"/>
        <v>#N/A</v>
      </c>
      <c r="AI189" s="66" t="e">
        <f t="shared" si="7"/>
        <v>#N/A</v>
      </c>
      <c r="AJ189" s="66" t="e">
        <f t="shared" si="7"/>
        <v>#N/A</v>
      </c>
    </row>
  </sheetData>
  <autoFilter ref="B3:AJ157" xr:uid="{FE2134DE-E32D-4116-A338-EFFA1283B9A5}"/>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76441-4D2E-404F-981E-DD88DCDA21F2}">
  <sheetPr codeName="Sheet6"/>
  <dimension ref="B1:L160"/>
  <sheetViews>
    <sheetView zoomScaleNormal="100" workbookViewId="0">
      <pane ySplit="3" topLeftCell="A4" activePane="bottomLeft" state="frozen"/>
      <selection activeCell="K29" sqref="K29"/>
      <selection pane="bottomLeft" activeCell="K29" sqref="K29"/>
    </sheetView>
  </sheetViews>
  <sheetFormatPr defaultColWidth="9.140625" defaultRowHeight="12.75" x14ac:dyDescent="0.2"/>
  <cols>
    <col min="1" max="1" width="4.140625" style="66" customWidth="1"/>
    <col min="2" max="2" width="17.7109375" style="66" bestFit="1" customWidth="1"/>
    <col min="3" max="3" width="75.7109375" style="66" customWidth="1"/>
    <col min="4" max="4" width="14.7109375" style="66" customWidth="1"/>
    <col min="5" max="6" width="11.7109375" style="66" customWidth="1"/>
    <col min="7" max="7" width="1.7109375" style="66" customWidth="1"/>
    <col min="8" max="8" width="18.7109375" style="66" customWidth="1"/>
    <col min="9" max="9" width="1.5703125" style="66" customWidth="1"/>
    <col min="10" max="10" width="18.7109375" style="66" bestFit="1" customWidth="1"/>
    <col min="11" max="11" width="1.42578125" style="66" customWidth="1"/>
    <col min="12" max="12" width="18.7109375" style="66" customWidth="1"/>
    <col min="13" max="16384" width="9.140625" style="66"/>
  </cols>
  <sheetData>
    <row r="1" spans="2:12" ht="9" customHeight="1" thickBot="1" x14ac:dyDescent="0.25"/>
    <row r="2" spans="2:12" ht="42" customHeight="1" thickBot="1" x14ac:dyDescent="0.3">
      <c r="B2" s="118" t="s">
        <v>3205</v>
      </c>
      <c r="C2" s="119"/>
      <c r="D2" s="119"/>
      <c r="E2" s="119"/>
      <c r="F2" s="119"/>
      <c r="G2" s="119"/>
      <c r="H2" s="119"/>
      <c r="I2" s="119"/>
      <c r="J2" s="119"/>
      <c r="K2" s="119"/>
      <c r="L2" s="120"/>
    </row>
    <row r="3" spans="2:12" s="70" customFormat="1" ht="13.5" thickBot="1" x14ac:dyDescent="0.25">
      <c r="B3" s="89" t="s">
        <v>3206</v>
      </c>
      <c r="C3" s="89" t="s">
        <v>3207</v>
      </c>
      <c r="D3" s="89" t="s">
        <v>3208</v>
      </c>
      <c r="E3" s="89" t="s">
        <v>22</v>
      </c>
      <c r="F3" s="89" t="s">
        <v>3209</v>
      </c>
      <c r="G3" s="89"/>
      <c r="H3" s="89" t="s">
        <v>3210</v>
      </c>
      <c r="I3" s="89"/>
      <c r="J3" s="89" t="s">
        <v>3211</v>
      </c>
      <c r="K3" s="89"/>
      <c r="L3" s="89" t="s">
        <v>3212</v>
      </c>
    </row>
    <row r="4" spans="2:12" s="70" customFormat="1" x14ac:dyDescent="0.2">
      <c r="B4" s="90" t="s">
        <v>3213</v>
      </c>
      <c r="C4" s="90" t="s">
        <v>3214</v>
      </c>
      <c r="D4" s="90" t="s">
        <v>3215</v>
      </c>
      <c r="E4" s="90" t="s">
        <v>3216</v>
      </c>
      <c r="F4" s="90" t="s">
        <v>3217</v>
      </c>
      <c r="G4" s="90"/>
      <c r="H4" s="90" t="s">
        <v>3218</v>
      </c>
      <c r="I4" s="90"/>
      <c r="J4" s="90" t="s">
        <v>3219</v>
      </c>
      <c r="K4" s="90"/>
      <c r="L4" s="90" t="s">
        <v>3220</v>
      </c>
    </row>
    <row r="5" spans="2:12" s="70" customFormat="1" x14ac:dyDescent="0.2">
      <c r="B5" s="91" t="s">
        <v>3213</v>
      </c>
      <c r="C5" s="91" t="s">
        <v>3221</v>
      </c>
      <c r="D5" s="91" t="s">
        <v>3222</v>
      </c>
      <c r="E5" s="91" t="s">
        <v>3216</v>
      </c>
      <c r="F5" s="91" t="s">
        <v>3223</v>
      </c>
      <c r="G5" s="91"/>
      <c r="H5" s="91" t="s">
        <v>3224</v>
      </c>
      <c r="I5" s="91"/>
      <c r="J5" s="91" t="s">
        <v>3225</v>
      </c>
      <c r="K5" s="91"/>
      <c r="L5" s="91" t="s">
        <v>3226</v>
      </c>
    </row>
    <row r="6" spans="2:12" s="70" customFormat="1" x14ac:dyDescent="0.2">
      <c r="B6" s="81" t="s">
        <v>3213</v>
      </c>
      <c r="C6" s="81" t="s">
        <v>3227</v>
      </c>
      <c r="D6" s="81" t="s">
        <v>3228</v>
      </c>
      <c r="E6" s="81" t="s">
        <v>3216</v>
      </c>
      <c r="F6" s="81" t="s">
        <v>3217</v>
      </c>
      <c r="G6" s="81"/>
      <c r="H6" s="81" t="s">
        <v>3229</v>
      </c>
      <c r="I6" s="81"/>
      <c r="J6" s="81" t="s">
        <v>3230</v>
      </c>
      <c r="K6" s="81"/>
      <c r="L6" s="81" t="s">
        <v>3231</v>
      </c>
    </row>
    <row r="7" spans="2:12" s="70" customFormat="1" x14ac:dyDescent="0.2">
      <c r="B7" s="81" t="s">
        <v>3213</v>
      </c>
      <c r="C7" s="81" t="s">
        <v>3232</v>
      </c>
      <c r="D7" s="81" t="s">
        <v>3233</v>
      </c>
      <c r="E7" s="81" t="s">
        <v>3216</v>
      </c>
      <c r="F7" s="81" t="s">
        <v>3217</v>
      </c>
      <c r="G7" s="81"/>
      <c r="H7" s="81" t="s">
        <v>3234</v>
      </c>
      <c r="I7" s="81"/>
      <c r="J7" s="81" t="s">
        <v>3235</v>
      </c>
      <c r="K7" s="81"/>
      <c r="L7" s="81" t="s">
        <v>3236</v>
      </c>
    </row>
    <row r="8" spans="2:12" x14ac:dyDescent="0.2">
      <c r="B8" s="81" t="s">
        <v>3213</v>
      </c>
      <c r="C8" s="81" t="s">
        <v>3237</v>
      </c>
      <c r="D8" s="81" t="s">
        <v>3238</v>
      </c>
      <c r="E8" s="81" t="s">
        <v>3216</v>
      </c>
      <c r="F8" s="81" t="s">
        <v>3217</v>
      </c>
      <c r="G8" s="81"/>
      <c r="H8" s="81" t="s">
        <v>3239</v>
      </c>
      <c r="I8" s="81"/>
      <c r="J8" s="81" t="s">
        <v>3240</v>
      </c>
      <c r="K8" s="81"/>
      <c r="L8" s="81" t="s">
        <v>3241</v>
      </c>
    </row>
    <row r="9" spans="2:12" x14ac:dyDescent="0.2">
      <c r="B9" s="81" t="s">
        <v>3213</v>
      </c>
      <c r="C9" s="81" t="s">
        <v>3242</v>
      </c>
      <c r="D9" s="81" t="s">
        <v>3243</v>
      </c>
      <c r="E9" s="81" t="s">
        <v>3216</v>
      </c>
      <c r="F9" s="81" t="s">
        <v>3217</v>
      </c>
      <c r="G9" s="81"/>
      <c r="H9" s="81" t="s">
        <v>3244</v>
      </c>
      <c r="I9" s="81"/>
      <c r="J9" s="81" t="s">
        <v>3245</v>
      </c>
      <c r="K9" s="81"/>
      <c r="L9" s="81" t="s">
        <v>3246</v>
      </c>
    </row>
    <row r="10" spans="2:12" x14ac:dyDescent="0.2">
      <c r="B10" s="81" t="s">
        <v>3213</v>
      </c>
      <c r="C10" s="81" t="s">
        <v>3247</v>
      </c>
      <c r="D10" s="81" t="s">
        <v>3248</v>
      </c>
      <c r="E10" s="81" t="s">
        <v>3216</v>
      </c>
      <c r="F10" s="81" t="s">
        <v>3217</v>
      </c>
      <c r="G10" s="81"/>
      <c r="H10" s="81" t="s">
        <v>3249</v>
      </c>
      <c r="I10" s="81"/>
      <c r="J10" s="81" t="s">
        <v>3250</v>
      </c>
      <c r="K10" s="81"/>
      <c r="L10" s="81" t="s">
        <v>3251</v>
      </c>
    </row>
    <row r="11" spans="2:12" x14ac:dyDescent="0.2">
      <c r="B11" s="81"/>
      <c r="C11" s="81"/>
      <c r="D11" s="81"/>
      <c r="E11" s="81"/>
      <c r="F11" s="81"/>
      <c r="G11" s="81"/>
      <c r="H11" s="81"/>
      <c r="I11" s="81"/>
      <c r="J11" s="81"/>
      <c r="K11" s="81"/>
      <c r="L11" s="81"/>
    </row>
    <row r="12" spans="2:12" x14ac:dyDescent="0.2">
      <c r="B12" s="81" t="s">
        <v>3252</v>
      </c>
      <c r="C12" s="81" t="s">
        <v>3253</v>
      </c>
      <c r="D12" s="81" t="s">
        <v>3254</v>
      </c>
      <c r="E12" s="81" t="s">
        <v>3255</v>
      </c>
      <c r="F12" s="81" t="s">
        <v>3217</v>
      </c>
      <c r="G12" s="81"/>
      <c r="H12" s="81" t="s">
        <v>3256</v>
      </c>
      <c r="I12" s="81"/>
      <c r="J12" s="81" t="s">
        <v>3257</v>
      </c>
      <c r="K12" s="81"/>
      <c r="L12" s="81" t="s">
        <v>3258</v>
      </c>
    </row>
    <row r="13" spans="2:12" x14ac:dyDescent="0.2">
      <c r="B13" s="81" t="s">
        <v>3252</v>
      </c>
      <c r="C13" s="81" t="s">
        <v>3259</v>
      </c>
      <c r="D13" s="81" t="s">
        <v>3260</v>
      </c>
      <c r="E13" s="81" t="s">
        <v>3255</v>
      </c>
      <c r="F13" s="81" t="s">
        <v>3217</v>
      </c>
      <c r="G13" s="81"/>
      <c r="H13" s="81" t="s">
        <v>3261</v>
      </c>
      <c r="I13" s="81"/>
      <c r="J13" s="81" t="s">
        <v>3262</v>
      </c>
      <c r="K13" s="81"/>
      <c r="L13" s="81" t="s">
        <v>3263</v>
      </c>
    </row>
    <row r="14" spans="2:12" x14ac:dyDescent="0.2">
      <c r="B14" s="81" t="s">
        <v>3252</v>
      </c>
      <c r="C14" s="81" t="s">
        <v>3264</v>
      </c>
      <c r="D14" s="81" t="s">
        <v>3265</v>
      </c>
      <c r="E14" s="81" t="s">
        <v>3255</v>
      </c>
      <c r="F14" s="81" t="s">
        <v>3217</v>
      </c>
      <c r="G14" s="81"/>
      <c r="H14" s="81" t="s">
        <v>3266</v>
      </c>
      <c r="I14" s="81"/>
      <c r="J14" s="81" t="s">
        <v>3267</v>
      </c>
      <c r="K14" s="81"/>
      <c r="L14" s="81" t="s">
        <v>3268</v>
      </c>
    </row>
    <row r="15" spans="2:12" x14ac:dyDescent="0.2">
      <c r="B15" s="81" t="s">
        <v>3252</v>
      </c>
      <c r="C15" s="81" t="s">
        <v>3269</v>
      </c>
      <c r="D15" s="81" t="s">
        <v>3270</v>
      </c>
      <c r="E15" s="81" t="s">
        <v>3255</v>
      </c>
      <c r="F15" s="81" t="s">
        <v>3217</v>
      </c>
      <c r="G15" s="81"/>
      <c r="H15" s="81" t="s">
        <v>3271</v>
      </c>
      <c r="I15" s="81"/>
      <c r="J15" s="81" t="s">
        <v>3272</v>
      </c>
      <c r="K15" s="81"/>
      <c r="L15" s="81" t="s">
        <v>3273</v>
      </c>
    </row>
    <row r="16" spans="2:12" x14ac:dyDescent="0.2">
      <c r="B16" s="81"/>
      <c r="C16" s="81"/>
      <c r="D16" s="81"/>
      <c r="E16" s="81"/>
      <c r="F16" s="81"/>
      <c r="G16" s="81"/>
      <c r="H16" s="81"/>
      <c r="I16" s="81"/>
      <c r="J16" s="81"/>
      <c r="K16" s="81"/>
      <c r="L16" s="81"/>
    </row>
    <row r="17" spans="2:12" x14ac:dyDescent="0.2">
      <c r="B17" s="81" t="s">
        <v>3274</v>
      </c>
      <c r="C17" s="81" t="s">
        <v>3275</v>
      </c>
      <c r="D17" s="81" t="s">
        <v>3276</v>
      </c>
      <c r="E17" s="81" t="s">
        <v>3255</v>
      </c>
      <c r="F17" s="81" t="s">
        <v>3217</v>
      </c>
      <c r="G17" s="81"/>
      <c r="H17" s="81" t="s">
        <v>3277</v>
      </c>
      <c r="I17" s="81"/>
      <c r="J17" s="81" t="s">
        <v>3278</v>
      </c>
      <c r="K17" s="81"/>
      <c r="L17" s="81" t="s">
        <v>3279</v>
      </c>
    </row>
    <row r="18" spans="2:12" x14ac:dyDescent="0.2">
      <c r="B18" s="91" t="s">
        <v>3274</v>
      </c>
      <c r="C18" s="91" t="s">
        <v>3280</v>
      </c>
      <c r="D18" s="91" t="s">
        <v>3281</v>
      </c>
      <c r="E18" s="91" t="s">
        <v>3255</v>
      </c>
      <c r="F18" s="91" t="s">
        <v>3223</v>
      </c>
      <c r="G18" s="91"/>
      <c r="H18" s="91" t="s">
        <v>3282</v>
      </c>
      <c r="I18" s="91"/>
      <c r="J18" s="91" t="s">
        <v>3283</v>
      </c>
      <c r="K18" s="91"/>
      <c r="L18" s="91" t="s">
        <v>3284</v>
      </c>
    </row>
    <row r="19" spans="2:12" x14ac:dyDescent="0.2">
      <c r="B19" s="81" t="s">
        <v>3274</v>
      </c>
      <c r="C19" s="81" t="s">
        <v>3285</v>
      </c>
      <c r="D19" s="81" t="s">
        <v>3286</v>
      </c>
      <c r="E19" s="81" t="s">
        <v>3255</v>
      </c>
      <c r="F19" s="81" t="s">
        <v>3217</v>
      </c>
      <c r="G19" s="81"/>
      <c r="H19" s="81" t="s">
        <v>3287</v>
      </c>
      <c r="I19" s="81"/>
      <c r="J19" s="81" t="s">
        <v>3288</v>
      </c>
      <c r="K19" s="81"/>
      <c r="L19" s="81" t="s">
        <v>3289</v>
      </c>
    </row>
    <row r="20" spans="2:12" x14ac:dyDescent="0.2">
      <c r="B20" s="91" t="s">
        <v>3274</v>
      </c>
      <c r="C20" s="91" t="s">
        <v>3290</v>
      </c>
      <c r="D20" s="91" t="s">
        <v>3291</v>
      </c>
      <c r="E20" s="91" t="s">
        <v>3255</v>
      </c>
      <c r="F20" s="91" t="s">
        <v>3223</v>
      </c>
      <c r="G20" s="91"/>
      <c r="H20" s="91" t="s">
        <v>3292</v>
      </c>
      <c r="I20" s="91"/>
      <c r="J20" s="91" t="s">
        <v>3293</v>
      </c>
      <c r="K20" s="91"/>
      <c r="L20" s="91" t="s">
        <v>3294</v>
      </c>
    </row>
    <row r="21" spans="2:12" x14ac:dyDescent="0.2">
      <c r="B21" s="81" t="s">
        <v>3274</v>
      </c>
      <c r="C21" s="81" t="s">
        <v>3295</v>
      </c>
      <c r="D21" s="81" t="s">
        <v>3296</v>
      </c>
      <c r="E21" s="81" t="s">
        <v>3255</v>
      </c>
      <c r="F21" s="81" t="s">
        <v>3217</v>
      </c>
      <c r="G21" s="81"/>
      <c r="H21" s="81" t="s">
        <v>3297</v>
      </c>
      <c r="I21" s="81"/>
      <c r="J21" s="81" t="s">
        <v>3298</v>
      </c>
      <c r="K21" s="81"/>
      <c r="L21" s="81" t="s">
        <v>3299</v>
      </c>
    </row>
    <row r="22" spans="2:12" x14ac:dyDescent="0.2">
      <c r="B22" s="91" t="s">
        <v>3274</v>
      </c>
      <c r="C22" s="91" t="s">
        <v>3295</v>
      </c>
      <c r="D22" s="91" t="s">
        <v>3300</v>
      </c>
      <c r="E22" s="91" t="s">
        <v>3255</v>
      </c>
      <c r="F22" s="91" t="s">
        <v>3223</v>
      </c>
      <c r="G22" s="91"/>
      <c r="H22" s="91" t="s">
        <v>3301</v>
      </c>
      <c r="I22" s="91"/>
      <c r="J22" s="91" t="s">
        <v>3302</v>
      </c>
      <c r="K22" s="91"/>
      <c r="L22" s="91" t="s">
        <v>3303</v>
      </c>
    </row>
    <row r="23" spans="2:12" x14ac:dyDescent="0.2">
      <c r="B23" s="81"/>
      <c r="C23" s="81"/>
      <c r="D23" s="92"/>
      <c r="E23" s="81"/>
      <c r="F23" s="81"/>
      <c r="G23" s="81"/>
      <c r="H23" s="81"/>
      <c r="I23" s="81"/>
      <c r="J23" s="81"/>
      <c r="K23" s="81"/>
      <c r="L23" s="81"/>
    </row>
    <row r="24" spans="2:12" x14ac:dyDescent="0.2">
      <c r="B24" s="81" t="s">
        <v>3274</v>
      </c>
      <c r="C24" s="81" t="s">
        <v>3304</v>
      </c>
      <c r="D24" s="81" t="s">
        <v>3305</v>
      </c>
      <c r="E24" s="81" t="s">
        <v>3216</v>
      </c>
      <c r="F24" s="81" t="s">
        <v>3217</v>
      </c>
      <c r="G24" s="81"/>
      <c r="H24" s="81" t="s">
        <v>3306</v>
      </c>
      <c r="I24" s="81"/>
      <c r="J24" s="81" t="s">
        <v>3307</v>
      </c>
      <c r="K24" s="81"/>
      <c r="L24" s="81" t="s">
        <v>3308</v>
      </c>
    </row>
    <row r="25" spans="2:12" x14ac:dyDescent="0.2">
      <c r="B25" s="81" t="s">
        <v>3274</v>
      </c>
      <c r="C25" s="81" t="s">
        <v>3309</v>
      </c>
      <c r="D25" s="81" t="s">
        <v>3310</v>
      </c>
      <c r="E25" s="81" t="s">
        <v>3216</v>
      </c>
      <c r="F25" s="81" t="s">
        <v>3217</v>
      </c>
      <c r="G25" s="81"/>
      <c r="H25" s="81" t="s">
        <v>3311</v>
      </c>
      <c r="I25" s="81"/>
      <c r="J25" s="81" t="s">
        <v>3312</v>
      </c>
      <c r="K25" s="81"/>
      <c r="L25" s="81" t="s">
        <v>3313</v>
      </c>
    </row>
    <row r="26" spans="2:12" x14ac:dyDescent="0.2">
      <c r="B26" s="81" t="s">
        <v>3274</v>
      </c>
      <c r="C26" s="81" t="s">
        <v>3314</v>
      </c>
      <c r="D26" s="81" t="s">
        <v>3315</v>
      </c>
      <c r="E26" s="81" t="s">
        <v>3216</v>
      </c>
      <c r="F26" s="81" t="s">
        <v>3217</v>
      </c>
      <c r="G26" s="81"/>
      <c r="H26" s="81" t="s">
        <v>3316</v>
      </c>
      <c r="I26" s="81"/>
      <c r="J26" s="81" t="s">
        <v>3317</v>
      </c>
      <c r="K26" s="81"/>
      <c r="L26" s="81" t="s">
        <v>3318</v>
      </c>
    </row>
    <row r="27" spans="2:12" x14ac:dyDescent="0.2">
      <c r="B27" s="81"/>
      <c r="C27" s="81"/>
      <c r="D27" s="81"/>
      <c r="E27" s="81"/>
      <c r="F27" s="81"/>
      <c r="G27" s="81"/>
      <c r="H27" s="81"/>
      <c r="I27" s="81"/>
      <c r="J27" s="81"/>
      <c r="K27" s="81"/>
      <c r="L27" s="81"/>
    </row>
    <row r="28" spans="2:12" x14ac:dyDescent="0.2">
      <c r="B28" s="81" t="s">
        <v>3319</v>
      </c>
      <c r="C28" s="81" t="s">
        <v>3320</v>
      </c>
      <c r="D28" s="81" t="s">
        <v>3321</v>
      </c>
      <c r="E28" s="81" t="s">
        <v>3255</v>
      </c>
      <c r="F28" s="81" t="s">
        <v>3217</v>
      </c>
      <c r="G28" s="81"/>
      <c r="H28" s="81" t="s">
        <v>3322</v>
      </c>
      <c r="I28" s="81"/>
      <c r="J28" s="81" t="s">
        <v>3323</v>
      </c>
      <c r="K28" s="81"/>
      <c r="L28" s="81" t="s">
        <v>3324</v>
      </c>
    </row>
    <row r="29" spans="2:12" x14ac:dyDescent="0.2">
      <c r="B29" s="81" t="s">
        <v>3319</v>
      </c>
      <c r="C29" s="81" t="s">
        <v>3325</v>
      </c>
      <c r="D29" s="81" t="s">
        <v>3326</v>
      </c>
      <c r="E29" s="81" t="s">
        <v>3216</v>
      </c>
      <c r="F29" s="81" t="s">
        <v>3217</v>
      </c>
      <c r="G29" s="81"/>
      <c r="H29" s="81" t="s">
        <v>3327</v>
      </c>
      <c r="I29" s="81"/>
      <c r="J29" s="81" t="s">
        <v>3328</v>
      </c>
      <c r="K29" s="81"/>
      <c r="L29" s="81" t="s">
        <v>3329</v>
      </c>
    </row>
    <row r="30" spans="2:12" x14ac:dyDescent="0.2">
      <c r="B30" s="81" t="s">
        <v>3319</v>
      </c>
      <c r="C30" s="81" t="s">
        <v>3330</v>
      </c>
      <c r="D30" s="81" t="s">
        <v>3331</v>
      </c>
      <c r="E30" s="81" t="s">
        <v>3255</v>
      </c>
      <c r="F30" s="81" t="s">
        <v>3217</v>
      </c>
      <c r="G30" s="81"/>
      <c r="H30" s="81" t="s">
        <v>3332</v>
      </c>
      <c r="I30" s="81"/>
      <c r="J30" s="81" t="s">
        <v>3333</v>
      </c>
      <c r="K30" s="81"/>
      <c r="L30" s="81" t="s">
        <v>3334</v>
      </c>
    </row>
    <row r="31" spans="2:12" x14ac:dyDescent="0.2">
      <c r="B31" s="81"/>
      <c r="C31" s="81"/>
      <c r="D31" s="81"/>
      <c r="E31" s="81"/>
      <c r="F31" s="81"/>
      <c r="G31" s="81"/>
      <c r="H31" s="81"/>
      <c r="I31" s="81"/>
      <c r="J31" s="81"/>
      <c r="K31" s="81"/>
      <c r="L31" s="81"/>
    </row>
    <row r="32" spans="2:12" x14ac:dyDescent="0.2">
      <c r="B32" s="81" t="s">
        <v>3335</v>
      </c>
      <c r="C32" s="81" t="s">
        <v>3336</v>
      </c>
      <c r="D32" s="81" t="s">
        <v>3337</v>
      </c>
      <c r="E32" s="81" t="s">
        <v>3255</v>
      </c>
      <c r="F32" s="81" t="s">
        <v>3217</v>
      </c>
      <c r="G32" s="81"/>
      <c r="H32" s="81" t="s">
        <v>3338</v>
      </c>
      <c r="I32" s="81"/>
      <c r="J32" s="81" t="s">
        <v>3339</v>
      </c>
      <c r="K32" s="81"/>
      <c r="L32" s="81" t="s">
        <v>3340</v>
      </c>
    </row>
    <row r="33" spans="2:12" x14ac:dyDescent="0.2">
      <c r="B33" s="91" t="s">
        <v>3335</v>
      </c>
      <c r="C33" s="91" t="s">
        <v>3336</v>
      </c>
      <c r="D33" s="91" t="s">
        <v>3341</v>
      </c>
      <c r="E33" s="91" t="s">
        <v>3255</v>
      </c>
      <c r="F33" s="91" t="s">
        <v>3223</v>
      </c>
      <c r="G33" s="91"/>
      <c r="H33" s="91" t="s">
        <v>3342</v>
      </c>
      <c r="I33" s="91"/>
      <c r="J33" s="91" t="s">
        <v>3343</v>
      </c>
      <c r="K33" s="91"/>
      <c r="L33" s="91" t="s">
        <v>3344</v>
      </c>
    </row>
    <row r="34" spans="2:12" x14ac:dyDescent="0.2">
      <c r="B34" s="81"/>
      <c r="C34" s="81"/>
      <c r="D34" s="81"/>
      <c r="E34" s="81"/>
      <c r="F34" s="81"/>
      <c r="G34" s="81"/>
      <c r="H34" s="81"/>
      <c r="I34" s="81"/>
      <c r="J34" s="81"/>
      <c r="K34" s="81"/>
      <c r="L34" s="81"/>
    </row>
    <row r="35" spans="2:12" x14ac:dyDescent="0.2">
      <c r="B35" s="81" t="s">
        <v>3345</v>
      </c>
      <c r="C35" s="81" t="s">
        <v>3346</v>
      </c>
      <c r="D35" s="81" t="s">
        <v>3347</v>
      </c>
      <c r="E35" s="81" t="s">
        <v>3255</v>
      </c>
      <c r="F35" s="81" t="s">
        <v>3217</v>
      </c>
      <c r="G35" s="81"/>
      <c r="H35" s="81" t="s">
        <v>3348</v>
      </c>
      <c r="I35" s="81"/>
      <c r="J35" s="81" t="s">
        <v>3349</v>
      </c>
      <c r="K35" s="81"/>
      <c r="L35" s="81" t="s">
        <v>3350</v>
      </c>
    </row>
    <row r="36" spans="2:12" x14ac:dyDescent="0.2">
      <c r="B36" s="81" t="s">
        <v>3351</v>
      </c>
      <c r="C36" s="81" t="s">
        <v>3352</v>
      </c>
      <c r="D36" s="81" t="s">
        <v>3353</v>
      </c>
      <c r="E36" s="81" t="s">
        <v>3255</v>
      </c>
      <c r="F36" s="81" t="s">
        <v>3217</v>
      </c>
      <c r="G36" s="81"/>
      <c r="H36" s="81" t="s">
        <v>3354</v>
      </c>
      <c r="I36" s="81"/>
      <c r="J36" s="81" t="s">
        <v>3355</v>
      </c>
      <c r="K36" s="81"/>
      <c r="L36" s="81" t="s">
        <v>3356</v>
      </c>
    </row>
    <row r="37" spans="2:12" x14ac:dyDescent="0.2">
      <c r="B37" s="81"/>
      <c r="C37" s="81"/>
      <c r="D37" s="81"/>
      <c r="E37" s="81"/>
      <c r="F37" s="81"/>
      <c r="G37" s="81"/>
      <c r="H37" s="81"/>
      <c r="I37" s="81"/>
      <c r="J37" s="81"/>
      <c r="K37" s="81"/>
      <c r="L37" s="81"/>
    </row>
    <row r="38" spans="2:12" x14ac:dyDescent="0.2">
      <c r="B38" s="81" t="s">
        <v>3357</v>
      </c>
      <c r="C38" s="81" t="s">
        <v>3358</v>
      </c>
      <c r="D38" s="81" t="s">
        <v>3359</v>
      </c>
      <c r="E38" s="81" t="s">
        <v>3216</v>
      </c>
      <c r="F38" s="81" t="s">
        <v>3217</v>
      </c>
      <c r="G38" s="81"/>
      <c r="H38" s="81" t="s">
        <v>3360</v>
      </c>
      <c r="I38" s="81"/>
      <c r="J38" s="81" t="s">
        <v>3361</v>
      </c>
      <c r="K38" s="81"/>
      <c r="L38" s="81" t="s">
        <v>3362</v>
      </c>
    </row>
    <row r="39" spans="2:12" x14ac:dyDescent="0.2">
      <c r="B39" s="81" t="s">
        <v>3357</v>
      </c>
      <c r="C39" s="81" t="s">
        <v>3363</v>
      </c>
      <c r="D39" s="81" t="s">
        <v>3364</v>
      </c>
      <c r="E39" s="81" t="s">
        <v>3216</v>
      </c>
      <c r="F39" s="81" t="s">
        <v>3217</v>
      </c>
      <c r="G39" s="81"/>
      <c r="H39" s="81" t="s">
        <v>3365</v>
      </c>
      <c r="I39" s="81"/>
      <c r="J39" s="81" t="s">
        <v>3366</v>
      </c>
      <c r="K39" s="81"/>
      <c r="L39" s="81" t="s">
        <v>3367</v>
      </c>
    </row>
    <row r="40" spans="2:12" x14ac:dyDescent="0.2">
      <c r="B40" s="81" t="s">
        <v>3357</v>
      </c>
      <c r="C40" s="81" t="s">
        <v>3368</v>
      </c>
      <c r="D40" s="81" t="s">
        <v>3369</v>
      </c>
      <c r="E40" s="81" t="s">
        <v>3255</v>
      </c>
      <c r="F40" s="81" t="s">
        <v>3217</v>
      </c>
      <c r="G40" s="81"/>
      <c r="H40" s="81" t="s">
        <v>3370</v>
      </c>
      <c r="I40" s="81"/>
      <c r="J40" s="81" t="s">
        <v>3371</v>
      </c>
      <c r="K40" s="81"/>
      <c r="L40" s="81" t="s">
        <v>3372</v>
      </c>
    </row>
    <row r="41" spans="2:12" x14ac:dyDescent="0.2">
      <c r="B41" s="81" t="s">
        <v>3357</v>
      </c>
      <c r="C41" s="81" t="s">
        <v>3373</v>
      </c>
      <c r="D41" s="81" t="s">
        <v>3374</v>
      </c>
      <c r="E41" s="81" t="s">
        <v>3255</v>
      </c>
      <c r="F41" s="81" t="s">
        <v>3217</v>
      </c>
      <c r="G41" s="81"/>
      <c r="H41" s="81" t="s">
        <v>3375</v>
      </c>
      <c r="I41" s="81"/>
      <c r="J41" s="81" t="s">
        <v>3376</v>
      </c>
      <c r="K41" s="81"/>
      <c r="L41" s="81" t="s">
        <v>3377</v>
      </c>
    </row>
    <row r="42" spans="2:12" x14ac:dyDescent="0.2">
      <c r="B42" s="81" t="s">
        <v>3357</v>
      </c>
      <c r="C42" s="81" t="s">
        <v>3378</v>
      </c>
      <c r="D42" s="81" t="s">
        <v>3379</v>
      </c>
      <c r="E42" s="81" t="s">
        <v>3255</v>
      </c>
      <c r="F42" s="81" t="s">
        <v>3217</v>
      </c>
      <c r="G42" s="81"/>
      <c r="H42" s="81" t="s">
        <v>3380</v>
      </c>
      <c r="I42" s="81"/>
      <c r="J42" s="81" t="s">
        <v>3381</v>
      </c>
      <c r="K42" s="81"/>
      <c r="L42" s="81" t="s">
        <v>3382</v>
      </c>
    </row>
    <row r="43" spans="2:12" x14ac:dyDescent="0.2">
      <c r="B43" s="81" t="s">
        <v>3357</v>
      </c>
      <c r="C43" s="81" t="s">
        <v>3383</v>
      </c>
      <c r="D43" s="81" t="s">
        <v>3384</v>
      </c>
      <c r="E43" s="81" t="s">
        <v>3255</v>
      </c>
      <c r="F43" s="81" t="s">
        <v>3217</v>
      </c>
      <c r="G43" s="81"/>
      <c r="H43" s="81" t="s">
        <v>3385</v>
      </c>
      <c r="I43" s="81"/>
      <c r="J43" s="81" t="s">
        <v>3386</v>
      </c>
      <c r="K43" s="81"/>
      <c r="L43" s="81" t="s">
        <v>3387</v>
      </c>
    </row>
    <row r="148" s="70" customFormat="1" x14ac:dyDescent="0.2"/>
    <row r="149" s="70" customFormat="1" x14ac:dyDescent="0.2"/>
    <row r="150" s="70" customFormat="1" x14ac:dyDescent="0.2"/>
    <row r="151" s="70" customFormat="1" x14ac:dyDescent="0.2"/>
    <row r="158" s="70" customFormat="1" x14ac:dyDescent="0.2"/>
    <row r="160" s="70" customFormat="1" x14ac:dyDescent="0.2"/>
  </sheetData>
  <mergeCells count="1">
    <mergeCell ref="B2:L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1C30E-1541-40F2-ABB2-E2A7A9AC0E02}">
  <sheetPr codeName="Sheet5"/>
  <dimension ref="A1:M71"/>
  <sheetViews>
    <sheetView workbookViewId="0">
      <selection activeCell="G18" sqref="G18"/>
    </sheetView>
  </sheetViews>
  <sheetFormatPr defaultRowHeight="15" x14ac:dyDescent="0.25"/>
  <cols>
    <col min="1" max="1" width="10" customWidth="1"/>
    <col min="2" max="2" width="10.5703125" bestFit="1" customWidth="1"/>
    <col min="3" max="3" width="56.28515625" bestFit="1" customWidth="1"/>
    <col min="4" max="4" width="15.28515625" customWidth="1"/>
    <col min="10" max="10" width="57.7109375" customWidth="1"/>
    <col min="12" max="12" width="27.28515625" customWidth="1"/>
  </cols>
  <sheetData>
    <row r="1" spans="1:13" ht="15.75" thickBot="1" x14ac:dyDescent="0.3">
      <c r="J1" t="s">
        <v>3396</v>
      </c>
      <c r="K1" s="93" t="str">
        <f>VLOOKUP($J$1,Subjects!$J$3:$M$35,2,0)</f>
        <v>GDP..A</v>
      </c>
      <c r="L1" s="93" t="str">
        <f>VLOOKUP($J$1,Subjects!$J$3:$M$35,3,0)</f>
        <v>HIDE#(DPL#(PCH#(X,1Y),2))</v>
      </c>
      <c r="M1" s="93" t="str">
        <f>VLOOKUP($J$1,Subjects!$J$3:$M$35,4,0)</f>
        <v>Q</v>
      </c>
    </row>
    <row r="2" spans="1:13" ht="15.75" thickBot="1" x14ac:dyDescent="0.3">
      <c r="A2" s="89" t="s">
        <v>3389</v>
      </c>
      <c r="B2" s="89" t="s">
        <v>22</v>
      </c>
      <c r="C2" s="89" t="s">
        <v>3390</v>
      </c>
      <c r="D2" s="89" t="s">
        <v>3391</v>
      </c>
      <c r="K2" s="93"/>
      <c r="L2" s="93"/>
      <c r="M2" s="93"/>
    </row>
    <row r="3" spans="1:13" x14ac:dyDescent="0.25">
      <c r="A3" s="94" t="s">
        <v>42</v>
      </c>
      <c r="B3" s="90" t="s">
        <v>3392</v>
      </c>
      <c r="C3" s="90" t="s">
        <v>3393</v>
      </c>
      <c r="D3" s="95" t="s">
        <v>3394</v>
      </c>
      <c r="J3" s="76" t="s">
        <v>3393</v>
      </c>
      <c r="K3" s="77" t="s">
        <v>42</v>
      </c>
      <c r="L3" s="78" t="s">
        <v>3395</v>
      </c>
      <c r="M3" s="78" t="s">
        <v>3392</v>
      </c>
    </row>
    <row r="4" spans="1:13" x14ac:dyDescent="0.25">
      <c r="A4" s="96" t="s">
        <v>43</v>
      </c>
      <c r="B4" s="90" t="s">
        <v>3392</v>
      </c>
      <c r="C4" s="91" t="s">
        <v>3396</v>
      </c>
      <c r="D4" s="97" t="s">
        <v>3394</v>
      </c>
      <c r="J4" s="96" t="s">
        <v>3396</v>
      </c>
      <c r="K4" s="91" t="s">
        <v>43</v>
      </c>
      <c r="L4" s="97" t="s">
        <v>3395</v>
      </c>
      <c r="M4" s="97" t="s">
        <v>3392</v>
      </c>
    </row>
    <row r="5" spans="1:13" x14ac:dyDescent="0.25">
      <c r="A5" s="94" t="s">
        <v>44</v>
      </c>
      <c r="B5" s="90" t="s">
        <v>3392</v>
      </c>
      <c r="C5" s="90" t="s">
        <v>3397</v>
      </c>
      <c r="D5" s="95" t="s">
        <v>3394</v>
      </c>
      <c r="J5" s="94" t="s">
        <v>3397</v>
      </c>
      <c r="K5" s="90" t="s">
        <v>44</v>
      </c>
      <c r="L5" s="95" t="s">
        <v>3395</v>
      </c>
      <c r="M5" s="95" t="s">
        <v>3392</v>
      </c>
    </row>
    <row r="6" spans="1:13" x14ac:dyDescent="0.25">
      <c r="A6" s="96" t="s">
        <v>45</v>
      </c>
      <c r="B6" s="90" t="s">
        <v>3392</v>
      </c>
      <c r="C6" s="91" t="s">
        <v>3398</v>
      </c>
      <c r="D6" s="97" t="s">
        <v>3394</v>
      </c>
      <c r="J6" s="96" t="s">
        <v>3398</v>
      </c>
      <c r="K6" s="91" t="s">
        <v>45</v>
      </c>
      <c r="L6" s="97" t="s">
        <v>3395</v>
      </c>
      <c r="M6" s="97" t="s">
        <v>3392</v>
      </c>
    </row>
    <row r="7" spans="1:13" x14ac:dyDescent="0.25">
      <c r="A7" s="94" t="s">
        <v>46</v>
      </c>
      <c r="B7" s="90" t="s">
        <v>3392</v>
      </c>
      <c r="C7" s="90" t="s">
        <v>3399</v>
      </c>
      <c r="D7" s="95" t="s">
        <v>3394</v>
      </c>
      <c r="J7" s="94" t="s">
        <v>3399</v>
      </c>
      <c r="K7" s="90" t="s">
        <v>46</v>
      </c>
      <c r="L7" s="95" t="s">
        <v>3395</v>
      </c>
      <c r="M7" s="95" t="s">
        <v>3392</v>
      </c>
    </row>
    <row r="8" spans="1:13" x14ac:dyDescent="0.25">
      <c r="A8" s="96" t="s">
        <v>47</v>
      </c>
      <c r="B8" s="90" t="s">
        <v>3392</v>
      </c>
      <c r="C8" s="91" t="s">
        <v>3400</v>
      </c>
      <c r="D8" s="97" t="s">
        <v>3394</v>
      </c>
      <c r="J8" s="96" t="s">
        <v>3400</v>
      </c>
      <c r="K8" s="91" t="s">
        <v>47</v>
      </c>
      <c r="L8" s="97" t="s">
        <v>3395</v>
      </c>
      <c r="M8" s="97" t="s">
        <v>3392</v>
      </c>
    </row>
    <row r="9" spans="1:13" x14ac:dyDescent="0.25">
      <c r="A9" s="94" t="s">
        <v>48</v>
      </c>
      <c r="B9" s="90" t="s">
        <v>3392</v>
      </c>
      <c r="C9" s="90" t="s">
        <v>3401</v>
      </c>
      <c r="D9" s="95" t="s">
        <v>3394</v>
      </c>
      <c r="J9" s="94" t="s">
        <v>3401</v>
      </c>
      <c r="K9" s="90" t="s">
        <v>48</v>
      </c>
      <c r="L9" s="95" t="s">
        <v>3395</v>
      </c>
      <c r="M9" s="95" t="s">
        <v>3392</v>
      </c>
    </row>
    <row r="10" spans="1:13" x14ac:dyDescent="0.25">
      <c r="A10" s="96" t="s">
        <v>49</v>
      </c>
      <c r="B10" s="90" t="s">
        <v>3402</v>
      </c>
      <c r="C10" s="91" t="s">
        <v>3403</v>
      </c>
      <c r="D10" s="97" t="s">
        <v>3394</v>
      </c>
      <c r="J10" s="96" t="s">
        <v>3403</v>
      </c>
      <c r="K10" s="91" t="s">
        <v>49</v>
      </c>
      <c r="L10" s="97" t="s">
        <v>3395</v>
      </c>
      <c r="M10" s="97" t="s">
        <v>3402</v>
      </c>
    </row>
    <row r="11" spans="1:13" x14ac:dyDescent="0.25">
      <c r="A11" s="94" t="s">
        <v>50</v>
      </c>
      <c r="B11" s="90" t="s">
        <v>3402</v>
      </c>
      <c r="C11" s="90" t="s">
        <v>3404</v>
      </c>
      <c r="D11" s="95" t="s">
        <v>3394</v>
      </c>
      <c r="J11" s="94" t="s">
        <v>3404</v>
      </c>
      <c r="K11" s="90" t="s">
        <v>50</v>
      </c>
      <c r="L11" s="95" t="s">
        <v>3395</v>
      </c>
      <c r="M11" s="95" t="s">
        <v>3402</v>
      </c>
    </row>
    <row r="12" spans="1:13" x14ac:dyDescent="0.25">
      <c r="A12" s="96" t="s">
        <v>51</v>
      </c>
      <c r="B12" s="90" t="s">
        <v>3402</v>
      </c>
      <c r="C12" s="91" t="s">
        <v>3405</v>
      </c>
      <c r="D12" s="97" t="s">
        <v>3394</v>
      </c>
      <c r="J12" s="96" t="s">
        <v>3405</v>
      </c>
      <c r="K12" s="91" t="s">
        <v>51</v>
      </c>
      <c r="L12" s="95" t="s">
        <v>3395</v>
      </c>
      <c r="M12" s="97" t="s">
        <v>3402</v>
      </c>
    </row>
    <row r="13" spans="1:13" x14ac:dyDescent="0.25">
      <c r="A13" s="94" t="s">
        <v>52</v>
      </c>
      <c r="B13" s="90" t="s">
        <v>3402</v>
      </c>
      <c r="C13" s="90" t="s">
        <v>3406</v>
      </c>
      <c r="D13" s="95" t="s">
        <v>3394</v>
      </c>
      <c r="J13" s="94" t="s">
        <v>3406</v>
      </c>
      <c r="K13" s="90" t="s">
        <v>52</v>
      </c>
      <c r="L13" s="97" t="s">
        <v>3395</v>
      </c>
      <c r="M13" s="95" t="s">
        <v>3402</v>
      </c>
    </row>
    <row r="14" spans="1:13" x14ac:dyDescent="0.25">
      <c r="A14" s="96" t="s">
        <v>53</v>
      </c>
      <c r="B14" s="90" t="s">
        <v>3402</v>
      </c>
      <c r="C14" s="91" t="s">
        <v>3388</v>
      </c>
      <c r="D14" s="97" t="s">
        <v>3394</v>
      </c>
      <c r="J14" s="96" t="s">
        <v>3388</v>
      </c>
      <c r="K14" s="91" t="s">
        <v>53</v>
      </c>
      <c r="L14" s="95" t="s">
        <v>3395</v>
      </c>
      <c r="M14" s="97" t="s">
        <v>3402</v>
      </c>
    </row>
    <row r="15" spans="1:13" x14ac:dyDescent="0.25">
      <c r="A15" s="94" t="s">
        <v>54</v>
      </c>
      <c r="B15" s="90" t="s">
        <v>3402</v>
      </c>
      <c r="C15" s="90" t="s">
        <v>3407</v>
      </c>
      <c r="D15" s="95" t="s">
        <v>3394</v>
      </c>
      <c r="J15" s="94" t="s">
        <v>3407</v>
      </c>
      <c r="K15" s="90" t="s">
        <v>54</v>
      </c>
      <c r="L15" s="97" t="s">
        <v>3395</v>
      </c>
      <c r="M15" s="95" t="s">
        <v>3402</v>
      </c>
    </row>
    <row r="16" spans="1:13" x14ac:dyDescent="0.25">
      <c r="A16" s="96" t="s">
        <v>55</v>
      </c>
      <c r="B16" s="90" t="s">
        <v>3402</v>
      </c>
      <c r="C16" s="91" t="s">
        <v>3408</v>
      </c>
      <c r="D16" s="97" t="s">
        <v>3394</v>
      </c>
      <c r="J16" s="96" t="s">
        <v>3408</v>
      </c>
      <c r="K16" s="91" t="s">
        <v>55</v>
      </c>
      <c r="L16" s="95" t="s">
        <v>3395</v>
      </c>
      <c r="M16" s="97" t="s">
        <v>3402</v>
      </c>
    </row>
    <row r="17" spans="1:13" x14ac:dyDescent="0.25">
      <c r="A17" s="94" t="s">
        <v>56</v>
      </c>
      <c r="B17" s="90" t="s">
        <v>3402</v>
      </c>
      <c r="C17" s="90" t="s">
        <v>3409</v>
      </c>
      <c r="D17" s="95" t="s">
        <v>3394</v>
      </c>
      <c r="J17" s="94" t="s">
        <v>3409</v>
      </c>
      <c r="K17" s="90" t="s">
        <v>56</v>
      </c>
      <c r="L17" s="97" t="s">
        <v>3395</v>
      </c>
      <c r="M17" s="95" t="s">
        <v>3402</v>
      </c>
    </row>
    <row r="18" spans="1:13" x14ac:dyDescent="0.25">
      <c r="A18" s="96" t="s">
        <v>57</v>
      </c>
      <c r="B18" s="90" t="s">
        <v>3402</v>
      </c>
      <c r="C18" s="91" t="s">
        <v>3410</v>
      </c>
      <c r="D18" s="97" t="s">
        <v>3394</v>
      </c>
      <c r="J18" s="96" t="s">
        <v>3410</v>
      </c>
      <c r="K18" s="91" t="s">
        <v>57</v>
      </c>
      <c r="L18" s="95" t="s">
        <v>3395</v>
      </c>
      <c r="M18" s="97" t="s">
        <v>3402</v>
      </c>
    </row>
    <row r="19" spans="1:13" x14ac:dyDescent="0.25">
      <c r="A19" s="94" t="s">
        <v>58</v>
      </c>
      <c r="B19" s="90" t="s">
        <v>3402</v>
      </c>
      <c r="C19" s="90" t="s">
        <v>3411</v>
      </c>
      <c r="D19" s="95" t="s">
        <v>3394</v>
      </c>
      <c r="J19" s="94" t="s">
        <v>3411</v>
      </c>
      <c r="K19" s="90" t="s">
        <v>58</v>
      </c>
      <c r="L19" s="97" t="s">
        <v>3395</v>
      </c>
      <c r="M19" s="95" t="s">
        <v>3402</v>
      </c>
    </row>
    <row r="20" spans="1:13" x14ac:dyDescent="0.25">
      <c r="A20" s="96" t="s">
        <v>59</v>
      </c>
      <c r="B20" s="90" t="s">
        <v>3392</v>
      </c>
      <c r="C20" s="91" t="s">
        <v>3412</v>
      </c>
      <c r="D20" s="97" t="s">
        <v>3394</v>
      </c>
      <c r="J20" s="96" t="s">
        <v>3412</v>
      </c>
      <c r="K20" s="91" t="s">
        <v>59</v>
      </c>
      <c r="L20" s="95" t="s">
        <v>3395</v>
      </c>
      <c r="M20" s="97" t="s">
        <v>3392</v>
      </c>
    </row>
    <row r="21" spans="1:13" x14ac:dyDescent="0.25">
      <c r="A21" s="94" t="s">
        <v>60</v>
      </c>
      <c r="B21" s="90" t="s">
        <v>3392</v>
      </c>
      <c r="C21" s="90" t="s">
        <v>3413</v>
      </c>
      <c r="D21" s="95" t="s">
        <v>3394</v>
      </c>
      <c r="J21" s="94" t="s">
        <v>3413</v>
      </c>
      <c r="K21" s="90" t="s">
        <v>60</v>
      </c>
      <c r="L21" s="95" t="s">
        <v>3395</v>
      </c>
      <c r="M21" s="95" t="s">
        <v>3392</v>
      </c>
    </row>
    <row r="22" spans="1:13" x14ac:dyDescent="0.25">
      <c r="A22" s="96" t="s">
        <v>61</v>
      </c>
      <c r="B22" s="90" t="s">
        <v>3392</v>
      </c>
      <c r="C22" s="91" t="s">
        <v>3414</v>
      </c>
      <c r="D22" s="97" t="s">
        <v>3394</v>
      </c>
      <c r="J22" s="96" t="s">
        <v>3414</v>
      </c>
      <c r="K22" s="91" t="s">
        <v>61</v>
      </c>
      <c r="L22" s="97" t="s">
        <v>3395</v>
      </c>
      <c r="M22" s="97" t="s">
        <v>3392</v>
      </c>
    </row>
    <row r="23" spans="1:13" x14ac:dyDescent="0.25">
      <c r="A23" s="94" t="s">
        <v>62</v>
      </c>
      <c r="B23" s="90" t="s">
        <v>3402</v>
      </c>
      <c r="C23" s="90" t="s">
        <v>3415</v>
      </c>
      <c r="D23" s="95" t="s">
        <v>3394</v>
      </c>
      <c r="J23" s="94" t="s">
        <v>3415</v>
      </c>
      <c r="K23" s="90" t="s">
        <v>62</v>
      </c>
      <c r="L23" s="95" t="s">
        <v>3416</v>
      </c>
      <c r="M23" s="95" t="s">
        <v>3402</v>
      </c>
    </row>
    <row r="24" spans="1:13" x14ac:dyDescent="0.25">
      <c r="A24" s="96" t="s">
        <v>63</v>
      </c>
      <c r="B24" s="90" t="s">
        <v>3402</v>
      </c>
      <c r="C24" s="91" t="s">
        <v>3417</v>
      </c>
      <c r="D24" s="97" t="s">
        <v>3394</v>
      </c>
      <c r="J24" s="96" t="s">
        <v>3417</v>
      </c>
      <c r="K24" s="91" t="s">
        <v>63</v>
      </c>
      <c r="L24" s="97" t="s">
        <v>3416</v>
      </c>
      <c r="M24" s="97" t="s">
        <v>3402</v>
      </c>
    </row>
    <row r="25" spans="1:13" x14ac:dyDescent="0.25">
      <c r="A25" s="94" t="s">
        <v>64</v>
      </c>
      <c r="B25" s="90" t="s">
        <v>3402</v>
      </c>
      <c r="C25" s="90" t="s">
        <v>3418</v>
      </c>
      <c r="D25" s="95" t="s">
        <v>3419</v>
      </c>
      <c r="J25" s="94" t="s">
        <v>3418</v>
      </c>
      <c r="K25" s="90" t="s">
        <v>64</v>
      </c>
      <c r="L25" s="95" t="s">
        <v>3420</v>
      </c>
      <c r="M25" s="95" t="s">
        <v>3402</v>
      </c>
    </row>
    <row r="26" spans="1:13" x14ac:dyDescent="0.25">
      <c r="A26" s="96" t="s">
        <v>65</v>
      </c>
      <c r="B26" s="90" t="s">
        <v>3402</v>
      </c>
      <c r="C26" s="91" t="s">
        <v>3421</v>
      </c>
      <c r="D26" s="97" t="s">
        <v>3394</v>
      </c>
      <c r="J26" s="96" t="s">
        <v>3421</v>
      </c>
      <c r="K26" s="91" t="s">
        <v>65</v>
      </c>
      <c r="L26" s="97" t="s">
        <v>3395</v>
      </c>
      <c r="M26" s="97" t="s">
        <v>3402</v>
      </c>
    </row>
    <row r="27" spans="1:13" x14ac:dyDescent="0.25">
      <c r="A27" s="94" t="s">
        <v>66</v>
      </c>
      <c r="B27" s="90" t="s">
        <v>3402</v>
      </c>
      <c r="C27" s="90" t="s">
        <v>3422</v>
      </c>
      <c r="D27" s="95" t="s">
        <v>3394</v>
      </c>
      <c r="J27" s="94" t="s">
        <v>3422</v>
      </c>
      <c r="K27" s="90" t="s">
        <v>66</v>
      </c>
      <c r="L27" s="95" t="s">
        <v>3395</v>
      </c>
      <c r="M27" s="95" t="s">
        <v>3402</v>
      </c>
    </row>
    <row r="28" spans="1:13" x14ac:dyDescent="0.25">
      <c r="A28" s="96" t="s">
        <v>67</v>
      </c>
      <c r="B28" s="90" t="s">
        <v>3402</v>
      </c>
      <c r="C28" s="91" t="s">
        <v>3423</v>
      </c>
      <c r="D28" s="97" t="s">
        <v>3394</v>
      </c>
      <c r="J28" s="96" t="s">
        <v>3423</v>
      </c>
      <c r="K28" s="91" t="s">
        <v>67</v>
      </c>
      <c r="L28" s="97" t="s">
        <v>3395</v>
      </c>
      <c r="M28" s="97" t="s">
        <v>3402</v>
      </c>
    </row>
    <row r="29" spans="1:13" x14ac:dyDescent="0.25">
      <c r="A29" s="94" t="s">
        <v>68</v>
      </c>
      <c r="B29" s="90" t="s">
        <v>3402</v>
      </c>
      <c r="C29" s="90" t="s">
        <v>3424</v>
      </c>
      <c r="D29" s="95" t="s">
        <v>3419</v>
      </c>
      <c r="J29" s="94" t="s">
        <v>3424</v>
      </c>
      <c r="K29" s="90" t="s">
        <v>68</v>
      </c>
      <c r="L29" s="95" t="s">
        <v>3420</v>
      </c>
      <c r="M29" s="95" t="s">
        <v>3402</v>
      </c>
    </row>
    <row r="30" spans="1:13" x14ac:dyDescent="0.25">
      <c r="A30" s="96" t="s">
        <v>69</v>
      </c>
      <c r="B30" s="90" t="s">
        <v>3392</v>
      </c>
      <c r="C30" s="91" t="s">
        <v>3425</v>
      </c>
      <c r="D30" s="97" t="s">
        <v>3419</v>
      </c>
      <c r="J30" s="96" t="s">
        <v>3425</v>
      </c>
      <c r="K30" s="91" t="s">
        <v>69</v>
      </c>
      <c r="L30" s="97" t="s">
        <v>3420</v>
      </c>
      <c r="M30" s="97" t="s">
        <v>3392</v>
      </c>
    </row>
    <row r="31" spans="1:13" x14ac:dyDescent="0.25">
      <c r="A31" s="94" t="s">
        <v>70</v>
      </c>
      <c r="B31" s="90" t="s">
        <v>3392</v>
      </c>
      <c r="C31" s="90" t="s">
        <v>3426</v>
      </c>
      <c r="D31" s="95" t="s">
        <v>3419</v>
      </c>
      <c r="J31" s="94" t="s">
        <v>3426</v>
      </c>
      <c r="K31" s="90" t="s">
        <v>70</v>
      </c>
      <c r="L31" s="95" t="s">
        <v>3420</v>
      </c>
      <c r="M31" s="95" t="s">
        <v>3392</v>
      </c>
    </row>
    <row r="32" spans="1:13" x14ac:dyDescent="0.25">
      <c r="A32" s="96" t="s">
        <v>71</v>
      </c>
      <c r="B32" s="90" t="s">
        <v>3402</v>
      </c>
      <c r="C32" s="91" t="s">
        <v>3427</v>
      </c>
      <c r="D32" s="97" t="s">
        <v>3394</v>
      </c>
      <c r="J32" s="96" t="s">
        <v>3427</v>
      </c>
      <c r="K32" s="91" t="s">
        <v>71</v>
      </c>
      <c r="L32" s="97" t="s">
        <v>3395</v>
      </c>
      <c r="M32" s="97" t="s">
        <v>3402</v>
      </c>
    </row>
    <row r="33" spans="1:13" x14ac:dyDescent="0.25">
      <c r="A33" s="94" t="s">
        <v>72</v>
      </c>
      <c r="B33" s="90" t="s">
        <v>3402</v>
      </c>
      <c r="C33" s="90" t="s">
        <v>3428</v>
      </c>
      <c r="D33" s="95" t="s">
        <v>3394</v>
      </c>
      <c r="J33" s="94" t="s">
        <v>3428</v>
      </c>
      <c r="K33" s="90" t="s">
        <v>72</v>
      </c>
      <c r="L33" s="95" t="s">
        <v>3395</v>
      </c>
      <c r="M33" s="95" t="s">
        <v>3402</v>
      </c>
    </row>
    <row r="34" spans="1:13" x14ac:dyDescent="0.25">
      <c r="A34" s="96" t="s">
        <v>73</v>
      </c>
      <c r="B34" s="90" t="s">
        <v>3402</v>
      </c>
      <c r="C34" s="91" t="s">
        <v>3429</v>
      </c>
      <c r="D34" s="97" t="s">
        <v>3394</v>
      </c>
      <c r="J34" s="96" t="s">
        <v>3429</v>
      </c>
      <c r="K34" s="91" t="s">
        <v>73</v>
      </c>
      <c r="L34" s="97" t="s">
        <v>3420</v>
      </c>
      <c r="M34" s="97" t="s">
        <v>3402</v>
      </c>
    </row>
    <row r="35" spans="1:13" ht="15.75" thickBot="1" x14ac:dyDescent="0.3">
      <c r="A35" s="98" t="s">
        <v>74</v>
      </c>
      <c r="B35" s="99" t="s">
        <v>3402</v>
      </c>
      <c r="C35" s="99" t="s">
        <v>3430</v>
      </c>
      <c r="D35" s="100" t="s">
        <v>3394</v>
      </c>
      <c r="J35" s="98" t="s">
        <v>3430</v>
      </c>
      <c r="K35" s="99" t="s">
        <v>74</v>
      </c>
      <c r="L35" s="99" t="s">
        <v>3420</v>
      </c>
      <c r="M35" s="100" t="s">
        <v>3402</v>
      </c>
    </row>
    <row r="37" spans="1:13" ht="15.75" thickBot="1" x14ac:dyDescent="0.3"/>
    <row r="38" spans="1:13" ht="15.75" thickBot="1" x14ac:dyDescent="0.3">
      <c r="A38" s="101" t="s">
        <v>3389</v>
      </c>
      <c r="B38" s="102" t="s">
        <v>22</v>
      </c>
      <c r="C38" s="102" t="s">
        <v>3390</v>
      </c>
      <c r="D38" s="102" t="s">
        <v>3391</v>
      </c>
    </row>
    <row r="39" spans="1:13" ht="15.75" thickBot="1" x14ac:dyDescent="0.3">
      <c r="A39" s="103" t="s">
        <v>42</v>
      </c>
      <c r="B39" s="104" t="s">
        <v>3392</v>
      </c>
      <c r="C39" s="104" t="s">
        <v>3393</v>
      </c>
      <c r="D39" s="104" t="s">
        <v>3394</v>
      </c>
    </row>
    <row r="40" spans="1:13" ht="15.75" thickBot="1" x14ac:dyDescent="0.3">
      <c r="A40" s="105" t="s">
        <v>43</v>
      </c>
      <c r="B40" s="104" t="s">
        <v>3392</v>
      </c>
      <c r="C40" s="106" t="s">
        <v>3396</v>
      </c>
      <c r="D40" s="106" t="s">
        <v>3394</v>
      </c>
    </row>
    <row r="41" spans="1:13" ht="15.75" thickBot="1" x14ac:dyDescent="0.3">
      <c r="A41" s="103" t="s">
        <v>44</v>
      </c>
      <c r="B41" s="104" t="s">
        <v>3392</v>
      </c>
      <c r="C41" s="104" t="s">
        <v>3397</v>
      </c>
      <c r="D41" s="104" t="s">
        <v>3394</v>
      </c>
    </row>
    <row r="42" spans="1:13" ht="15.75" thickBot="1" x14ac:dyDescent="0.3">
      <c r="A42" s="105" t="s">
        <v>45</v>
      </c>
      <c r="B42" s="104" t="s">
        <v>3392</v>
      </c>
      <c r="C42" s="106" t="s">
        <v>3398</v>
      </c>
      <c r="D42" s="106" t="s">
        <v>3394</v>
      </c>
    </row>
    <row r="43" spans="1:13" ht="15.75" thickBot="1" x14ac:dyDescent="0.3">
      <c r="A43" s="103" t="s">
        <v>46</v>
      </c>
      <c r="B43" s="104" t="s">
        <v>3392</v>
      </c>
      <c r="C43" s="104" t="s">
        <v>3399</v>
      </c>
      <c r="D43" s="104" t="s">
        <v>3394</v>
      </c>
    </row>
    <row r="44" spans="1:13" ht="15.75" thickBot="1" x14ac:dyDescent="0.3">
      <c r="A44" s="105" t="s">
        <v>47</v>
      </c>
      <c r="B44" s="104" t="s">
        <v>3392</v>
      </c>
      <c r="C44" s="106" t="s">
        <v>3400</v>
      </c>
      <c r="D44" s="106" t="s">
        <v>3394</v>
      </c>
    </row>
    <row r="45" spans="1:13" ht="15.75" thickBot="1" x14ac:dyDescent="0.3">
      <c r="A45" s="103" t="s">
        <v>48</v>
      </c>
      <c r="B45" s="104" t="s">
        <v>3392</v>
      </c>
      <c r="C45" s="104" t="s">
        <v>3401</v>
      </c>
      <c r="D45" s="104" t="s">
        <v>3394</v>
      </c>
    </row>
    <row r="46" spans="1:13" ht="15.75" thickBot="1" x14ac:dyDescent="0.3">
      <c r="A46" s="105" t="s">
        <v>49</v>
      </c>
      <c r="B46" s="104" t="s">
        <v>3402</v>
      </c>
      <c r="C46" s="106" t="s">
        <v>3403</v>
      </c>
      <c r="D46" s="106" t="s">
        <v>3394</v>
      </c>
    </row>
    <row r="47" spans="1:13" ht="15.75" thickBot="1" x14ac:dyDescent="0.3">
      <c r="A47" s="103" t="s">
        <v>50</v>
      </c>
      <c r="B47" s="104" t="s">
        <v>3402</v>
      </c>
      <c r="C47" s="104" t="s">
        <v>3404</v>
      </c>
      <c r="D47" s="104" t="s">
        <v>3394</v>
      </c>
    </row>
    <row r="48" spans="1:13" ht="15.75" thickBot="1" x14ac:dyDescent="0.3">
      <c r="A48" s="105" t="s">
        <v>51</v>
      </c>
      <c r="B48" s="104" t="s">
        <v>3402</v>
      </c>
      <c r="C48" s="106" t="s">
        <v>3405</v>
      </c>
      <c r="D48" s="106" t="s">
        <v>3394</v>
      </c>
    </row>
    <row r="49" spans="1:4" ht="15.75" thickBot="1" x14ac:dyDescent="0.3">
      <c r="A49" s="103" t="s">
        <v>52</v>
      </c>
      <c r="B49" s="104" t="s">
        <v>3402</v>
      </c>
      <c r="C49" s="104" t="s">
        <v>3406</v>
      </c>
      <c r="D49" s="104" t="s">
        <v>3394</v>
      </c>
    </row>
    <row r="50" spans="1:4" ht="15.75" thickBot="1" x14ac:dyDescent="0.3">
      <c r="A50" s="105" t="s">
        <v>53</v>
      </c>
      <c r="B50" s="104" t="s">
        <v>3402</v>
      </c>
      <c r="C50" s="106" t="s">
        <v>3388</v>
      </c>
      <c r="D50" s="106" t="s">
        <v>3394</v>
      </c>
    </row>
    <row r="51" spans="1:4" ht="15.75" thickBot="1" x14ac:dyDescent="0.3">
      <c r="A51" s="103" t="s">
        <v>54</v>
      </c>
      <c r="B51" s="104" t="s">
        <v>3402</v>
      </c>
      <c r="C51" s="104" t="s">
        <v>3407</v>
      </c>
      <c r="D51" s="104" t="s">
        <v>3394</v>
      </c>
    </row>
    <row r="52" spans="1:4" ht="15.75" thickBot="1" x14ac:dyDescent="0.3">
      <c r="A52" s="105" t="s">
        <v>55</v>
      </c>
      <c r="B52" s="104" t="s">
        <v>3402</v>
      </c>
      <c r="C52" s="106" t="s">
        <v>3408</v>
      </c>
      <c r="D52" s="106" t="s">
        <v>3394</v>
      </c>
    </row>
    <row r="53" spans="1:4" ht="15.75" thickBot="1" x14ac:dyDescent="0.3">
      <c r="A53" s="103" t="s">
        <v>56</v>
      </c>
      <c r="B53" s="104" t="s">
        <v>3402</v>
      </c>
      <c r="C53" s="104" t="s">
        <v>3409</v>
      </c>
      <c r="D53" s="104" t="s">
        <v>3394</v>
      </c>
    </row>
    <row r="54" spans="1:4" ht="15.75" thickBot="1" x14ac:dyDescent="0.3">
      <c r="A54" s="105" t="s">
        <v>57</v>
      </c>
      <c r="B54" s="104" t="s">
        <v>3402</v>
      </c>
      <c r="C54" s="106" t="s">
        <v>3410</v>
      </c>
      <c r="D54" s="106" t="s">
        <v>3394</v>
      </c>
    </row>
    <row r="55" spans="1:4" ht="15.75" thickBot="1" x14ac:dyDescent="0.3">
      <c r="A55" s="103" t="s">
        <v>58</v>
      </c>
      <c r="B55" s="104" t="s">
        <v>3402</v>
      </c>
      <c r="C55" s="104" t="s">
        <v>3411</v>
      </c>
      <c r="D55" s="104" t="s">
        <v>3394</v>
      </c>
    </row>
    <row r="56" spans="1:4" ht="15.75" thickBot="1" x14ac:dyDescent="0.3">
      <c r="A56" s="105" t="s">
        <v>59</v>
      </c>
      <c r="B56" s="104" t="s">
        <v>3392</v>
      </c>
      <c r="C56" s="106" t="s">
        <v>3412</v>
      </c>
      <c r="D56" s="106" t="s">
        <v>3394</v>
      </c>
    </row>
    <row r="57" spans="1:4" ht="15.75" thickBot="1" x14ac:dyDescent="0.3">
      <c r="A57" s="103" t="s">
        <v>60</v>
      </c>
      <c r="B57" s="104" t="s">
        <v>3392</v>
      </c>
      <c r="C57" s="104" t="s">
        <v>3413</v>
      </c>
      <c r="D57" s="104" t="s">
        <v>3394</v>
      </c>
    </row>
    <row r="58" spans="1:4" ht="15.75" thickBot="1" x14ac:dyDescent="0.3">
      <c r="A58" s="105" t="s">
        <v>61</v>
      </c>
      <c r="B58" s="104" t="s">
        <v>3392</v>
      </c>
      <c r="C58" s="106" t="s">
        <v>3414</v>
      </c>
      <c r="D58" s="106" t="s">
        <v>3394</v>
      </c>
    </row>
    <row r="59" spans="1:4" ht="15.75" thickBot="1" x14ac:dyDescent="0.3">
      <c r="A59" s="103" t="s">
        <v>62</v>
      </c>
      <c r="B59" s="104" t="s">
        <v>3402</v>
      </c>
      <c r="C59" s="104" t="s">
        <v>3415</v>
      </c>
      <c r="D59" s="104" t="s">
        <v>3394</v>
      </c>
    </row>
    <row r="60" spans="1:4" ht="15.75" thickBot="1" x14ac:dyDescent="0.3">
      <c r="A60" s="105" t="s">
        <v>63</v>
      </c>
      <c r="B60" s="104" t="s">
        <v>3402</v>
      </c>
      <c r="C60" s="106" t="s">
        <v>3417</v>
      </c>
      <c r="D60" s="106" t="s">
        <v>3394</v>
      </c>
    </row>
    <row r="61" spans="1:4" ht="15.75" thickBot="1" x14ac:dyDescent="0.3">
      <c r="A61" s="103" t="s">
        <v>64</v>
      </c>
      <c r="B61" s="104" t="s">
        <v>3402</v>
      </c>
      <c r="C61" s="104" t="s">
        <v>3418</v>
      </c>
      <c r="D61" s="104" t="s">
        <v>3419</v>
      </c>
    </row>
    <row r="62" spans="1:4" ht="15.75" thickBot="1" x14ac:dyDescent="0.3">
      <c r="A62" s="105" t="s">
        <v>65</v>
      </c>
      <c r="B62" s="104" t="s">
        <v>3402</v>
      </c>
      <c r="C62" s="106" t="s">
        <v>3421</v>
      </c>
      <c r="D62" s="106" t="s">
        <v>3394</v>
      </c>
    </row>
    <row r="63" spans="1:4" ht="15.75" thickBot="1" x14ac:dyDescent="0.3">
      <c r="A63" s="103" t="s">
        <v>66</v>
      </c>
      <c r="B63" s="104" t="s">
        <v>3402</v>
      </c>
      <c r="C63" s="104" t="s">
        <v>3422</v>
      </c>
      <c r="D63" s="104" t="s">
        <v>3394</v>
      </c>
    </row>
    <row r="64" spans="1:4" ht="15.75" thickBot="1" x14ac:dyDescent="0.3">
      <c r="A64" s="105" t="s">
        <v>67</v>
      </c>
      <c r="B64" s="104" t="s">
        <v>3402</v>
      </c>
      <c r="C64" s="106" t="s">
        <v>3423</v>
      </c>
      <c r="D64" s="106" t="s">
        <v>3394</v>
      </c>
    </row>
    <row r="65" spans="1:4" ht="15.75" thickBot="1" x14ac:dyDescent="0.3">
      <c r="A65" s="103" t="s">
        <v>68</v>
      </c>
      <c r="B65" s="104" t="s">
        <v>3402</v>
      </c>
      <c r="C65" s="104" t="s">
        <v>3424</v>
      </c>
      <c r="D65" s="104" t="s">
        <v>3419</v>
      </c>
    </row>
    <row r="66" spans="1:4" ht="15.75" thickBot="1" x14ac:dyDescent="0.3">
      <c r="A66" s="105" t="s">
        <v>69</v>
      </c>
      <c r="B66" s="104" t="s">
        <v>3392</v>
      </c>
      <c r="C66" s="106" t="s">
        <v>3425</v>
      </c>
      <c r="D66" s="106" t="s">
        <v>3419</v>
      </c>
    </row>
    <row r="67" spans="1:4" ht="15.75" thickBot="1" x14ac:dyDescent="0.3">
      <c r="A67" s="103" t="s">
        <v>70</v>
      </c>
      <c r="B67" s="104" t="s">
        <v>3392</v>
      </c>
      <c r="C67" s="104" t="s">
        <v>3426</v>
      </c>
      <c r="D67" s="104" t="s">
        <v>3419</v>
      </c>
    </row>
    <row r="68" spans="1:4" ht="15.75" thickBot="1" x14ac:dyDescent="0.3">
      <c r="A68" s="105" t="s">
        <v>71</v>
      </c>
      <c r="B68" s="104" t="s">
        <v>3402</v>
      </c>
      <c r="C68" s="106" t="s">
        <v>3427</v>
      </c>
      <c r="D68" s="106" t="s">
        <v>3394</v>
      </c>
    </row>
    <row r="69" spans="1:4" ht="15.75" thickBot="1" x14ac:dyDescent="0.3">
      <c r="A69" s="103" t="s">
        <v>72</v>
      </c>
      <c r="B69" s="104" t="s">
        <v>3402</v>
      </c>
      <c r="C69" s="104" t="s">
        <v>3428</v>
      </c>
      <c r="D69" s="104" t="s">
        <v>3394</v>
      </c>
    </row>
    <row r="70" spans="1:4" ht="15.75" thickBot="1" x14ac:dyDescent="0.3">
      <c r="A70" s="105" t="s">
        <v>73</v>
      </c>
      <c r="B70" s="104" t="s">
        <v>3402</v>
      </c>
      <c r="C70" s="106" t="s">
        <v>3429</v>
      </c>
      <c r="D70" s="106" t="s">
        <v>3394</v>
      </c>
    </row>
    <row r="71" spans="1:4" ht="15.75" thickBot="1" x14ac:dyDescent="0.3">
      <c r="A71" s="103" t="s">
        <v>74</v>
      </c>
      <c r="B71" s="104" t="s">
        <v>3402</v>
      </c>
      <c r="C71" s="104" t="s">
        <v>3430</v>
      </c>
      <c r="D71" s="104" t="s">
        <v>3394</v>
      </c>
    </row>
  </sheetData>
  <autoFilter ref="A2:C35" xr:uid="{00000000-0009-0000-0000-00000400000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468"/>
  <sheetViews>
    <sheetView zoomScaleNormal="100" workbookViewId="0">
      <pane ySplit="6" topLeftCell="A7" activePane="bottomLeft" state="frozen"/>
      <selection activeCell="G18" sqref="G18"/>
      <selection pane="bottomLeft" activeCell="G18" sqref="G18"/>
    </sheetView>
  </sheetViews>
  <sheetFormatPr defaultColWidth="9.28515625" defaultRowHeight="12.75" x14ac:dyDescent="0.2"/>
  <cols>
    <col min="1" max="1" width="3.28515625" style="10" customWidth="1"/>
    <col min="2" max="2" width="12.28515625" style="21" customWidth="1"/>
    <col min="3" max="3" width="26.42578125" style="21" customWidth="1"/>
    <col min="4" max="4" width="17.5703125" style="21" customWidth="1"/>
    <col min="5" max="5" width="40" style="26" customWidth="1"/>
    <col min="6" max="6" width="37.42578125" style="19" customWidth="1"/>
    <col min="7" max="7" width="15.5703125" style="22" customWidth="1"/>
    <col min="8" max="8" width="13.28515625" style="22" customWidth="1"/>
    <col min="9" max="9" width="12.7109375" style="22" customWidth="1"/>
    <col min="10" max="10" width="13.7109375" style="23" hidden="1" customWidth="1"/>
    <col min="11" max="11" width="48.28515625" style="24" customWidth="1"/>
    <col min="12" max="12" width="14.42578125" style="25" bestFit="1" customWidth="1"/>
    <col min="13" max="13" width="60.28515625" style="22" customWidth="1"/>
    <col min="14" max="14" width="5.5703125" style="23" customWidth="1"/>
    <col min="15" max="15" width="4.7109375" style="23" customWidth="1"/>
    <col min="16" max="19" width="8.7109375" style="23" customWidth="1"/>
    <col min="20" max="20" width="12" style="23" customWidth="1"/>
    <col min="21" max="21" width="1.7109375" style="10" customWidth="1"/>
    <col min="22" max="22" width="4.28515625" style="10" customWidth="1"/>
    <col min="23" max="23" width="3.7109375" style="10" customWidth="1"/>
    <col min="24" max="24" width="8.5703125" style="10" customWidth="1"/>
    <col min="25" max="25" width="8" style="10" customWidth="1"/>
    <col min="26" max="26" width="8.28515625" style="10" hidden="1" customWidth="1"/>
    <col min="27" max="27" width="10" style="10" customWidth="1"/>
    <col min="28" max="28" width="8" style="10" customWidth="1"/>
    <col min="29" max="29" width="25.28515625" style="10" customWidth="1"/>
    <col min="30" max="30" width="25.28515625" style="10" bestFit="1" customWidth="1"/>
    <col min="31" max="31" width="16.42578125" style="10" bestFit="1" customWidth="1"/>
    <col min="32" max="32" width="9.7109375" style="10" customWidth="1"/>
    <col min="33" max="16384" width="9.28515625" style="10"/>
  </cols>
  <sheetData>
    <row r="1" spans="1:89" s="1" customFormat="1" ht="20.25" customHeight="1" x14ac:dyDescent="0.25">
      <c r="B1" s="2"/>
      <c r="C1" s="2"/>
      <c r="D1" s="2"/>
      <c r="E1" s="3"/>
      <c r="F1" s="3"/>
      <c r="G1" s="4"/>
      <c r="H1" s="4"/>
      <c r="I1" s="46"/>
      <c r="K1" s="5"/>
      <c r="L1" s="6"/>
      <c r="M1" s="4"/>
    </row>
    <row r="2" spans="1:89" s="1" customFormat="1" ht="36" customHeight="1" x14ac:dyDescent="0.25">
      <c r="A2" s="7"/>
      <c r="B2" s="2"/>
      <c r="C2" s="2"/>
      <c r="D2" s="2"/>
      <c r="E2" s="3"/>
      <c r="F2" s="3"/>
      <c r="G2" s="4"/>
      <c r="H2" s="4"/>
      <c r="I2" s="46"/>
      <c r="K2" s="5"/>
      <c r="L2" s="6"/>
      <c r="M2" s="4"/>
    </row>
    <row r="3" spans="1:89" s="1" customFormat="1" ht="18.75" customHeight="1" x14ac:dyDescent="0.25">
      <c r="B3" s="2"/>
      <c r="C3" s="2"/>
      <c r="D3" s="2"/>
      <c r="E3" s="3"/>
      <c r="F3" s="3"/>
      <c r="G3" s="4"/>
      <c r="H3" s="4"/>
      <c r="I3" s="46"/>
      <c r="K3" s="5"/>
      <c r="L3" s="8" t="s">
        <v>0</v>
      </c>
      <c r="M3" s="4"/>
      <c r="N3" s="9" t="s">
        <v>0</v>
      </c>
      <c r="AC3" s="10"/>
      <c r="AD3" s="10"/>
      <c r="AE3" s="10"/>
    </row>
    <row r="4" spans="1:89" s="1" customFormat="1" ht="30" customHeight="1" x14ac:dyDescent="0.25">
      <c r="A4" s="4"/>
      <c r="B4" s="2"/>
      <c r="C4" s="2"/>
      <c r="D4" s="2"/>
      <c r="E4" s="3"/>
      <c r="F4" s="11"/>
      <c r="G4" s="4"/>
      <c r="H4" s="4"/>
      <c r="I4" s="47"/>
      <c r="J4" s="12"/>
      <c r="K4" s="13"/>
      <c r="L4" s="29" t="s">
        <v>1</v>
      </c>
      <c r="M4" s="48">
        <v>45434</v>
      </c>
      <c r="W4" s="10"/>
      <c r="X4" s="10"/>
      <c r="AC4" s="10"/>
      <c r="AD4" s="10"/>
      <c r="AE4" s="10"/>
    </row>
    <row r="5" spans="1:89" s="18" customFormat="1" ht="12.75" customHeight="1" x14ac:dyDescent="0.25">
      <c r="A5" s="14"/>
      <c r="B5" s="27" t="s">
        <v>2</v>
      </c>
      <c r="C5" s="27" t="s">
        <v>3</v>
      </c>
      <c r="D5" s="28" t="s">
        <v>4</v>
      </c>
      <c r="E5" s="27" t="s">
        <v>5</v>
      </c>
      <c r="F5" s="27" t="s">
        <v>6</v>
      </c>
      <c r="G5" s="27" t="s">
        <v>7</v>
      </c>
      <c r="H5" s="27" t="s">
        <v>8</v>
      </c>
      <c r="I5" s="27" t="s">
        <v>22</v>
      </c>
      <c r="J5" s="38" t="s">
        <v>9</v>
      </c>
      <c r="K5" s="39"/>
      <c r="L5" s="121" t="s">
        <v>10</v>
      </c>
      <c r="M5" s="121" t="s">
        <v>11</v>
      </c>
      <c r="N5" s="27"/>
      <c r="O5" s="27"/>
      <c r="P5" s="27" t="s">
        <v>12</v>
      </c>
      <c r="Q5" s="27"/>
      <c r="R5" s="27"/>
      <c r="S5" s="27"/>
      <c r="T5" s="27" t="s">
        <v>20</v>
      </c>
      <c r="U5" s="15"/>
      <c r="V5" s="16"/>
      <c r="W5" s="17"/>
      <c r="X5" s="17"/>
      <c r="Y5" s="14"/>
      <c r="Z5" s="14"/>
      <c r="AA5" s="14"/>
      <c r="AB5" s="14"/>
      <c r="AC5" s="17"/>
      <c r="AD5" s="17"/>
      <c r="AE5" s="17"/>
      <c r="AF5" s="14"/>
      <c r="AG5" s="14"/>
      <c r="CK5" s="14"/>
    </row>
    <row r="6" spans="1:89" s="1" customFormat="1" ht="20.25" customHeight="1" x14ac:dyDescent="0.25">
      <c r="A6" s="36"/>
      <c r="B6" s="40"/>
      <c r="C6" s="31" t="s">
        <v>21</v>
      </c>
      <c r="D6" s="31"/>
      <c r="E6" s="41"/>
      <c r="F6" s="42"/>
      <c r="G6" s="43"/>
      <c r="H6" s="43"/>
      <c r="I6" s="30"/>
      <c r="J6" s="44"/>
      <c r="K6" s="35"/>
      <c r="L6" s="122"/>
      <c r="M6" s="122"/>
      <c r="N6" s="45" t="s">
        <v>13</v>
      </c>
      <c r="O6" s="45" t="s">
        <v>14</v>
      </c>
      <c r="P6" s="45" t="s">
        <v>15</v>
      </c>
      <c r="Q6" s="45" t="s">
        <v>16</v>
      </c>
      <c r="R6" s="45" t="s">
        <v>17</v>
      </c>
      <c r="S6" s="45" t="s">
        <v>18</v>
      </c>
      <c r="T6" s="45"/>
      <c r="U6" s="37"/>
      <c r="W6" s="10"/>
      <c r="X6" s="10"/>
      <c r="AC6" s="10"/>
      <c r="AD6" s="10"/>
      <c r="AE6" s="10"/>
      <c r="CK6" s="4"/>
    </row>
    <row r="7" spans="1:89" ht="14.1" customHeight="1" x14ac:dyDescent="0.2">
      <c r="B7" s="51" t="s">
        <v>3431</v>
      </c>
      <c r="C7" s="51" t="s">
        <v>3432</v>
      </c>
      <c r="D7" s="51" t="s">
        <v>3433</v>
      </c>
      <c r="E7" s="107" t="str">
        <f>Country_list!AL3</f>
        <v>='Country_list'!E165:E190</v>
      </c>
      <c r="F7" s="107" t="str">
        <f>Subjects!L1</f>
        <v>HIDE#(DPL#(PCH#(X,1Y),2))</v>
      </c>
      <c r="G7" s="107" t="str">
        <f>Country_list!AR3</f>
        <v>-10Y</v>
      </c>
      <c r="H7" s="107" t="str">
        <f>IF(I7="Q","QTE", "MTE")</f>
        <v>QTE</v>
      </c>
      <c r="I7" s="108" t="str">
        <f>Subjects!M1</f>
        <v>Q</v>
      </c>
      <c r="J7" s="49" t="s">
        <v>3434</v>
      </c>
      <c r="K7" s="52" t="s">
        <v>3434</v>
      </c>
      <c r="L7" s="49" t="s">
        <v>3435</v>
      </c>
      <c r="M7" s="31"/>
      <c r="N7" s="32">
        <v>26</v>
      </c>
      <c r="O7" s="32">
        <v>41</v>
      </c>
      <c r="P7" s="33">
        <v>1066</v>
      </c>
      <c r="Q7" s="50">
        <v>0.56434027777777773</v>
      </c>
      <c r="R7" s="50">
        <v>0.56436342592592592</v>
      </c>
      <c r="S7" s="50">
        <v>2.3148148148148147E-5</v>
      </c>
      <c r="T7" s="34"/>
    </row>
    <row r="8" spans="1:89" ht="14.1" customHeight="1" x14ac:dyDescent="0.2">
      <c r="B8" s="30"/>
      <c r="C8" s="30"/>
      <c r="D8" s="30"/>
      <c r="E8" s="49"/>
      <c r="F8" s="31"/>
      <c r="G8" s="31"/>
      <c r="H8" s="31"/>
      <c r="I8" s="31"/>
      <c r="J8" s="31"/>
      <c r="K8" s="31"/>
      <c r="L8" s="31"/>
      <c r="M8" s="31"/>
      <c r="N8" s="32"/>
      <c r="O8" s="32"/>
      <c r="P8" s="33"/>
      <c r="Q8" s="34"/>
      <c r="R8" s="34"/>
      <c r="S8" s="34"/>
      <c r="T8" s="34"/>
    </row>
    <row r="9" spans="1:89" ht="14.1" customHeight="1" x14ac:dyDescent="0.2">
      <c r="B9" s="30"/>
      <c r="C9" s="30"/>
      <c r="D9" s="30"/>
      <c r="E9" s="49"/>
      <c r="F9" s="31"/>
      <c r="G9" s="31"/>
      <c r="H9" s="31"/>
      <c r="I9" s="31"/>
      <c r="J9" s="31"/>
      <c r="K9" s="31"/>
      <c r="L9" s="31"/>
      <c r="M9" s="31"/>
      <c r="N9" s="32"/>
      <c r="O9" s="32"/>
      <c r="P9" s="33"/>
      <c r="Q9" s="34"/>
      <c r="R9" s="34"/>
      <c r="S9" s="34"/>
      <c r="T9" s="34"/>
    </row>
    <row r="10" spans="1:89" ht="14.1" customHeight="1" x14ac:dyDescent="0.2">
      <c r="B10" s="30"/>
      <c r="C10" s="30"/>
      <c r="D10" s="30"/>
      <c r="E10" s="49"/>
      <c r="F10" s="31"/>
      <c r="G10" s="31"/>
      <c r="H10" s="31"/>
      <c r="I10" s="31"/>
      <c r="J10" s="31"/>
      <c r="K10" s="31"/>
      <c r="L10" s="31"/>
      <c r="M10" s="31"/>
      <c r="N10" s="32"/>
      <c r="O10" s="32"/>
      <c r="P10" s="33"/>
      <c r="Q10" s="34"/>
      <c r="R10" s="34"/>
      <c r="S10" s="34"/>
      <c r="T10" s="34"/>
    </row>
    <row r="11" spans="1:89" ht="14.1" customHeight="1" x14ac:dyDescent="0.2">
      <c r="B11" s="30"/>
      <c r="C11" s="30"/>
      <c r="D11" s="30"/>
      <c r="E11" s="49"/>
      <c r="F11" s="31"/>
      <c r="G11" s="31"/>
      <c r="H11" s="31"/>
      <c r="I11" s="31"/>
      <c r="J11" s="31"/>
      <c r="K11" s="31"/>
      <c r="L11" s="31"/>
      <c r="M11" s="31"/>
      <c r="N11" s="32"/>
      <c r="O11" s="32"/>
      <c r="P11" s="33"/>
      <c r="Q11" s="34"/>
      <c r="R11" s="34"/>
      <c r="S11" s="34"/>
      <c r="T11" s="34"/>
    </row>
    <row r="12" spans="1:89" ht="14.1" customHeight="1" x14ac:dyDescent="0.2">
      <c r="B12" s="30"/>
      <c r="C12" s="30"/>
      <c r="D12" s="30"/>
      <c r="E12" s="49"/>
      <c r="F12" s="31"/>
      <c r="G12" s="31"/>
      <c r="H12" s="31"/>
      <c r="I12" s="31"/>
      <c r="J12" s="31"/>
      <c r="K12" s="31"/>
      <c r="L12" s="31"/>
      <c r="M12" s="31"/>
      <c r="N12" s="32"/>
      <c r="O12" s="32"/>
      <c r="P12" s="33"/>
      <c r="Q12" s="34"/>
      <c r="R12" s="34"/>
      <c r="S12" s="34"/>
      <c r="T12" s="34"/>
    </row>
    <row r="13" spans="1:89" ht="14.1" customHeight="1" x14ac:dyDescent="0.2">
      <c r="B13" s="30"/>
      <c r="C13" s="30"/>
      <c r="D13" s="30"/>
      <c r="E13" s="49"/>
      <c r="F13" s="31"/>
      <c r="G13" s="31"/>
      <c r="H13" s="31"/>
      <c r="I13" s="31"/>
      <c r="J13" s="31"/>
      <c r="K13" s="31"/>
      <c r="L13" s="31"/>
      <c r="M13" s="31"/>
      <c r="N13" s="32"/>
      <c r="O13" s="32"/>
      <c r="P13" s="33"/>
      <c r="Q13" s="34"/>
      <c r="R13" s="34"/>
      <c r="S13" s="34"/>
      <c r="T13" s="34"/>
    </row>
    <row r="14" spans="1:89" ht="14.1" customHeight="1" x14ac:dyDescent="0.2">
      <c r="B14" s="30"/>
      <c r="C14" s="30"/>
      <c r="D14" s="30"/>
      <c r="E14" s="49"/>
      <c r="F14" s="31"/>
      <c r="G14" s="31"/>
      <c r="H14" s="31"/>
      <c r="I14" s="31"/>
      <c r="J14" s="31"/>
      <c r="K14" s="31"/>
      <c r="L14" s="31"/>
      <c r="M14" s="31"/>
      <c r="N14" s="32"/>
      <c r="O14" s="32"/>
      <c r="P14" s="33"/>
      <c r="Q14" s="34"/>
      <c r="R14" s="34"/>
      <c r="S14" s="34"/>
      <c r="T14" s="34"/>
    </row>
    <row r="15" spans="1:89" ht="14.1" customHeight="1" x14ac:dyDescent="0.2">
      <c r="B15" s="30"/>
      <c r="C15" s="30"/>
      <c r="D15" s="30"/>
      <c r="E15" s="49"/>
      <c r="F15" s="31"/>
      <c r="G15" s="31"/>
      <c r="H15" s="31"/>
      <c r="I15" s="31"/>
      <c r="J15" s="31"/>
      <c r="K15" s="31"/>
      <c r="L15" s="31"/>
      <c r="M15" s="31"/>
      <c r="N15" s="32"/>
      <c r="O15" s="32"/>
      <c r="P15" s="33"/>
      <c r="Q15" s="34"/>
      <c r="R15" s="34"/>
      <c r="S15" s="34"/>
      <c r="T15" s="34"/>
    </row>
    <row r="16" spans="1:89" ht="14.1" customHeight="1" x14ac:dyDescent="0.2">
      <c r="B16" s="30"/>
      <c r="C16" s="30"/>
      <c r="D16" s="30"/>
      <c r="E16" s="49"/>
      <c r="F16" s="31"/>
      <c r="G16" s="31"/>
      <c r="H16" s="31"/>
      <c r="I16" s="31"/>
      <c r="J16" s="31"/>
      <c r="K16" s="31"/>
      <c r="L16" s="31"/>
      <c r="M16" s="31"/>
      <c r="N16" s="32"/>
      <c r="O16" s="32"/>
      <c r="P16" s="33"/>
      <c r="Q16" s="34"/>
      <c r="R16" s="34"/>
      <c r="S16" s="34"/>
      <c r="T16" s="34"/>
    </row>
    <row r="17" spans="2:20" ht="14.1" customHeight="1" x14ac:dyDescent="0.2">
      <c r="B17" s="30"/>
      <c r="C17" s="30"/>
      <c r="D17" s="30"/>
      <c r="E17" s="49"/>
      <c r="F17" s="31"/>
      <c r="G17" s="31"/>
      <c r="H17" s="31"/>
      <c r="I17" s="31"/>
      <c r="J17" s="31"/>
      <c r="K17" s="31"/>
      <c r="L17" s="31"/>
      <c r="M17" s="31"/>
      <c r="N17" s="32"/>
      <c r="O17" s="32"/>
      <c r="P17" s="33"/>
      <c r="Q17" s="34"/>
      <c r="R17" s="34"/>
      <c r="S17" s="34"/>
      <c r="T17" s="34"/>
    </row>
    <row r="18" spans="2:20" ht="14.1" customHeight="1" x14ac:dyDescent="0.2">
      <c r="B18" s="30"/>
      <c r="C18" s="30"/>
      <c r="D18" s="30"/>
      <c r="E18" s="49"/>
      <c r="F18" s="31"/>
      <c r="G18" s="31"/>
      <c r="H18" s="31"/>
      <c r="I18" s="31"/>
      <c r="J18" s="31"/>
      <c r="K18" s="31"/>
      <c r="L18" s="31"/>
      <c r="M18" s="31"/>
      <c r="N18" s="32"/>
      <c r="O18" s="32"/>
      <c r="P18" s="33"/>
      <c r="Q18" s="34"/>
      <c r="R18" s="34"/>
      <c r="S18" s="34"/>
      <c r="T18" s="34"/>
    </row>
    <row r="19" spans="2:20" ht="14.1" customHeight="1" x14ac:dyDescent="0.2">
      <c r="B19" s="30"/>
      <c r="C19" s="30"/>
      <c r="D19" s="30"/>
      <c r="E19" s="49"/>
      <c r="F19" s="31"/>
      <c r="G19" s="31"/>
      <c r="H19" s="31"/>
      <c r="I19" s="31"/>
      <c r="J19" s="31"/>
      <c r="K19" s="31"/>
      <c r="L19" s="31"/>
      <c r="M19" s="31"/>
      <c r="N19" s="32"/>
      <c r="O19" s="32"/>
      <c r="P19" s="33"/>
      <c r="Q19" s="34"/>
      <c r="R19" s="34"/>
      <c r="S19" s="34"/>
      <c r="T19" s="34"/>
    </row>
    <row r="20" spans="2:20" ht="14.1" customHeight="1" x14ac:dyDescent="0.2">
      <c r="B20" s="30"/>
      <c r="C20" s="30"/>
      <c r="D20" s="30"/>
      <c r="E20" s="49"/>
      <c r="F20" s="31"/>
      <c r="G20" s="31"/>
      <c r="H20" s="31"/>
      <c r="I20" s="31"/>
      <c r="J20" s="31"/>
      <c r="K20" s="31"/>
      <c r="L20" s="31"/>
      <c r="M20" s="31"/>
      <c r="N20" s="32"/>
      <c r="O20" s="32"/>
      <c r="P20" s="33"/>
      <c r="Q20" s="34"/>
      <c r="R20" s="34"/>
      <c r="S20" s="34"/>
      <c r="T20" s="34"/>
    </row>
    <row r="21" spans="2:20" ht="14.1" customHeight="1" x14ac:dyDescent="0.2">
      <c r="B21" s="30"/>
      <c r="C21" s="30"/>
      <c r="D21" s="30"/>
      <c r="E21" s="49"/>
      <c r="F21" s="31"/>
      <c r="G21" s="31"/>
      <c r="H21" s="31"/>
      <c r="I21" s="31"/>
      <c r="J21" s="31"/>
      <c r="K21" s="31"/>
      <c r="L21" s="31"/>
      <c r="M21" s="31"/>
      <c r="N21" s="32"/>
      <c r="O21" s="32"/>
      <c r="P21" s="33"/>
      <c r="Q21" s="34"/>
      <c r="R21" s="34"/>
      <c r="S21" s="34"/>
      <c r="T21" s="34"/>
    </row>
    <row r="22" spans="2:20" ht="14.1" customHeight="1" x14ac:dyDescent="0.2">
      <c r="B22" s="30"/>
      <c r="C22" s="30"/>
      <c r="D22" s="30"/>
      <c r="E22" s="49"/>
      <c r="F22" s="31"/>
      <c r="G22" s="31"/>
      <c r="H22" s="31"/>
      <c r="I22" s="31"/>
      <c r="J22" s="31"/>
      <c r="K22" s="31"/>
      <c r="L22" s="31"/>
      <c r="M22" s="31"/>
      <c r="N22" s="32"/>
      <c r="O22" s="32"/>
      <c r="P22" s="33"/>
      <c r="Q22" s="34"/>
      <c r="R22" s="34"/>
      <c r="S22" s="34"/>
      <c r="T22" s="34"/>
    </row>
    <row r="23" spans="2:20" ht="14.1" customHeight="1" x14ac:dyDescent="0.2">
      <c r="B23" s="30"/>
      <c r="C23" s="30"/>
      <c r="D23" s="30"/>
      <c r="E23" s="49"/>
      <c r="F23" s="31"/>
      <c r="G23" s="31"/>
      <c r="H23" s="31"/>
      <c r="I23" s="31"/>
      <c r="J23" s="31"/>
      <c r="K23" s="31"/>
      <c r="L23" s="31"/>
      <c r="M23" s="31"/>
      <c r="N23" s="32"/>
      <c r="O23" s="32"/>
      <c r="P23" s="33"/>
      <c r="Q23" s="34"/>
      <c r="R23" s="34"/>
      <c r="S23" s="34"/>
      <c r="T23" s="34"/>
    </row>
    <row r="24" spans="2:20" ht="14.1" customHeight="1" x14ac:dyDescent="0.2">
      <c r="B24" s="30"/>
      <c r="C24" s="30"/>
      <c r="D24" s="30"/>
      <c r="E24" s="49"/>
      <c r="F24" s="31"/>
      <c r="G24" s="31"/>
      <c r="H24" s="31"/>
      <c r="I24" s="31"/>
      <c r="J24" s="31"/>
      <c r="K24" s="31"/>
      <c r="L24" s="31"/>
      <c r="M24" s="31"/>
      <c r="N24" s="32"/>
      <c r="O24" s="32"/>
      <c r="P24" s="33"/>
      <c r="Q24" s="34"/>
      <c r="R24" s="34"/>
      <c r="S24" s="34"/>
      <c r="T24" s="34"/>
    </row>
    <row r="25" spans="2:20" ht="14.1" customHeight="1" x14ac:dyDescent="0.2">
      <c r="B25" s="30"/>
      <c r="C25" s="30"/>
      <c r="D25" s="30"/>
      <c r="E25" s="49"/>
      <c r="F25" s="31"/>
      <c r="G25" s="31"/>
      <c r="H25" s="31"/>
      <c r="I25" s="31"/>
      <c r="J25" s="31"/>
      <c r="K25" s="31"/>
      <c r="L25" s="31"/>
      <c r="M25" s="31"/>
      <c r="N25" s="32"/>
      <c r="O25" s="32"/>
      <c r="P25" s="33"/>
      <c r="Q25" s="34"/>
      <c r="R25" s="34"/>
      <c r="S25" s="34"/>
      <c r="T25" s="34"/>
    </row>
    <row r="26" spans="2:20" ht="14.1" customHeight="1" x14ac:dyDescent="0.2">
      <c r="B26" s="30"/>
      <c r="C26" s="30"/>
      <c r="D26" s="30"/>
      <c r="E26" s="49"/>
      <c r="F26" s="31"/>
      <c r="G26" s="31"/>
      <c r="H26" s="31"/>
      <c r="I26" s="31"/>
      <c r="J26" s="31"/>
      <c r="K26" s="31"/>
      <c r="L26" s="31"/>
      <c r="M26" s="31"/>
      <c r="N26" s="32"/>
      <c r="O26" s="32"/>
      <c r="P26" s="33"/>
      <c r="Q26" s="34"/>
      <c r="R26" s="34"/>
      <c r="S26" s="34"/>
      <c r="T26" s="34"/>
    </row>
    <row r="27" spans="2:20" ht="14.1" customHeight="1" x14ac:dyDescent="0.2">
      <c r="B27" s="30"/>
      <c r="C27" s="30"/>
      <c r="D27" s="30"/>
      <c r="E27" s="49"/>
      <c r="F27" s="31"/>
      <c r="G27" s="31"/>
      <c r="H27" s="31"/>
      <c r="I27" s="31"/>
      <c r="J27" s="31"/>
      <c r="K27" s="31"/>
      <c r="L27" s="31"/>
      <c r="M27" s="31"/>
      <c r="N27" s="32"/>
      <c r="O27" s="32"/>
      <c r="P27" s="33"/>
      <c r="Q27" s="34"/>
      <c r="R27" s="34"/>
      <c r="S27" s="34"/>
      <c r="T27" s="34"/>
    </row>
    <row r="28" spans="2:20" ht="14.1" customHeight="1" x14ac:dyDescent="0.2">
      <c r="B28" s="30"/>
      <c r="C28" s="30"/>
      <c r="D28" s="30"/>
      <c r="E28" s="49"/>
      <c r="F28" s="31"/>
      <c r="G28" s="31"/>
      <c r="H28" s="31"/>
      <c r="I28" s="31"/>
      <c r="J28" s="31"/>
      <c r="K28" s="31"/>
      <c r="L28" s="31"/>
      <c r="M28" s="31"/>
      <c r="N28" s="32"/>
      <c r="O28" s="32"/>
      <c r="P28" s="33"/>
      <c r="Q28" s="34"/>
      <c r="R28" s="34"/>
      <c r="S28" s="34"/>
      <c r="T28" s="34"/>
    </row>
    <row r="29" spans="2:20" ht="14.1" customHeight="1" x14ac:dyDescent="0.2">
      <c r="B29" s="30"/>
      <c r="C29" s="30"/>
      <c r="D29" s="30"/>
      <c r="E29" s="49"/>
      <c r="F29" s="31"/>
      <c r="G29" s="31"/>
      <c r="H29" s="31"/>
      <c r="I29" s="31"/>
      <c r="J29" s="31"/>
      <c r="K29" s="31"/>
      <c r="L29" s="31"/>
      <c r="M29" s="31"/>
      <c r="N29" s="32"/>
      <c r="O29" s="32"/>
      <c r="P29" s="33"/>
      <c r="Q29" s="34"/>
      <c r="R29" s="34"/>
      <c r="S29" s="34"/>
      <c r="T29" s="34"/>
    </row>
    <row r="30" spans="2:20" ht="14.1" customHeight="1" x14ac:dyDescent="0.2">
      <c r="B30" s="30"/>
      <c r="C30" s="30"/>
      <c r="D30" s="30"/>
      <c r="E30" s="49"/>
      <c r="F30" s="31"/>
      <c r="G30" s="31"/>
      <c r="H30" s="31"/>
      <c r="I30" s="31"/>
      <c r="J30" s="31"/>
      <c r="K30" s="31"/>
      <c r="L30" s="31"/>
      <c r="M30" s="31"/>
      <c r="N30" s="32"/>
      <c r="O30" s="32"/>
      <c r="P30" s="33"/>
      <c r="Q30" s="34"/>
      <c r="R30" s="34"/>
      <c r="S30" s="34"/>
      <c r="T30" s="34"/>
    </row>
    <row r="31" spans="2:20" ht="14.1" customHeight="1" x14ac:dyDescent="0.2">
      <c r="B31" s="30"/>
      <c r="C31" s="30"/>
      <c r="D31" s="30"/>
      <c r="E31" s="49"/>
      <c r="F31" s="31"/>
      <c r="G31" s="31"/>
      <c r="H31" s="31"/>
      <c r="I31" s="31"/>
      <c r="J31" s="31"/>
      <c r="K31" s="31"/>
      <c r="L31" s="31"/>
      <c r="M31" s="31"/>
      <c r="N31" s="32"/>
      <c r="O31" s="32"/>
      <c r="P31" s="33"/>
      <c r="Q31" s="34"/>
      <c r="R31" s="34"/>
      <c r="S31" s="34"/>
      <c r="T31" s="34"/>
    </row>
    <row r="32" spans="2:20" ht="14.1" customHeight="1" x14ac:dyDescent="0.2">
      <c r="B32" s="30"/>
      <c r="C32" s="30"/>
      <c r="D32" s="30"/>
      <c r="E32" s="49"/>
      <c r="F32" s="31"/>
      <c r="G32" s="31"/>
      <c r="H32" s="31"/>
      <c r="I32" s="31"/>
      <c r="J32" s="31"/>
      <c r="K32" s="31"/>
      <c r="L32" s="31"/>
      <c r="M32" s="31"/>
      <c r="N32" s="32"/>
      <c r="O32" s="32"/>
      <c r="P32" s="33"/>
      <c r="Q32" s="34"/>
      <c r="R32" s="34"/>
      <c r="S32" s="34"/>
      <c r="T32" s="34"/>
    </row>
    <row r="33" spans="2:20" ht="14.1" customHeight="1" x14ac:dyDescent="0.2">
      <c r="B33" s="30"/>
      <c r="C33" s="30"/>
      <c r="D33" s="30"/>
      <c r="E33" s="49"/>
      <c r="F33" s="31"/>
      <c r="G33" s="31"/>
      <c r="H33" s="31"/>
      <c r="I33" s="31"/>
      <c r="J33" s="31"/>
      <c r="K33" s="31"/>
      <c r="L33" s="31"/>
      <c r="M33" s="31"/>
      <c r="N33" s="32"/>
      <c r="O33" s="32"/>
      <c r="P33" s="33"/>
      <c r="Q33" s="34"/>
      <c r="R33" s="34"/>
      <c r="S33" s="34"/>
      <c r="T33" s="34"/>
    </row>
    <row r="34" spans="2:20" ht="14.1" customHeight="1" x14ac:dyDescent="0.2">
      <c r="B34" s="30"/>
      <c r="C34" s="30"/>
      <c r="D34" s="30"/>
      <c r="E34" s="49"/>
      <c r="F34" s="31"/>
      <c r="G34" s="31"/>
      <c r="H34" s="31"/>
      <c r="I34" s="31"/>
      <c r="J34" s="31"/>
      <c r="K34" s="31"/>
      <c r="L34" s="31"/>
      <c r="M34" s="31"/>
      <c r="N34" s="32"/>
      <c r="O34" s="32"/>
      <c r="P34" s="33"/>
      <c r="Q34" s="34"/>
      <c r="R34" s="34"/>
      <c r="S34" s="34"/>
      <c r="T34" s="34"/>
    </row>
    <row r="35" spans="2:20" ht="14.1" customHeight="1" x14ac:dyDescent="0.2">
      <c r="B35" s="30"/>
      <c r="C35" s="30"/>
      <c r="D35" s="30"/>
      <c r="E35" s="49"/>
      <c r="F35" s="31"/>
      <c r="G35" s="31"/>
      <c r="H35" s="31"/>
      <c r="I35" s="31"/>
      <c r="J35" s="31"/>
      <c r="K35" s="31"/>
      <c r="L35" s="31"/>
      <c r="M35" s="31"/>
      <c r="N35" s="32"/>
      <c r="O35" s="32"/>
      <c r="P35" s="33"/>
      <c r="Q35" s="34"/>
      <c r="R35" s="34"/>
      <c r="S35" s="34"/>
      <c r="T35" s="34"/>
    </row>
    <row r="36" spans="2:20" ht="14.1" customHeight="1" x14ac:dyDescent="0.2">
      <c r="B36" s="30"/>
      <c r="C36" s="30"/>
      <c r="D36" s="30"/>
      <c r="E36" s="49"/>
      <c r="F36" s="31"/>
      <c r="G36" s="31"/>
      <c r="H36" s="31"/>
      <c r="I36" s="31"/>
      <c r="J36" s="31"/>
      <c r="K36" s="31"/>
      <c r="L36" s="31"/>
      <c r="M36" s="31"/>
      <c r="N36" s="32"/>
      <c r="O36" s="32"/>
      <c r="P36" s="33"/>
      <c r="Q36" s="34"/>
      <c r="R36" s="34"/>
      <c r="S36" s="34"/>
      <c r="T36" s="34"/>
    </row>
    <row r="37" spans="2:20" ht="14.1" customHeight="1" x14ac:dyDescent="0.2">
      <c r="B37" s="30"/>
      <c r="C37" s="30"/>
      <c r="D37" s="30"/>
      <c r="E37" s="49"/>
      <c r="F37" s="31"/>
      <c r="G37" s="31"/>
      <c r="H37" s="31"/>
      <c r="I37" s="31"/>
      <c r="J37" s="31"/>
      <c r="K37" s="31"/>
      <c r="L37" s="31"/>
      <c r="M37" s="31"/>
      <c r="N37" s="32"/>
      <c r="O37" s="32"/>
      <c r="P37" s="33"/>
      <c r="Q37" s="34"/>
      <c r="R37" s="34"/>
      <c r="S37" s="34"/>
      <c r="T37" s="34"/>
    </row>
    <row r="38" spans="2:20" ht="14.1" customHeight="1" x14ac:dyDescent="0.2">
      <c r="B38" s="30"/>
      <c r="C38" s="30"/>
      <c r="D38" s="30"/>
      <c r="E38" s="49"/>
      <c r="F38" s="31"/>
      <c r="G38" s="31"/>
      <c r="H38" s="31"/>
      <c r="I38" s="31"/>
      <c r="J38" s="31"/>
      <c r="K38" s="31"/>
      <c r="L38" s="31"/>
      <c r="M38" s="31"/>
      <c r="N38" s="32"/>
      <c r="O38" s="32"/>
      <c r="P38" s="33"/>
      <c r="Q38" s="34"/>
      <c r="R38" s="34"/>
      <c r="S38" s="34"/>
      <c r="T38" s="34"/>
    </row>
    <row r="39" spans="2:20" ht="14.1" customHeight="1" x14ac:dyDescent="0.2">
      <c r="B39" s="30"/>
      <c r="C39" s="30"/>
      <c r="D39" s="30"/>
      <c r="E39" s="49"/>
      <c r="F39" s="31"/>
      <c r="G39" s="31"/>
      <c r="H39" s="31"/>
      <c r="I39" s="31"/>
      <c r="J39" s="31"/>
      <c r="K39" s="31"/>
      <c r="L39" s="31"/>
      <c r="M39" s="31"/>
      <c r="N39" s="32"/>
      <c r="O39" s="32"/>
      <c r="P39" s="33"/>
      <c r="Q39" s="34"/>
      <c r="R39" s="34"/>
      <c r="S39" s="34"/>
      <c r="T39" s="34"/>
    </row>
    <row r="40" spans="2:20" ht="14.1" customHeight="1" x14ac:dyDescent="0.2">
      <c r="B40" s="30"/>
      <c r="C40" s="30"/>
      <c r="D40" s="30"/>
      <c r="E40" s="49"/>
      <c r="F40" s="31"/>
      <c r="G40" s="31"/>
      <c r="H40" s="31"/>
      <c r="I40" s="31"/>
      <c r="J40" s="31"/>
      <c r="K40" s="31"/>
      <c r="L40" s="31"/>
      <c r="M40" s="31"/>
      <c r="N40" s="32"/>
      <c r="O40" s="32"/>
      <c r="P40" s="33"/>
      <c r="Q40" s="34"/>
      <c r="R40" s="34"/>
      <c r="S40" s="34"/>
      <c r="T40" s="34"/>
    </row>
    <row r="41" spans="2:20" ht="14.1" customHeight="1" x14ac:dyDescent="0.2">
      <c r="B41" s="30"/>
      <c r="C41" s="30"/>
      <c r="D41" s="30"/>
      <c r="E41" s="49"/>
      <c r="F41" s="31"/>
      <c r="G41" s="31"/>
      <c r="H41" s="31"/>
      <c r="I41" s="31"/>
      <c r="J41" s="31"/>
      <c r="K41" s="31"/>
      <c r="L41" s="31"/>
      <c r="M41" s="31"/>
      <c r="N41" s="32"/>
      <c r="O41" s="32"/>
      <c r="P41" s="33"/>
      <c r="Q41" s="34"/>
      <c r="R41" s="34"/>
      <c r="S41" s="34"/>
      <c r="T41" s="34"/>
    </row>
    <row r="42" spans="2:20" ht="14.1" customHeight="1" x14ac:dyDescent="0.2">
      <c r="B42" s="30"/>
      <c r="C42" s="30"/>
      <c r="D42" s="30"/>
      <c r="E42" s="49"/>
      <c r="F42" s="31"/>
      <c r="G42" s="31"/>
      <c r="H42" s="31"/>
      <c r="I42" s="31"/>
      <c r="J42" s="31"/>
      <c r="K42" s="31"/>
      <c r="L42" s="31"/>
      <c r="M42" s="31"/>
      <c r="N42" s="32"/>
      <c r="O42" s="32"/>
      <c r="P42" s="33"/>
      <c r="Q42" s="34"/>
      <c r="R42" s="34"/>
      <c r="S42" s="34"/>
      <c r="T42" s="34"/>
    </row>
    <row r="43" spans="2:20" ht="14.1" customHeight="1" x14ac:dyDescent="0.2">
      <c r="B43" s="30"/>
      <c r="C43" s="30"/>
      <c r="D43" s="30"/>
      <c r="E43" s="49"/>
      <c r="F43" s="31"/>
      <c r="G43" s="31"/>
      <c r="H43" s="31"/>
      <c r="I43" s="31"/>
      <c r="J43" s="31"/>
      <c r="K43" s="31"/>
      <c r="L43" s="31"/>
      <c r="M43" s="31"/>
      <c r="N43" s="32"/>
      <c r="O43" s="32"/>
      <c r="P43" s="33"/>
      <c r="Q43" s="34"/>
      <c r="R43" s="34"/>
      <c r="S43" s="34"/>
      <c r="T43" s="34"/>
    </row>
    <row r="44" spans="2:20" ht="14.1" customHeight="1" x14ac:dyDescent="0.2">
      <c r="B44" s="30"/>
      <c r="C44" s="30"/>
      <c r="D44" s="30"/>
      <c r="E44" s="49"/>
      <c r="F44" s="31"/>
      <c r="G44" s="31"/>
      <c r="H44" s="31"/>
      <c r="I44" s="31"/>
      <c r="J44" s="31"/>
      <c r="K44" s="31"/>
      <c r="L44" s="31"/>
      <c r="M44" s="31"/>
      <c r="N44" s="32"/>
      <c r="O44" s="32"/>
      <c r="P44" s="33"/>
      <c r="Q44" s="34"/>
      <c r="R44" s="34"/>
      <c r="S44" s="34"/>
      <c r="T44" s="34"/>
    </row>
    <row r="45" spans="2:20" ht="14.1" customHeight="1" x14ac:dyDescent="0.2">
      <c r="B45" s="30"/>
      <c r="C45" s="30"/>
      <c r="D45" s="30"/>
      <c r="E45" s="49"/>
      <c r="F45" s="31"/>
      <c r="G45" s="31"/>
      <c r="H45" s="31"/>
      <c r="I45" s="31"/>
      <c r="J45" s="31"/>
      <c r="K45" s="31"/>
      <c r="L45" s="31"/>
      <c r="M45" s="31"/>
      <c r="N45" s="32"/>
      <c r="O45" s="32"/>
      <c r="P45" s="33"/>
      <c r="Q45" s="34"/>
      <c r="R45" s="34"/>
      <c r="S45" s="34"/>
      <c r="T45" s="34"/>
    </row>
    <row r="46" spans="2:20" ht="14.1" customHeight="1" x14ac:dyDescent="0.2">
      <c r="B46" s="30"/>
      <c r="C46" s="30"/>
      <c r="D46" s="30"/>
      <c r="E46" s="49"/>
      <c r="F46" s="31"/>
      <c r="G46" s="31"/>
      <c r="H46" s="31"/>
      <c r="I46" s="31"/>
      <c r="J46" s="31"/>
      <c r="K46" s="31"/>
      <c r="L46" s="31"/>
      <c r="M46" s="31"/>
      <c r="N46" s="32"/>
      <c r="O46" s="32"/>
      <c r="P46" s="33"/>
      <c r="Q46" s="34"/>
      <c r="R46" s="34"/>
      <c r="S46" s="34"/>
      <c r="T46" s="34"/>
    </row>
    <row r="47" spans="2:20" ht="14.1" customHeight="1" x14ac:dyDescent="0.2">
      <c r="B47" s="30"/>
      <c r="C47" s="30"/>
      <c r="D47" s="30"/>
      <c r="E47" s="49"/>
      <c r="F47" s="31"/>
      <c r="G47" s="31"/>
      <c r="H47" s="31"/>
      <c r="I47" s="31"/>
      <c r="J47" s="31"/>
      <c r="K47" s="31"/>
      <c r="L47" s="31"/>
      <c r="M47" s="31"/>
      <c r="N47" s="32"/>
      <c r="O47" s="32"/>
      <c r="P47" s="33"/>
      <c r="Q47" s="34"/>
      <c r="R47" s="34"/>
      <c r="S47" s="34"/>
      <c r="T47" s="34"/>
    </row>
    <row r="48" spans="2:20" ht="14.1" customHeight="1" x14ac:dyDescent="0.2">
      <c r="B48" s="30"/>
      <c r="C48" s="30"/>
      <c r="D48" s="30"/>
      <c r="E48" s="49"/>
      <c r="F48" s="31"/>
      <c r="G48" s="31"/>
      <c r="H48" s="31"/>
      <c r="I48" s="31"/>
      <c r="J48" s="31"/>
      <c r="K48" s="31"/>
      <c r="L48" s="31"/>
      <c r="M48" s="31"/>
      <c r="N48" s="32"/>
      <c r="O48" s="32"/>
      <c r="P48" s="33"/>
      <c r="Q48" s="34"/>
      <c r="R48" s="34"/>
      <c r="S48" s="34"/>
      <c r="T48" s="34"/>
    </row>
    <row r="49" spans="2:20" ht="14.1" customHeight="1" x14ac:dyDescent="0.2">
      <c r="B49" s="30"/>
      <c r="C49" s="30"/>
      <c r="D49" s="30"/>
      <c r="E49" s="49"/>
      <c r="F49" s="31"/>
      <c r="G49" s="31"/>
      <c r="H49" s="31"/>
      <c r="I49" s="31"/>
      <c r="J49" s="31"/>
      <c r="K49" s="31"/>
      <c r="L49" s="31"/>
      <c r="M49" s="31"/>
      <c r="N49" s="32"/>
      <c r="O49" s="32"/>
      <c r="P49" s="33"/>
      <c r="Q49" s="34"/>
      <c r="R49" s="34"/>
      <c r="S49" s="34"/>
      <c r="T49" s="34"/>
    </row>
    <row r="50" spans="2:20" ht="14.1" customHeight="1" x14ac:dyDescent="0.2">
      <c r="B50" s="30"/>
      <c r="C50" s="30"/>
      <c r="D50" s="30"/>
      <c r="E50" s="49"/>
      <c r="F50" s="31"/>
      <c r="G50" s="31"/>
      <c r="H50" s="31"/>
      <c r="I50" s="31"/>
      <c r="J50" s="31"/>
      <c r="K50" s="31"/>
      <c r="L50" s="31"/>
      <c r="M50" s="31"/>
      <c r="N50" s="32"/>
      <c r="O50" s="32"/>
      <c r="P50" s="33"/>
      <c r="Q50" s="34"/>
      <c r="R50" s="34"/>
      <c r="S50" s="34"/>
      <c r="T50" s="34"/>
    </row>
    <row r="51" spans="2:20" ht="14.1" customHeight="1" x14ac:dyDescent="0.2">
      <c r="B51" s="30"/>
      <c r="C51" s="30"/>
      <c r="D51" s="30"/>
      <c r="E51" s="49"/>
      <c r="F51" s="31"/>
      <c r="G51" s="31"/>
      <c r="H51" s="31"/>
      <c r="I51" s="31"/>
      <c r="J51" s="31"/>
      <c r="K51" s="31"/>
      <c r="L51" s="31"/>
      <c r="M51" s="31"/>
      <c r="N51" s="32"/>
      <c r="O51" s="32"/>
      <c r="P51" s="33"/>
      <c r="Q51" s="34"/>
      <c r="R51" s="34"/>
      <c r="S51" s="34"/>
      <c r="T51" s="34"/>
    </row>
    <row r="52" spans="2:20" ht="14.1" customHeight="1" x14ac:dyDescent="0.2">
      <c r="B52" s="30"/>
      <c r="C52" s="30"/>
      <c r="D52" s="30"/>
      <c r="E52" s="49"/>
      <c r="F52" s="31"/>
      <c r="G52" s="31"/>
      <c r="H52" s="31"/>
      <c r="I52" s="31"/>
      <c r="J52" s="31"/>
      <c r="K52" s="31"/>
      <c r="L52" s="31"/>
      <c r="M52" s="31"/>
      <c r="N52" s="32"/>
      <c r="O52" s="32"/>
      <c r="P52" s="33"/>
      <c r="Q52" s="34"/>
      <c r="R52" s="34"/>
      <c r="S52" s="34"/>
      <c r="T52" s="34"/>
    </row>
    <row r="53" spans="2:20" ht="14.1" customHeight="1" x14ac:dyDescent="0.2">
      <c r="B53" s="30"/>
      <c r="C53" s="30"/>
      <c r="D53" s="30"/>
      <c r="E53" s="49"/>
      <c r="F53" s="31"/>
      <c r="G53" s="31"/>
      <c r="H53" s="31"/>
      <c r="I53" s="31"/>
      <c r="J53" s="31"/>
      <c r="K53" s="31"/>
      <c r="L53" s="31"/>
      <c r="M53" s="31"/>
      <c r="N53" s="32"/>
      <c r="O53" s="32"/>
      <c r="P53" s="33"/>
      <c r="Q53" s="34"/>
      <c r="R53" s="34"/>
      <c r="S53" s="34"/>
      <c r="T53" s="34"/>
    </row>
    <row r="54" spans="2:20" ht="14.1" customHeight="1" x14ac:dyDescent="0.2">
      <c r="B54" s="30"/>
      <c r="C54" s="30"/>
      <c r="D54" s="30"/>
      <c r="E54" s="49"/>
      <c r="F54" s="31"/>
      <c r="G54" s="31"/>
      <c r="H54" s="31"/>
      <c r="I54" s="31"/>
      <c r="J54" s="31"/>
      <c r="K54" s="31"/>
      <c r="L54" s="31"/>
      <c r="M54" s="31"/>
      <c r="N54" s="32"/>
      <c r="O54" s="32"/>
      <c r="P54" s="33"/>
      <c r="Q54" s="34"/>
      <c r="R54" s="34"/>
      <c r="S54" s="34"/>
      <c r="T54" s="34"/>
    </row>
    <row r="55" spans="2:20" ht="14.1" customHeight="1" x14ac:dyDescent="0.2">
      <c r="B55" s="30"/>
      <c r="C55" s="30"/>
      <c r="D55" s="30"/>
      <c r="E55" s="49"/>
      <c r="F55" s="31"/>
      <c r="G55" s="31"/>
      <c r="H55" s="31"/>
      <c r="I55" s="31"/>
      <c r="J55" s="31"/>
      <c r="K55" s="31"/>
      <c r="L55" s="31"/>
      <c r="M55" s="31"/>
      <c r="N55" s="32"/>
      <c r="O55" s="32"/>
      <c r="P55" s="33"/>
      <c r="Q55" s="34"/>
      <c r="R55" s="34"/>
      <c r="S55" s="34"/>
      <c r="T55" s="34"/>
    </row>
    <row r="56" spans="2:20" ht="14.1" customHeight="1" x14ac:dyDescent="0.2">
      <c r="B56" s="30"/>
      <c r="C56" s="30"/>
      <c r="D56" s="30"/>
      <c r="E56" s="49"/>
      <c r="F56" s="31"/>
      <c r="G56" s="31"/>
      <c r="H56" s="31"/>
      <c r="I56" s="31"/>
      <c r="J56" s="31"/>
      <c r="K56" s="31"/>
      <c r="L56" s="31"/>
      <c r="M56" s="31"/>
      <c r="N56" s="32"/>
      <c r="O56" s="32"/>
      <c r="P56" s="33"/>
      <c r="Q56" s="34"/>
      <c r="R56" s="34"/>
      <c r="S56" s="34"/>
      <c r="T56" s="34"/>
    </row>
    <row r="57" spans="2:20" ht="14.1" customHeight="1" x14ac:dyDescent="0.2">
      <c r="B57" s="30"/>
      <c r="C57" s="30"/>
      <c r="D57" s="30"/>
      <c r="E57" s="49"/>
      <c r="F57" s="31"/>
      <c r="G57" s="31"/>
      <c r="H57" s="31"/>
      <c r="I57" s="31"/>
      <c r="J57" s="31"/>
      <c r="K57" s="31"/>
      <c r="L57" s="31"/>
      <c r="M57" s="31"/>
      <c r="N57" s="32"/>
      <c r="O57" s="32"/>
      <c r="P57" s="33"/>
      <c r="Q57" s="34"/>
      <c r="R57" s="34"/>
      <c r="S57" s="34"/>
      <c r="T57" s="34"/>
    </row>
    <row r="58" spans="2:20" ht="14.1" customHeight="1" x14ac:dyDescent="0.2">
      <c r="B58" s="30"/>
      <c r="C58" s="30"/>
      <c r="D58" s="30"/>
      <c r="E58" s="49"/>
      <c r="F58" s="31"/>
      <c r="G58" s="31"/>
      <c r="H58" s="31"/>
      <c r="I58" s="31"/>
      <c r="J58" s="31"/>
      <c r="K58" s="31"/>
      <c r="L58" s="31"/>
      <c r="M58" s="31"/>
      <c r="N58" s="32"/>
      <c r="O58" s="32"/>
      <c r="P58" s="33"/>
      <c r="Q58" s="34"/>
      <c r="R58" s="34"/>
      <c r="S58" s="34"/>
      <c r="T58" s="34"/>
    </row>
    <row r="59" spans="2:20" ht="14.1" customHeight="1" x14ac:dyDescent="0.2">
      <c r="B59" s="30"/>
      <c r="C59" s="30"/>
      <c r="D59" s="30"/>
      <c r="E59" s="49"/>
      <c r="F59" s="31"/>
      <c r="G59" s="31"/>
      <c r="H59" s="31"/>
      <c r="I59" s="31"/>
      <c r="J59" s="31"/>
      <c r="K59" s="31"/>
      <c r="L59" s="31"/>
      <c r="M59" s="31"/>
      <c r="N59" s="32"/>
      <c r="O59" s="32"/>
      <c r="P59" s="33"/>
      <c r="Q59" s="34"/>
      <c r="R59" s="34"/>
      <c r="S59" s="34"/>
      <c r="T59" s="34"/>
    </row>
    <row r="60" spans="2:20" ht="14.1" customHeight="1" x14ac:dyDescent="0.2">
      <c r="B60" s="30"/>
      <c r="C60" s="30"/>
      <c r="D60" s="30"/>
      <c r="E60" s="49"/>
      <c r="F60" s="31"/>
      <c r="G60" s="31"/>
      <c r="H60" s="31"/>
      <c r="I60" s="31"/>
      <c r="J60" s="31"/>
      <c r="K60" s="31"/>
      <c r="L60" s="31"/>
      <c r="M60" s="31"/>
      <c r="N60" s="32"/>
      <c r="O60" s="32"/>
      <c r="P60" s="33"/>
      <c r="Q60" s="34"/>
      <c r="R60" s="34"/>
      <c r="S60" s="34"/>
      <c r="T60" s="34"/>
    </row>
    <row r="61" spans="2:20" ht="14.1" customHeight="1" x14ac:dyDescent="0.2">
      <c r="B61" s="30"/>
      <c r="C61" s="30"/>
      <c r="D61" s="30"/>
      <c r="E61" s="49"/>
      <c r="F61" s="31"/>
      <c r="G61" s="31"/>
      <c r="H61" s="31"/>
      <c r="I61" s="31"/>
      <c r="J61" s="31"/>
      <c r="K61" s="31"/>
      <c r="L61" s="31"/>
      <c r="M61" s="31"/>
      <c r="N61" s="32"/>
      <c r="O61" s="32"/>
      <c r="P61" s="33"/>
      <c r="Q61" s="34"/>
      <c r="R61" s="34"/>
      <c r="S61" s="34"/>
      <c r="T61" s="34"/>
    </row>
    <row r="62" spans="2:20" ht="14.1" customHeight="1" x14ac:dyDescent="0.2">
      <c r="B62" s="30"/>
      <c r="C62" s="30"/>
      <c r="D62" s="30"/>
      <c r="E62" s="49"/>
      <c r="F62" s="31"/>
      <c r="G62" s="31"/>
      <c r="H62" s="31"/>
      <c r="I62" s="31"/>
      <c r="J62" s="31"/>
      <c r="K62" s="31"/>
      <c r="L62" s="31"/>
      <c r="M62" s="31"/>
      <c r="N62" s="32"/>
      <c r="O62" s="32"/>
      <c r="P62" s="33"/>
      <c r="Q62" s="34"/>
      <c r="R62" s="34"/>
      <c r="S62" s="34"/>
      <c r="T62" s="34"/>
    </row>
    <row r="63" spans="2:20" ht="14.1" customHeight="1" x14ac:dyDescent="0.2">
      <c r="B63" s="30"/>
      <c r="C63" s="30"/>
      <c r="D63" s="30"/>
      <c r="E63" s="49"/>
      <c r="F63" s="31"/>
      <c r="G63" s="31"/>
      <c r="H63" s="31"/>
      <c r="I63" s="31"/>
      <c r="J63" s="31"/>
      <c r="K63" s="31"/>
      <c r="L63" s="31"/>
      <c r="M63" s="31"/>
      <c r="N63" s="32"/>
      <c r="O63" s="32"/>
      <c r="P63" s="33"/>
      <c r="Q63" s="34"/>
      <c r="R63" s="34"/>
      <c r="S63" s="34"/>
      <c r="T63" s="34"/>
    </row>
    <row r="64" spans="2:20" ht="14.1" customHeight="1" x14ac:dyDescent="0.2">
      <c r="B64" s="30"/>
      <c r="C64" s="30"/>
      <c r="D64" s="30"/>
      <c r="E64" s="49"/>
      <c r="F64" s="31"/>
      <c r="G64" s="31"/>
      <c r="H64" s="31"/>
      <c r="I64" s="31"/>
      <c r="J64" s="31"/>
      <c r="K64" s="31"/>
      <c r="L64" s="31"/>
      <c r="M64" s="31"/>
      <c r="N64" s="32"/>
      <c r="O64" s="32"/>
      <c r="P64" s="33"/>
      <c r="Q64" s="34"/>
      <c r="R64" s="34"/>
      <c r="S64" s="34"/>
      <c r="T64" s="34"/>
    </row>
    <row r="65" spans="2:20" ht="14.1" customHeight="1" x14ac:dyDescent="0.2">
      <c r="B65" s="30"/>
      <c r="C65" s="30"/>
      <c r="D65" s="30"/>
      <c r="E65" s="49"/>
      <c r="F65" s="31"/>
      <c r="G65" s="31"/>
      <c r="H65" s="31"/>
      <c r="I65" s="31"/>
      <c r="J65" s="31"/>
      <c r="K65" s="31"/>
      <c r="L65" s="31"/>
      <c r="M65" s="31"/>
      <c r="N65" s="32"/>
      <c r="O65" s="32"/>
      <c r="P65" s="33"/>
      <c r="Q65" s="34"/>
      <c r="R65" s="34"/>
      <c r="S65" s="34"/>
      <c r="T65" s="34"/>
    </row>
    <row r="66" spans="2:20" ht="14.1" customHeight="1" x14ac:dyDescent="0.2">
      <c r="B66" s="30"/>
      <c r="C66" s="30"/>
      <c r="D66" s="30"/>
      <c r="E66" s="49"/>
      <c r="F66" s="31"/>
      <c r="G66" s="31"/>
      <c r="H66" s="31"/>
      <c r="I66" s="31"/>
      <c r="J66" s="31"/>
      <c r="K66" s="31"/>
      <c r="L66" s="31"/>
      <c r="M66" s="31"/>
      <c r="N66" s="32"/>
      <c r="O66" s="32"/>
      <c r="P66" s="33"/>
      <c r="Q66" s="34"/>
      <c r="R66" s="34"/>
      <c r="S66" s="34"/>
      <c r="T66" s="34"/>
    </row>
    <row r="67" spans="2:20" ht="14.1" customHeight="1" x14ac:dyDescent="0.2">
      <c r="B67" s="30"/>
      <c r="C67" s="30"/>
      <c r="D67" s="30"/>
      <c r="E67" s="49"/>
      <c r="F67" s="31"/>
      <c r="G67" s="31"/>
      <c r="H67" s="31"/>
      <c r="I67" s="31"/>
      <c r="J67" s="31"/>
      <c r="K67" s="31"/>
      <c r="L67" s="31"/>
      <c r="M67" s="31"/>
      <c r="N67" s="32"/>
      <c r="O67" s="32"/>
      <c r="P67" s="33"/>
      <c r="Q67" s="34"/>
      <c r="R67" s="34"/>
      <c r="S67" s="34"/>
      <c r="T67" s="34"/>
    </row>
    <row r="68" spans="2:20" ht="14.1" customHeight="1" x14ac:dyDescent="0.2">
      <c r="B68" s="30"/>
      <c r="C68" s="30"/>
      <c r="D68" s="30"/>
      <c r="E68" s="49"/>
      <c r="F68" s="31"/>
      <c r="G68" s="31"/>
      <c r="H68" s="31"/>
      <c r="I68" s="31"/>
      <c r="J68" s="31"/>
      <c r="K68" s="31"/>
      <c r="L68" s="31"/>
      <c r="M68" s="31"/>
      <c r="N68" s="32"/>
      <c r="O68" s="32"/>
      <c r="P68" s="33"/>
      <c r="Q68" s="34"/>
      <c r="R68" s="34"/>
      <c r="S68" s="34"/>
      <c r="T68" s="34"/>
    </row>
    <row r="69" spans="2:20" ht="14.1" customHeight="1" x14ac:dyDescent="0.2">
      <c r="B69" s="30"/>
      <c r="C69" s="30"/>
      <c r="D69" s="30"/>
      <c r="E69" s="49"/>
      <c r="F69" s="31"/>
      <c r="G69" s="31"/>
      <c r="H69" s="31"/>
      <c r="I69" s="31"/>
      <c r="J69" s="31"/>
      <c r="K69" s="31"/>
      <c r="L69" s="31"/>
      <c r="M69" s="31"/>
      <c r="N69" s="32"/>
      <c r="O69" s="32"/>
      <c r="P69" s="33"/>
      <c r="Q69" s="34"/>
      <c r="R69" s="34"/>
      <c r="S69" s="34"/>
      <c r="T69" s="34"/>
    </row>
    <row r="70" spans="2:20" ht="14.1" customHeight="1" x14ac:dyDescent="0.2">
      <c r="B70" s="30"/>
      <c r="C70" s="30"/>
      <c r="D70" s="30"/>
      <c r="E70" s="49"/>
      <c r="F70" s="31"/>
      <c r="G70" s="31"/>
      <c r="H70" s="31"/>
      <c r="I70" s="31"/>
      <c r="J70" s="31"/>
      <c r="K70" s="31"/>
      <c r="L70" s="31"/>
      <c r="M70" s="31"/>
      <c r="N70" s="32"/>
      <c r="O70" s="32"/>
      <c r="P70" s="33"/>
      <c r="Q70" s="34"/>
      <c r="R70" s="34"/>
      <c r="S70" s="34"/>
      <c r="T70" s="34"/>
    </row>
    <row r="71" spans="2:20" ht="14.1" customHeight="1" x14ac:dyDescent="0.2">
      <c r="B71" s="30"/>
      <c r="C71" s="30"/>
      <c r="D71" s="30"/>
      <c r="E71" s="49"/>
      <c r="F71" s="31"/>
      <c r="G71" s="31"/>
      <c r="H71" s="31"/>
      <c r="I71" s="31"/>
      <c r="J71" s="31"/>
      <c r="K71" s="31"/>
      <c r="L71" s="31"/>
      <c r="M71" s="31"/>
      <c r="N71" s="32"/>
      <c r="O71" s="32"/>
      <c r="P71" s="33"/>
      <c r="Q71" s="34"/>
      <c r="R71" s="34"/>
      <c r="S71" s="34"/>
      <c r="T71" s="34"/>
    </row>
    <row r="72" spans="2:20" ht="14.1" customHeight="1" x14ac:dyDescent="0.2">
      <c r="B72" s="30"/>
      <c r="C72" s="30"/>
      <c r="D72" s="30"/>
      <c r="E72" s="49"/>
      <c r="F72" s="31"/>
      <c r="G72" s="31"/>
      <c r="H72" s="31"/>
      <c r="I72" s="31"/>
      <c r="J72" s="31"/>
      <c r="K72" s="31"/>
      <c r="L72" s="31"/>
      <c r="M72" s="31"/>
      <c r="N72" s="32"/>
      <c r="O72" s="32"/>
      <c r="P72" s="33"/>
      <c r="Q72" s="34"/>
      <c r="R72" s="34"/>
      <c r="S72" s="34"/>
      <c r="T72" s="34"/>
    </row>
    <row r="73" spans="2:20" ht="14.1" customHeight="1" x14ac:dyDescent="0.2">
      <c r="B73" s="30"/>
      <c r="C73" s="30"/>
      <c r="D73" s="30"/>
      <c r="E73" s="49"/>
      <c r="F73" s="31"/>
      <c r="G73" s="31"/>
      <c r="H73" s="31"/>
      <c r="I73" s="31"/>
      <c r="J73" s="31"/>
      <c r="K73" s="31"/>
      <c r="L73" s="31"/>
      <c r="M73" s="31"/>
      <c r="N73" s="32"/>
      <c r="O73" s="32"/>
      <c r="P73" s="33"/>
      <c r="Q73" s="34"/>
      <c r="R73" s="34"/>
      <c r="S73" s="34"/>
      <c r="T73" s="34"/>
    </row>
    <row r="74" spans="2:20" ht="14.1" customHeight="1" x14ac:dyDescent="0.2">
      <c r="B74" s="30"/>
      <c r="C74" s="30"/>
      <c r="D74" s="30"/>
      <c r="E74" s="49"/>
      <c r="F74" s="31"/>
      <c r="G74" s="31"/>
      <c r="H74" s="31"/>
      <c r="I74" s="31"/>
      <c r="J74" s="31"/>
      <c r="K74" s="31"/>
      <c r="L74" s="31"/>
      <c r="M74" s="31"/>
      <c r="N74" s="32"/>
      <c r="O74" s="32"/>
      <c r="P74" s="33"/>
      <c r="Q74" s="34"/>
      <c r="R74" s="34"/>
      <c r="S74" s="34"/>
      <c r="T74" s="34"/>
    </row>
    <row r="75" spans="2:20" ht="14.1" customHeight="1" x14ac:dyDescent="0.2">
      <c r="B75" s="30"/>
      <c r="C75" s="30"/>
      <c r="D75" s="30"/>
      <c r="E75" s="49"/>
      <c r="F75" s="31"/>
      <c r="G75" s="31"/>
      <c r="H75" s="31"/>
      <c r="I75" s="31"/>
      <c r="J75" s="31"/>
      <c r="K75" s="31"/>
      <c r="L75" s="31"/>
      <c r="M75" s="31"/>
      <c r="N75" s="32"/>
      <c r="O75" s="32"/>
      <c r="P75" s="33"/>
      <c r="Q75" s="34"/>
      <c r="R75" s="34"/>
      <c r="S75" s="34"/>
      <c r="T75" s="34"/>
    </row>
    <row r="76" spans="2:20" ht="14.1" customHeight="1" x14ac:dyDescent="0.2">
      <c r="B76" s="30"/>
      <c r="C76" s="30"/>
      <c r="D76" s="30"/>
      <c r="E76" s="49"/>
      <c r="F76" s="31"/>
      <c r="G76" s="31"/>
      <c r="H76" s="31"/>
      <c r="I76" s="31"/>
      <c r="J76" s="31"/>
      <c r="K76" s="31"/>
      <c r="L76" s="31"/>
      <c r="M76" s="31"/>
      <c r="N76" s="32"/>
      <c r="O76" s="32"/>
      <c r="P76" s="33"/>
      <c r="Q76" s="34"/>
      <c r="R76" s="34"/>
      <c r="S76" s="34"/>
      <c r="T76" s="34"/>
    </row>
    <row r="77" spans="2:20" ht="14.1" customHeight="1" x14ac:dyDescent="0.2">
      <c r="B77" s="30"/>
      <c r="C77" s="30"/>
      <c r="D77" s="30"/>
      <c r="E77" s="49"/>
      <c r="F77" s="31"/>
      <c r="G77" s="31"/>
      <c r="H77" s="31"/>
      <c r="I77" s="31"/>
      <c r="J77" s="31"/>
      <c r="K77" s="31"/>
      <c r="L77" s="31"/>
      <c r="M77" s="31"/>
      <c r="N77" s="32"/>
      <c r="O77" s="32"/>
      <c r="P77" s="33"/>
      <c r="Q77" s="34"/>
      <c r="R77" s="34"/>
      <c r="S77" s="34"/>
      <c r="T77" s="34"/>
    </row>
    <row r="78" spans="2:20" ht="14.1" customHeight="1" x14ac:dyDescent="0.2">
      <c r="B78" s="30"/>
      <c r="C78" s="30"/>
      <c r="D78" s="30"/>
      <c r="E78" s="49"/>
      <c r="F78" s="31"/>
      <c r="G78" s="31"/>
      <c r="H78" s="31"/>
      <c r="I78" s="31"/>
      <c r="J78" s="31"/>
      <c r="K78" s="31"/>
      <c r="L78" s="31"/>
      <c r="M78" s="31"/>
      <c r="N78" s="32"/>
      <c r="O78" s="32"/>
      <c r="P78" s="33"/>
      <c r="Q78" s="34"/>
      <c r="R78" s="34"/>
      <c r="S78" s="34"/>
      <c r="T78" s="34"/>
    </row>
    <row r="79" spans="2:20" ht="14.1" customHeight="1" x14ac:dyDescent="0.2">
      <c r="B79" s="30"/>
      <c r="C79" s="30"/>
      <c r="D79" s="30"/>
      <c r="E79" s="49"/>
      <c r="F79" s="31"/>
      <c r="G79" s="31"/>
      <c r="H79" s="31"/>
      <c r="I79" s="31"/>
      <c r="J79" s="31"/>
      <c r="K79" s="31"/>
      <c r="L79" s="31"/>
      <c r="M79" s="31"/>
      <c r="N79" s="32"/>
      <c r="O79" s="32"/>
      <c r="P79" s="33"/>
      <c r="Q79" s="34"/>
      <c r="R79" s="34"/>
      <c r="S79" s="34"/>
      <c r="T79" s="34"/>
    </row>
    <row r="80" spans="2:20" ht="14.1" customHeight="1" x14ac:dyDescent="0.2">
      <c r="B80" s="30"/>
      <c r="C80" s="30"/>
      <c r="D80" s="30"/>
      <c r="E80" s="49"/>
      <c r="F80" s="31"/>
      <c r="G80" s="31"/>
      <c r="H80" s="31"/>
      <c r="I80" s="31"/>
      <c r="J80" s="31"/>
      <c r="K80" s="31"/>
      <c r="L80" s="31"/>
      <c r="M80" s="31"/>
      <c r="N80" s="32"/>
      <c r="O80" s="32"/>
      <c r="P80" s="33"/>
      <c r="Q80" s="34"/>
      <c r="R80" s="34"/>
      <c r="S80" s="34"/>
      <c r="T80" s="34"/>
    </row>
    <row r="81" spans="2:20" ht="14.1" customHeight="1" x14ac:dyDescent="0.2">
      <c r="B81" s="30"/>
      <c r="C81" s="30"/>
      <c r="D81" s="30"/>
      <c r="E81" s="49"/>
      <c r="F81" s="31"/>
      <c r="G81" s="31"/>
      <c r="H81" s="31"/>
      <c r="I81" s="31"/>
      <c r="J81" s="31"/>
      <c r="K81" s="31"/>
      <c r="L81" s="31"/>
      <c r="M81" s="31"/>
      <c r="N81" s="32"/>
      <c r="O81" s="32"/>
      <c r="P81" s="33"/>
      <c r="Q81" s="34"/>
      <c r="R81" s="34"/>
      <c r="S81" s="34"/>
      <c r="T81" s="34"/>
    </row>
    <row r="82" spans="2:20" ht="14.1" customHeight="1" x14ac:dyDescent="0.2">
      <c r="B82" s="30"/>
      <c r="C82" s="30"/>
      <c r="D82" s="30"/>
      <c r="E82" s="49"/>
      <c r="F82" s="31"/>
      <c r="G82" s="31"/>
      <c r="H82" s="31"/>
      <c r="I82" s="31"/>
      <c r="J82" s="31"/>
      <c r="K82" s="31"/>
      <c r="L82" s="31"/>
      <c r="M82" s="31"/>
      <c r="N82" s="32"/>
      <c r="O82" s="32"/>
      <c r="P82" s="33"/>
      <c r="Q82" s="34"/>
      <c r="R82" s="34"/>
      <c r="S82" s="34"/>
      <c r="T82" s="34"/>
    </row>
    <row r="83" spans="2:20" ht="14.1" customHeight="1" x14ac:dyDescent="0.2">
      <c r="B83" s="30"/>
      <c r="C83" s="30"/>
      <c r="D83" s="30"/>
      <c r="E83" s="49"/>
      <c r="F83" s="31"/>
      <c r="G83" s="31"/>
      <c r="H83" s="31"/>
      <c r="I83" s="31"/>
      <c r="J83" s="31"/>
      <c r="K83" s="31"/>
      <c r="L83" s="31"/>
      <c r="M83" s="31"/>
      <c r="N83" s="32"/>
      <c r="O83" s="32"/>
      <c r="P83" s="33"/>
      <c r="Q83" s="34"/>
      <c r="R83" s="34"/>
      <c r="S83" s="34"/>
      <c r="T83" s="34"/>
    </row>
    <row r="84" spans="2:20" ht="14.1" customHeight="1" x14ac:dyDescent="0.2">
      <c r="B84" s="30"/>
      <c r="C84" s="30"/>
      <c r="D84" s="30"/>
      <c r="E84" s="49"/>
      <c r="F84" s="31"/>
      <c r="G84" s="31"/>
      <c r="H84" s="31"/>
      <c r="I84" s="31"/>
      <c r="J84" s="31"/>
      <c r="K84" s="31"/>
      <c r="L84" s="31"/>
      <c r="M84" s="31"/>
      <c r="N84" s="32"/>
      <c r="O84" s="32"/>
      <c r="P84" s="33"/>
      <c r="Q84" s="34"/>
      <c r="R84" s="34"/>
      <c r="S84" s="34"/>
      <c r="T84" s="34"/>
    </row>
    <row r="85" spans="2:20" ht="14.1" customHeight="1" x14ac:dyDescent="0.2">
      <c r="B85" s="30"/>
      <c r="C85" s="30"/>
      <c r="D85" s="30"/>
      <c r="E85" s="49"/>
      <c r="F85" s="31"/>
      <c r="G85" s="31"/>
      <c r="H85" s="31"/>
      <c r="I85" s="31"/>
      <c r="J85" s="31"/>
      <c r="K85" s="31"/>
      <c r="L85" s="31"/>
      <c r="M85" s="31"/>
      <c r="N85" s="32"/>
      <c r="O85" s="32"/>
      <c r="P85" s="33"/>
      <c r="Q85" s="34"/>
      <c r="R85" s="34"/>
      <c r="S85" s="34"/>
      <c r="T85" s="34"/>
    </row>
    <row r="86" spans="2:20" ht="14.1" customHeight="1" x14ac:dyDescent="0.2">
      <c r="B86" s="30"/>
      <c r="C86" s="30"/>
      <c r="D86" s="30"/>
      <c r="E86" s="49"/>
      <c r="F86" s="31"/>
      <c r="G86" s="31"/>
      <c r="H86" s="31"/>
      <c r="I86" s="31"/>
      <c r="J86" s="31"/>
      <c r="K86" s="31"/>
      <c r="L86" s="31"/>
      <c r="M86" s="31"/>
      <c r="N86" s="32"/>
      <c r="O86" s="32"/>
      <c r="P86" s="33"/>
      <c r="Q86" s="34"/>
      <c r="R86" s="34"/>
      <c r="S86" s="34"/>
      <c r="T86" s="34"/>
    </row>
    <row r="87" spans="2:20" ht="14.1" customHeight="1" x14ac:dyDescent="0.2">
      <c r="B87" s="30"/>
      <c r="C87" s="30"/>
      <c r="D87" s="30"/>
      <c r="E87" s="49"/>
      <c r="F87" s="31"/>
      <c r="G87" s="31"/>
      <c r="H87" s="31"/>
      <c r="I87" s="31"/>
      <c r="J87" s="31"/>
      <c r="K87" s="31"/>
      <c r="L87" s="31"/>
      <c r="M87" s="31"/>
      <c r="N87" s="32"/>
      <c r="O87" s="32"/>
      <c r="P87" s="33"/>
      <c r="Q87" s="34"/>
      <c r="R87" s="34"/>
      <c r="S87" s="34"/>
      <c r="T87" s="34"/>
    </row>
    <row r="88" spans="2:20" ht="14.1" customHeight="1" x14ac:dyDescent="0.2">
      <c r="B88" s="30"/>
      <c r="C88" s="30"/>
      <c r="D88" s="30"/>
      <c r="E88" s="49"/>
      <c r="F88" s="31"/>
      <c r="G88" s="31"/>
      <c r="H88" s="31"/>
      <c r="I88" s="31"/>
      <c r="J88" s="31"/>
      <c r="K88" s="31"/>
      <c r="L88" s="31"/>
      <c r="M88" s="31"/>
      <c r="N88" s="32"/>
      <c r="O88" s="32"/>
      <c r="P88" s="33"/>
      <c r="Q88" s="34"/>
      <c r="R88" s="34"/>
      <c r="S88" s="34"/>
      <c r="T88" s="34"/>
    </row>
    <row r="89" spans="2:20" ht="14.1" customHeight="1" x14ac:dyDescent="0.2">
      <c r="B89" s="30"/>
      <c r="C89" s="30"/>
      <c r="D89" s="30"/>
      <c r="E89" s="49"/>
      <c r="F89" s="31"/>
      <c r="G89" s="31"/>
      <c r="H89" s="31"/>
      <c r="I89" s="31"/>
      <c r="J89" s="31"/>
      <c r="K89" s="31"/>
      <c r="L89" s="31"/>
      <c r="M89" s="31"/>
      <c r="N89" s="32"/>
      <c r="O89" s="32"/>
      <c r="P89" s="33"/>
      <c r="Q89" s="34"/>
      <c r="R89" s="34"/>
      <c r="S89" s="34"/>
      <c r="T89" s="34"/>
    </row>
    <row r="90" spans="2:20" ht="14.1" customHeight="1" x14ac:dyDescent="0.2">
      <c r="B90" s="30"/>
      <c r="C90" s="30"/>
      <c r="D90" s="30"/>
      <c r="E90" s="49"/>
      <c r="F90" s="31"/>
      <c r="G90" s="31"/>
      <c r="H90" s="31"/>
      <c r="I90" s="31"/>
      <c r="J90" s="31"/>
      <c r="K90" s="31"/>
      <c r="L90" s="31"/>
      <c r="M90" s="31"/>
      <c r="N90" s="32"/>
      <c r="O90" s="32"/>
      <c r="P90" s="33"/>
      <c r="Q90" s="34"/>
      <c r="R90" s="34"/>
      <c r="S90" s="34"/>
      <c r="T90" s="34"/>
    </row>
    <row r="91" spans="2:20" ht="14.1" customHeight="1" x14ac:dyDescent="0.2">
      <c r="B91" s="30"/>
      <c r="C91" s="30"/>
      <c r="D91" s="30"/>
      <c r="E91" s="49"/>
      <c r="F91" s="31"/>
      <c r="G91" s="31"/>
      <c r="H91" s="31"/>
      <c r="I91" s="31"/>
      <c r="J91" s="31"/>
      <c r="K91" s="31"/>
      <c r="L91" s="31"/>
      <c r="M91" s="31"/>
      <c r="N91" s="32"/>
      <c r="O91" s="32"/>
      <c r="P91" s="33"/>
      <c r="Q91" s="34"/>
      <c r="R91" s="34"/>
      <c r="S91" s="34"/>
      <c r="T91" s="34"/>
    </row>
    <row r="92" spans="2:20" ht="14.1" customHeight="1" x14ac:dyDescent="0.2">
      <c r="B92" s="30"/>
      <c r="C92" s="30"/>
      <c r="D92" s="30"/>
      <c r="E92" s="49"/>
      <c r="F92" s="31"/>
      <c r="G92" s="31"/>
      <c r="H92" s="31"/>
      <c r="I92" s="31"/>
      <c r="J92" s="31"/>
      <c r="K92" s="31"/>
      <c r="L92" s="31"/>
      <c r="M92" s="31"/>
      <c r="N92" s="32"/>
      <c r="O92" s="32"/>
      <c r="P92" s="33"/>
      <c r="Q92" s="34"/>
      <c r="R92" s="34"/>
      <c r="S92" s="34"/>
      <c r="T92" s="34"/>
    </row>
    <row r="93" spans="2:20" ht="14.1" customHeight="1" x14ac:dyDescent="0.2">
      <c r="B93" s="30"/>
      <c r="C93" s="30"/>
      <c r="D93" s="30"/>
      <c r="E93" s="49"/>
      <c r="F93" s="31"/>
      <c r="G93" s="31"/>
      <c r="H93" s="31"/>
      <c r="I93" s="31"/>
      <c r="J93" s="31"/>
      <c r="K93" s="31"/>
      <c r="L93" s="31"/>
      <c r="M93" s="31"/>
      <c r="N93" s="32"/>
      <c r="O93" s="32"/>
      <c r="P93" s="33"/>
      <c r="Q93" s="34"/>
      <c r="R93" s="34"/>
      <c r="S93" s="34"/>
      <c r="T93" s="34"/>
    </row>
    <row r="94" spans="2:20" ht="14.1" customHeight="1" x14ac:dyDescent="0.2">
      <c r="B94" s="30"/>
      <c r="C94" s="30"/>
      <c r="D94" s="30"/>
      <c r="E94" s="49"/>
      <c r="F94" s="31"/>
      <c r="G94" s="31"/>
      <c r="H94" s="31"/>
      <c r="I94" s="31"/>
      <c r="J94" s="31"/>
      <c r="K94" s="31"/>
      <c r="L94" s="31"/>
      <c r="M94" s="31"/>
      <c r="N94" s="32"/>
      <c r="O94" s="32"/>
      <c r="P94" s="33"/>
      <c r="Q94" s="34"/>
      <c r="R94" s="34"/>
      <c r="S94" s="34"/>
      <c r="T94" s="34"/>
    </row>
    <row r="95" spans="2:20" ht="14.1" customHeight="1" x14ac:dyDescent="0.2">
      <c r="B95" s="30"/>
      <c r="C95" s="30"/>
      <c r="D95" s="30"/>
      <c r="E95" s="49"/>
      <c r="F95" s="31"/>
      <c r="G95" s="31"/>
      <c r="H95" s="31"/>
      <c r="I95" s="31"/>
      <c r="J95" s="31"/>
      <c r="K95" s="31"/>
      <c r="L95" s="31"/>
      <c r="M95" s="31"/>
      <c r="N95" s="32"/>
      <c r="O95" s="32"/>
      <c r="P95" s="33"/>
      <c r="Q95" s="34"/>
      <c r="R95" s="34"/>
      <c r="S95" s="34"/>
      <c r="T95" s="34"/>
    </row>
    <row r="96" spans="2:20" ht="14.1" customHeight="1" x14ac:dyDescent="0.2">
      <c r="B96" s="30"/>
      <c r="C96" s="30"/>
      <c r="D96" s="30"/>
      <c r="E96" s="49"/>
      <c r="F96" s="31"/>
      <c r="G96" s="31"/>
      <c r="H96" s="31"/>
      <c r="I96" s="31"/>
      <c r="J96" s="31"/>
      <c r="K96" s="31"/>
      <c r="L96" s="31"/>
      <c r="M96" s="31"/>
      <c r="N96" s="32"/>
      <c r="O96" s="32"/>
      <c r="P96" s="33"/>
      <c r="Q96" s="34"/>
      <c r="R96" s="34"/>
      <c r="S96" s="34"/>
      <c r="T96" s="34"/>
    </row>
    <row r="97" spans="2:20" ht="14.1" customHeight="1" x14ac:dyDescent="0.2">
      <c r="B97" s="30"/>
      <c r="C97" s="30"/>
      <c r="D97" s="30"/>
      <c r="E97" s="49"/>
      <c r="F97" s="31"/>
      <c r="G97" s="31"/>
      <c r="H97" s="31"/>
      <c r="I97" s="31"/>
      <c r="J97" s="31"/>
      <c r="K97" s="31"/>
      <c r="L97" s="31"/>
      <c r="M97" s="31"/>
      <c r="N97" s="32"/>
      <c r="O97" s="32"/>
      <c r="P97" s="33"/>
      <c r="Q97" s="34"/>
      <c r="R97" s="34"/>
      <c r="S97" s="34"/>
      <c r="T97" s="34"/>
    </row>
    <row r="98" spans="2:20" ht="14.1" customHeight="1" x14ac:dyDescent="0.2">
      <c r="B98" s="30"/>
      <c r="C98" s="30"/>
      <c r="D98" s="30"/>
      <c r="E98" s="49"/>
      <c r="F98" s="31"/>
      <c r="G98" s="31"/>
      <c r="H98" s="31"/>
      <c r="I98" s="31"/>
      <c r="J98" s="31"/>
      <c r="K98" s="31"/>
      <c r="L98" s="31"/>
      <c r="M98" s="31"/>
      <c r="N98" s="32"/>
      <c r="O98" s="32"/>
      <c r="P98" s="33"/>
      <c r="Q98" s="34"/>
      <c r="R98" s="34"/>
      <c r="S98" s="34"/>
      <c r="T98" s="34"/>
    </row>
    <row r="99" spans="2:20" ht="14.1" customHeight="1" x14ac:dyDescent="0.2">
      <c r="B99" s="30"/>
      <c r="C99" s="30"/>
      <c r="D99" s="30"/>
      <c r="E99" s="49"/>
      <c r="F99" s="31"/>
      <c r="G99" s="31"/>
      <c r="H99" s="31"/>
      <c r="I99" s="31"/>
      <c r="J99" s="31"/>
      <c r="K99" s="31"/>
      <c r="L99" s="31"/>
      <c r="M99" s="31"/>
      <c r="N99" s="32"/>
      <c r="O99" s="32"/>
      <c r="P99" s="33"/>
      <c r="Q99" s="34"/>
      <c r="R99" s="34"/>
      <c r="S99" s="34"/>
      <c r="T99" s="34"/>
    </row>
    <row r="100" spans="2:20" ht="14.1" customHeight="1" x14ac:dyDescent="0.2">
      <c r="B100" s="30"/>
      <c r="C100" s="30"/>
      <c r="D100" s="30"/>
      <c r="E100" s="49"/>
      <c r="F100" s="31"/>
      <c r="G100" s="31"/>
      <c r="H100" s="31"/>
      <c r="I100" s="31"/>
      <c r="J100" s="31"/>
      <c r="K100" s="31"/>
      <c r="L100" s="31"/>
      <c r="M100" s="31"/>
      <c r="N100" s="32"/>
      <c r="O100" s="32"/>
      <c r="P100" s="33"/>
      <c r="Q100" s="34"/>
      <c r="R100" s="34"/>
      <c r="S100" s="34"/>
      <c r="T100" s="34"/>
    </row>
    <row r="101" spans="2:20" ht="14.1" customHeight="1" x14ac:dyDescent="0.2">
      <c r="B101" s="30"/>
      <c r="C101" s="30"/>
      <c r="D101" s="30"/>
      <c r="E101" s="49"/>
      <c r="F101" s="31"/>
      <c r="G101" s="31"/>
      <c r="H101" s="31"/>
      <c r="I101" s="31"/>
      <c r="J101" s="31"/>
      <c r="K101" s="31"/>
      <c r="L101" s="31"/>
      <c r="M101" s="31"/>
      <c r="N101" s="32"/>
      <c r="O101" s="32"/>
      <c r="P101" s="33"/>
      <c r="Q101" s="34"/>
      <c r="R101" s="34"/>
      <c r="S101" s="34"/>
      <c r="T101" s="34"/>
    </row>
    <row r="102" spans="2:20" ht="14.1" customHeight="1" x14ac:dyDescent="0.2">
      <c r="B102" s="30"/>
      <c r="C102" s="30"/>
      <c r="D102" s="30"/>
      <c r="E102" s="49"/>
      <c r="F102" s="31"/>
      <c r="G102" s="31"/>
      <c r="H102" s="31"/>
      <c r="I102" s="31"/>
      <c r="J102" s="31"/>
      <c r="K102" s="31"/>
      <c r="L102" s="31"/>
      <c r="M102" s="31"/>
      <c r="N102" s="32"/>
      <c r="O102" s="32"/>
      <c r="P102" s="33"/>
      <c r="Q102" s="34"/>
      <c r="R102" s="34"/>
      <c r="S102" s="34"/>
      <c r="T102" s="34"/>
    </row>
    <row r="103" spans="2:20" ht="14.1" customHeight="1" x14ac:dyDescent="0.2">
      <c r="B103" s="30"/>
      <c r="C103" s="30"/>
      <c r="D103" s="30"/>
      <c r="E103" s="49"/>
      <c r="F103" s="31"/>
      <c r="G103" s="31"/>
      <c r="H103" s="31"/>
      <c r="I103" s="31"/>
      <c r="J103" s="31"/>
      <c r="K103" s="31"/>
      <c r="L103" s="31"/>
      <c r="M103" s="31"/>
      <c r="N103" s="32"/>
      <c r="O103" s="32"/>
      <c r="P103" s="33"/>
      <c r="Q103" s="34"/>
      <c r="R103" s="34"/>
      <c r="S103" s="34"/>
      <c r="T103" s="34"/>
    </row>
    <row r="104" spans="2:20" ht="14.1" customHeight="1" x14ac:dyDescent="0.2">
      <c r="B104" s="30"/>
      <c r="C104" s="30"/>
      <c r="D104" s="30"/>
      <c r="E104" s="49"/>
      <c r="F104" s="31"/>
      <c r="G104" s="31"/>
      <c r="H104" s="31"/>
      <c r="I104" s="31"/>
      <c r="J104" s="31"/>
      <c r="K104" s="31"/>
      <c r="L104" s="31"/>
      <c r="M104" s="31"/>
      <c r="N104" s="32"/>
      <c r="O104" s="32"/>
      <c r="P104" s="33"/>
      <c r="Q104" s="34"/>
      <c r="R104" s="34"/>
      <c r="S104" s="34"/>
      <c r="T104" s="34"/>
    </row>
    <row r="105" spans="2:20" ht="14.1" customHeight="1" x14ac:dyDescent="0.2">
      <c r="B105" s="30"/>
      <c r="C105" s="30"/>
      <c r="D105" s="30"/>
      <c r="E105" s="49"/>
      <c r="F105" s="31"/>
      <c r="G105" s="31"/>
      <c r="H105" s="31"/>
      <c r="I105" s="31"/>
      <c r="J105" s="31"/>
      <c r="K105" s="31"/>
      <c r="L105" s="31"/>
      <c r="M105" s="31"/>
      <c r="N105" s="32"/>
      <c r="O105" s="32"/>
      <c r="P105" s="33"/>
      <c r="Q105" s="34"/>
      <c r="R105" s="34"/>
      <c r="S105" s="34"/>
      <c r="T105" s="34"/>
    </row>
    <row r="106" spans="2:20" ht="14.1" customHeight="1" x14ac:dyDescent="0.2">
      <c r="B106" s="30"/>
      <c r="C106" s="30"/>
      <c r="D106" s="30"/>
      <c r="E106" s="49"/>
      <c r="F106" s="31"/>
      <c r="G106" s="31"/>
      <c r="H106" s="31"/>
      <c r="I106" s="31"/>
      <c r="J106" s="31"/>
      <c r="K106" s="31"/>
      <c r="L106" s="31"/>
      <c r="M106" s="31"/>
      <c r="N106" s="32"/>
      <c r="O106" s="32"/>
      <c r="P106" s="33"/>
      <c r="Q106" s="34"/>
      <c r="R106" s="34"/>
      <c r="S106" s="34"/>
      <c r="T106" s="34"/>
    </row>
    <row r="107" spans="2:20" ht="14.1" customHeight="1" x14ac:dyDescent="0.2">
      <c r="B107" s="30"/>
      <c r="C107" s="30"/>
      <c r="D107" s="30"/>
      <c r="E107" s="49"/>
      <c r="F107" s="31"/>
      <c r="G107" s="31"/>
      <c r="H107" s="31"/>
      <c r="I107" s="31"/>
      <c r="J107" s="31"/>
      <c r="K107" s="31"/>
      <c r="L107" s="31"/>
      <c r="M107" s="31"/>
      <c r="N107" s="32"/>
      <c r="O107" s="32"/>
      <c r="P107" s="33"/>
      <c r="Q107" s="34"/>
      <c r="R107" s="34"/>
      <c r="S107" s="34"/>
      <c r="T107" s="34"/>
    </row>
    <row r="108" spans="2:20" ht="14.1" customHeight="1" x14ac:dyDescent="0.2">
      <c r="B108" s="30"/>
      <c r="C108" s="30"/>
      <c r="D108" s="30"/>
      <c r="E108" s="49"/>
      <c r="F108" s="31"/>
      <c r="G108" s="31"/>
      <c r="H108" s="31"/>
      <c r="I108" s="31"/>
      <c r="J108" s="31"/>
      <c r="K108" s="31"/>
      <c r="L108" s="31"/>
      <c r="M108" s="31"/>
      <c r="N108" s="32"/>
      <c r="O108" s="32"/>
      <c r="P108" s="33"/>
      <c r="Q108" s="34"/>
      <c r="R108" s="34"/>
      <c r="S108" s="34"/>
      <c r="T108" s="34"/>
    </row>
    <row r="109" spans="2:20" ht="14.1" customHeight="1" x14ac:dyDescent="0.2">
      <c r="B109" s="30"/>
      <c r="C109" s="30"/>
      <c r="D109" s="30"/>
      <c r="E109" s="49"/>
      <c r="F109" s="31"/>
      <c r="G109" s="31"/>
      <c r="H109" s="31"/>
      <c r="I109" s="31"/>
      <c r="J109" s="31"/>
      <c r="K109" s="31"/>
      <c r="L109" s="31"/>
      <c r="M109" s="31"/>
      <c r="N109" s="32"/>
      <c r="O109" s="32"/>
      <c r="P109" s="33"/>
      <c r="Q109" s="34"/>
      <c r="R109" s="34"/>
      <c r="S109" s="34"/>
      <c r="T109" s="34"/>
    </row>
    <row r="110" spans="2:20" ht="14.1" customHeight="1" x14ac:dyDescent="0.2">
      <c r="B110" s="30"/>
      <c r="C110" s="30"/>
      <c r="D110" s="30"/>
      <c r="E110" s="49"/>
      <c r="F110" s="31"/>
      <c r="G110" s="31"/>
      <c r="H110" s="31"/>
      <c r="I110" s="31"/>
      <c r="J110" s="31"/>
      <c r="K110" s="31"/>
      <c r="L110" s="31"/>
      <c r="M110" s="31"/>
      <c r="N110" s="32"/>
      <c r="O110" s="32"/>
      <c r="P110" s="33"/>
      <c r="Q110" s="34"/>
      <c r="R110" s="34"/>
      <c r="S110" s="34"/>
      <c r="T110" s="34"/>
    </row>
    <row r="111" spans="2:20" ht="14.1" customHeight="1" x14ac:dyDescent="0.2">
      <c r="B111" s="30"/>
      <c r="C111" s="30"/>
      <c r="D111" s="30"/>
      <c r="E111" s="49"/>
      <c r="F111" s="31"/>
      <c r="G111" s="31"/>
      <c r="H111" s="31"/>
      <c r="I111" s="31"/>
      <c r="J111" s="31"/>
      <c r="K111" s="31"/>
      <c r="L111" s="31"/>
      <c r="M111" s="31"/>
      <c r="N111" s="32"/>
      <c r="O111" s="32"/>
      <c r="P111" s="33"/>
      <c r="Q111" s="34"/>
      <c r="R111" s="34"/>
      <c r="S111" s="34"/>
      <c r="T111" s="34"/>
    </row>
    <row r="112" spans="2:20" ht="14.1" customHeight="1" x14ac:dyDescent="0.2">
      <c r="B112" s="30"/>
      <c r="C112" s="30"/>
      <c r="D112" s="30"/>
      <c r="E112" s="49"/>
      <c r="F112" s="31"/>
      <c r="G112" s="31"/>
      <c r="H112" s="31"/>
      <c r="I112" s="31"/>
      <c r="J112" s="31"/>
      <c r="K112" s="31"/>
      <c r="L112" s="31"/>
      <c r="M112" s="31"/>
      <c r="N112" s="32"/>
      <c r="O112" s="32"/>
      <c r="P112" s="33"/>
      <c r="Q112" s="34"/>
      <c r="R112" s="34"/>
      <c r="S112" s="34"/>
      <c r="T112" s="34"/>
    </row>
    <row r="113" spans="2:20" ht="14.1" customHeight="1" x14ac:dyDescent="0.2">
      <c r="B113" s="30"/>
      <c r="C113" s="30"/>
      <c r="D113" s="30"/>
      <c r="E113" s="49"/>
      <c r="F113" s="31"/>
      <c r="G113" s="31"/>
      <c r="H113" s="31"/>
      <c r="I113" s="31"/>
      <c r="J113" s="31"/>
      <c r="K113" s="31"/>
      <c r="L113" s="31"/>
      <c r="M113" s="31"/>
      <c r="N113" s="32"/>
      <c r="O113" s="32"/>
      <c r="P113" s="33"/>
      <c r="Q113" s="34"/>
      <c r="R113" s="34"/>
      <c r="S113" s="34"/>
      <c r="T113" s="34"/>
    </row>
    <row r="114" spans="2:20" ht="14.1" customHeight="1" x14ac:dyDescent="0.2">
      <c r="B114" s="30"/>
      <c r="C114" s="30"/>
      <c r="D114" s="30"/>
      <c r="E114" s="49"/>
      <c r="F114" s="31"/>
      <c r="G114" s="31"/>
      <c r="H114" s="31"/>
      <c r="I114" s="31"/>
      <c r="J114" s="31"/>
      <c r="K114" s="31"/>
      <c r="L114" s="31"/>
      <c r="M114" s="31"/>
      <c r="N114" s="32"/>
      <c r="O114" s="32"/>
      <c r="P114" s="33"/>
      <c r="Q114" s="34"/>
      <c r="R114" s="34"/>
      <c r="S114" s="34"/>
      <c r="T114" s="34"/>
    </row>
    <row r="115" spans="2:20" ht="14.1" customHeight="1" x14ac:dyDescent="0.2">
      <c r="B115" s="30"/>
      <c r="C115" s="30"/>
      <c r="D115" s="30"/>
      <c r="E115" s="49"/>
      <c r="F115" s="31"/>
      <c r="G115" s="31"/>
      <c r="H115" s="31"/>
      <c r="I115" s="31"/>
      <c r="J115" s="31"/>
      <c r="K115" s="31"/>
      <c r="L115" s="31"/>
      <c r="M115" s="31"/>
      <c r="N115" s="32"/>
      <c r="O115" s="32"/>
      <c r="P115" s="33"/>
      <c r="Q115" s="34"/>
      <c r="R115" s="34"/>
      <c r="S115" s="34"/>
      <c r="T115" s="34"/>
    </row>
    <row r="116" spans="2:20" ht="14.1" customHeight="1" x14ac:dyDescent="0.2">
      <c r="B116" s="30"/>
      <c r="C116" s="30"/>
      <c r="D116" s="30"/>
      <c r="E116" s="49"/>
      <c r="F116" s="31"/>
      <c r="G116" s="31"/>
      <c r="H116" s="31"/>
      <c r="I116" s="31"/>
      <c r="J116" s="31"/>
      <c r="K116" s="31"/>
      <c r="L116" s="31"/>
      <c r="M116" s="31"/>
      <c r="N116" s="32"/>
      <c r="O116" s="32"/>
      <c r="P116" s="33"/>
      <c r="Q116" s="34"/>
      <c r="R116" s="34"/>
      <c r="S116" s="34"/>
      <c r="T116" s="34"/>
    </row>
    <row r="117" spans="2:20" ht="14.1" customHeight="1" x14ac:dyDescent="0.2">
      <c r="B117" s="30"/>
      <c r="C117" s="30"/>
      <c r="D117" s="30"/>
      <c r="E117" s="49"/>
      <c r="F117" s="31"/>
      <c r="G117" s="31"/>
      <c r="H117" s="31"/>
      <c r="I117" s="31"/>
      <c r="J117" s="31"/>
      <c r="K117" s="31"/>
      <c r="L117" s="31"/>
      <c r="M117" s="31"/>
      <c r="N117" s="32"/>
      <c r="O117" s="32"/>
      <c r="P117" s="33"/>
      <c r="Q117" s="34"/>
      <c r="R117" s="34"/>
      <c r="S117" s="34"/>
      <c r="T117" s="34"/>
    </row>
    <row r="118" spans="2:20" ht="14.1" customHeight="1" x14ac:dyDescent="0.2">
      <c r="B118" s="30"/>
      <c r="C118" s="30"/>
      <c r="D118" s="30"/>
      <c r="E118" s="49"/>
      <c r="F118" s="31"/>
      <c r="G118" s="31"/>
      <c r="H118" s="31"/>
      <c r="I118" s="31"/>
      <c r="J118" s="31"/>
      <c r="K118" s="31"/>
      <c r="L118" s="31"/>
      <c r="M118" s="31"/>
      <c r="N118" s="32"/>
      <c r="O118" s="32"/>
      <c r="P118" s="33"/>
      <c r="Q118" s="34"/>
      <c r="R118" s="34"/>
      <c r="S118" s="34"/>
      <c r="T118" s="34"/>
    </row>
    <row r="119" spans="2:20" ht="14.1" customHeight="1" x14ac:dyDescent="0.2">
      <c r="B119" s="30"/>
      <c r="C119" s="30"/>
      <c r="D119" s="30"/>
      <c r="E119" s="49"/>
      <c r="F119" s="31"/>
      <c r="G119" s="31"/>
      <c r="H119" s="31"/>
      <c r="I119" s="31"/>
      <c r="J119" s="31"/>
      <c r="K119" s="31"/>
      <c r="L119" s="31"/>
      <c r="M119" s="31"/>
      <c r="N119" s="32"/>
      <c r="O119" s="32"/>
      <c r="P119" s="33"/>
      <c r="Q119" s="34"/>
      <c r="R119" s="34"/>
      <c r="S119" s="34"/>
      <c r="T119" s="34"/>
    </row>
    <row r="120" spans="2:20" ht="14.1" customHeight="1" x14ac:dyDescent="0.2">
      <c r="B120" s="30"/>
      <c r="C120" s="30"/>
      <c r="D120" s="30"/>
      <c r="E120" s="49"/>
      <c r="F120" s="31"/>
      <c r="G120" s="31"/>
      <c r="H120" s="31"/>
      <c r="I120" s="31"/>
      <c r="J120" s="31"/>
      <c r="K120" s="31"/>
      <c r="L120" s="31"/>
      <c r="M120" s="31"/>
      <c r="N120" s="32"/>
      <c r="O120" s="32"/>
      <c r="P120" s="33"/>
      <c r="Q120" s="34"/>
      <c r="R120" s="34"/>
      <c r="S120" s="34"/>
      <c r="T120" s="34"/>
    </row>
    <row r="121" spans="2:20" ht="14.1" customHeight="1" x14ac:dyDescent="0.2">
      <c r="B121" s="30"/>
      <c r="C121" s="30"/>
      <c r="D121" s="30"/>
      <c r="E121" s="49"/>
      <c r="F121" s="31"/>
      <c r="G121" s="31"/>
      <c r="H121" s="31"/>
      <c r="I121" s="31"/>
      <c r="J121" s="31"/>
      <c r="K121" s="31"/>
      <c r="L121" s="31"/>
      <c r="M121" s="31"/>
      <c r="N121" s="32"/>
      <c r="O121" s="32"/>
      <c r="P121" s="33"/>
      <c r="Q121" s="34"/>
      <c r="R121" s="34"/>
      <c r="S121" s="34"/>
      <c r="T121" s="34"/>
    </row>
    <row r="122" spans="2:20" ht="14.1" customHeight="1" x14ac:dyDescent="0.2">
      <c r="B122" s="30"/>
      <c r="C122" s="30"/>
      <c r="D122" s="30"/>
      <c r="E122" s="49"/>
      <c r="F122" s="31"/>
      <c r="G122" s="31"/>
      <c r="H122" s="31"/>
      <c r="I122" s="31"/>
      <c r="J122" s="31"/>
      <c r="K122" s="31"/>
      <c r="L122" s="31"/>
      <c r="M122" s="31"/>
      <c r="N122" s="32"/>
      <c r="O122" s="32"/>
      <c r="P122" s="33"/>
      <c r="Q122" s="34"/>
      <c r="R122" s="34"/>
      <c r="S122" s="34"/>
      <c r="T122" s="34"/>
    </row>
    <row r="123" spans="2:20" ht="14.1" customHeight="1" x14ac:dyDescent="0.2">
      <c r="B123" s="30"/>
      <c r="C123" s="30"/>
      <c r="D123" s="30"/>
      <c r="E123" s="49"/>
      <c r="F123" s="31"/>
      <c r="G123" s="31"/>
      <c r="H123" s="31"/>
      <c r="I123" s="31"/>
      <c r="J123" s="31"/>
      <c r="K123" s="31"/>
      <c r="L123" s="31"/>
      <c r="M123" s="31"/>
      <c r="N123" s="32"/>
      <c r="O123" s="32"/>
      <c r="P123" s="33"/>
      <c r="Q123" s="34"/>
      <c r="R123" s="34"/>
      <c r="S123" s="34"/>
      <c r="T123" s="34"/>
    </row>
    <row r="124" spans="2:20" ht="14.1" customHeight="1" x14ac:dyDescent="0.2">
      <c r="B124" s="30"/>
      <c r="C124" s="30"/>
      <c r="D124" s="30"/>
      <c r="E124" s="49"/>
      <c r="F124" s="31"/>
      <c r="G124" s="31"/>
      <c r="H124" s="31"/>
      <c r="I124" s="31"/>
      <c r="J124" s="31"/>
      <c r="K124" s="31"/>
      <c r="L124" s="31"/>
      <c r="M124" s="31"/>
      <c r="N124" s="32"/>
      <c r="O124" s="32"/>
      <c r="P124" s="33"/>
      <c r="Q124" s="34"/>
      <c r="R124" s="34"/>
      <c r="S124" s="34"/>
      <c r="T124" s="34"/>
    </row>
    <row r="125" spans="2:20" ht="14.1" customHeight="1" x14ac:dyDescent="0.2">
      <c r="B125" s="30"/>
      <c r="C125" s="30"/>
      <c r="D125" s="30"/>
      <c r="E125" s="49"/>
      <c r="F125" s="31"/>
      <c r="G125" s="31"/>
      <c r="H125" s="31"/>
      <c r="I125" s="31"/>
      <c r="J125" s="31"/>
      <c r="K125" s="31"/>
      <c r="L125" s="31"/>
      <c r="M125" s="31"/>
      <c r="N125" s="32"/>
      <c r="O125" s="32"/>
      <c r="P125" s="33"/>
      <c r="Q125" s="34"/>
      <c r="R125" s="34"/>
      <c r="S125" s="34"/>
      <c r="T125" s="34"/>
    </row>
    <row r="126" spans="2:20" ht="14.1" customHeight="1" x14ac:dyDescent="0.2">
      <c r="B126" s="30"/>
      <c r="C126" s="30"/>
      <c r="D126" s="30"/>
      <c r="E126" s="49"/>
      <c r="F126" s="31"/>
      <c r="G126" s="31"/>
      <c r="H126" s="31"/>
      <c r="I126" s="31"/>
      <c r="J126" s="31"/>
      <c r="K126" s="31"/>
      <c r="L126" s="31"/>
      <c r="M126" s="31"/>
      <c r="N126" s="32"/>
      <c r="O126" s="32"/>
      <c r="P126" s="33"/>
      <c r="Q126" s="34"/>
      <c r="R126" s="34"/>
      <c r="S126" s="34"/>
      <c r="T126" s="34"/>
    </row>
    <row r="127" spans="2:20" ht="14.1" customHeight="1" x14ac:dyDescent="0.2">
      <c r="B127" s="30"/>
      <c r="C127" s="30"/>
      <c r="D127" s="30"/>
      <c r="E127" s="49"/>
      <c r="F127" s="31"/>
      <c r="G127" s="31"/>
      <c r="H127" s="31"/>
      <c r="I127" s="31"/>
      <c r="J127" s="31"/>
      <c r="K127" s="31"/>
      <c r="L127" s="31"/>
      <c r="M127" s="31"/>
      <c r="N127" s="32"/>
      <c r="O127" s="32"/>
      <c r="P127" s="33"/>
      <c r="Q127" s="34"/>
      <c r="R127" s="34"/>
      <c r="S127" s="34"/>
      <c r="T127" s="34"/>
    </row>
    <row r="128" spans="2:20" ht="14.1" customHeight="1" x14ac:dyDescent="0.2">
      <c r="B128" s="30"/>
      <c r="C128" s="30"/>
      <c r="D128" s="30"/>
      <c r="E128" s="49"/>
      <c r="F128" s="31"/>
      <c r="G128" s="31"/>
      <c r="H128" s="31"/>
      <c r="I128" s="31"/>
      <c r="J128" s="31"/>
      <c r="K128" s="31"/>
      <c r="L128" s="31"/>
      <c r="M128" s="31"/>
      <c r="N128" s="32"/>
      <c r="O128" s="32"/>
      <c r="P128" s="33"/>
      <c r="Q128" s="34"/>
      <c r="R128" s="34"/>
      <c r="S128" s="34"/>
      <c r="T128" s="34"/>
    </row>
    <row r="129" spans="2:20" ht="14.1" customHeight="1" x14ac:dyDescent="0.2">
      <c r="B129" s="30"/>
      <c r="C129" s="30"/>
      <c r="D129" s="30"/>
      <c r="E129" s="49"/>
      <c r="F129" s="31"/>
      <c r="G129" s="31"/>
      <c r="H129" s="31"/>
      <c r="I129" s="31"/>
      <c r="J129" s="31"/>
      <c r="K129" s="31"/>
      <c r="L129" s="31"/>
      <c r="M129" s="31"/>
      <c r="N129" s="32"/>
      <c r="O129" s="32"/>
      <c r="P129" s="33"/>
      <c r="Q129" s="34"/>
      <c r="R129" s="34"/>
      <c r="S129" s="34"/>
      <c r="T129" s="34"/>
    </row>
    <row r="130" spans="2:20" ht="14.1" customHeight="1" x14ac:dyDescent="0.2">
      <c r="B130" s="30"/>
      <c r="C130" s="30"/>
      <c r="D130" s="30"/>
      <c r="E130" s="49"/>
      <c r="F130" s="31"/>
      <c r="G130" s="31"/>
      <c r="H130" s="31"/>
      <c r="I130" s="31"/>
      <c r="J130" s="31"/>
      <c r="K130" s="31"/>
      <c r="L130" s="31"/>
      <c r="M130" s="31"/>
      <c r="N130" s="32"/>
      <c r="O130" s="32"/>
      <c r="P130" s="33"/>
      <c r="Q130" s="34"/>
      <c r="R130" s="34"/>
      <c r="S130" s="34"/>
      <c r="T130" s="34"/>
    </row>
    <row r="131" spans="2:20" ht="14.1" customHeight="1" x14ac:dyDescent="0.2">
      <c r="B131" s="30"/>
      <c r="C131" s="30"/>
      <c r="D131" s="30"/>
      <c r="E131" s="49"/>
      <c r="F131" s="31"/>
      <c r="G131" s="31"/>
      <c r="H131" s="31"/>
      <c r="I131" s="31"/>
      <c r="J131" s="31"/>
      <c r="K131" s="31"/>
      <c r="L131" s="31"/>
      <c r="M131" s="31"/>
      <c r="N131" s="32"/>
      <c r="O131" s="32"/>
      <c r="P131" s="33"/>
      <c r="Q131" s="34"/>
      <c r="R131" s="34"/>
      <c r="S131" s="34"/>
      <c r="T131" s="34"/>
    </row>
    <row r="132" spans="2:20" ht="14.1" customHeight="1" x14ac:dyDescent="0.2">
      <c r="B132" s="30"/>
      <c r="C132" s="30"/>
      <c r="D132" s="30"/>
      <c r="E132" s="49"/>
      <c r="F132" s="31"/>
      <c r="G132" s="31"/>
      <c r="H132" s="31"/>
      <c r="I132" s="31"/>
      <c r="J132" s="31"/>
      <c r="K132" s="31"/>
      <c r="L132" s="31"/>
      <c r="M132" s="31"/>
      <c r="N132" s="32"/>
      <c r="O132" s="32"/>
      <c r="P132" s="33"/>
      <c r="Q132" s="34"/>
      <c r="R132" s="34"/>
      <c r="S132" s="34"/>
      <c r="T132" s="34"/>
    </row>
    <row r="133" spans="2:20" ht="14.1" customHeight="1" x14ac:dyDescent="0.2">
      <c r="B133" s="30"/>
      <c r="C133" s="30"/>
      <c r="D133" s="30"/>
      <c r="E133" s="49"/>
      <c r="F133" s="31"/>
      <c r="G133" s="31"/>
      <c r="H133" s="31"/>
      <c r="I133" s="31"/>
      <c r="J133" s="31"/>
      <c r="K133" s="31"/>
      <c r="L133" s="31"/>
      <c r="M133" s="31"/>
      <c r="N133" s="32"/>
      <c r="O133" s="32"/>
      <c r="P133" s="33"/>
      <c r="Q133" s="34"/>
      <c r="R133" s="34"/>
      <c r="S133" s="34"/>
      <c r="T133" s="34"/>
    </row>
    <row r="134" spans="2:20" ht="14.1" customHeight="1" x14ac:dyDescent="0.2">
      <c r="B134" s="30"/>
      <c r="C134" s="30"/>
      <c r="D134" s="30"/>
      <c r="E134" s="49"/>
      <c r="F134" s="31"/>
      <c r="G134" s="31"/>
      <c r="H134" s="31"/>
      <c r="I134" s="31"/>
      <c r="J134" s="31"/>
      <c r="K134" s="31"/>
      <c r="L134" s="31"/>
      <c r="M134" s="31"/>
      <c r="N134" s="32"/>
      <c r="O134" s="32"/>
      <c r="P134" s="33"/>
      <c r="Q134" s="34"/>
      <c r="R134" s="34"/>
      <c r="S134" s="34"/>
      <c r="T134" s="34"/>
    </row>
    <row r="135" spans="2:20" ht="14.1" customHeight="1" x14ac:dyDescent="0.2">
      <c r="B135" s="30"/>
      <c r="C135" s="30"/>
      <c r="D135" s="30"/>
      <c r="E135" s="49"/>
      <c r="F135" s="31"/>
      <c r="G135" s="31"/>
      <c r="H135" s="31"/>
      <c r="I135" s="31"/>
      <c r="J135" s="31"/>
      <c r="K135" s="31"/>
      <c r="L135" s="31"/>
      <c r="M135" s="31"/>
      <c r="N135" s="32"/>
      <c r="O135" s="32"/>
      <c r="P135" s="33"/>
      <c r="Q135" s="34"/>
      <c r="R135" s="34"/>
      <c r="S135" s="34"/>
      <c r="T135" s="34"/>
    </row>
    <row r="136" spans="2:20" ht="14.1" customHeight="1" x14ac:dyDescent="0.2">
      <c r="B136" s="30"/>
      <c r="C136" s="30"/>
      <c r="D136" s="30"/>
      <c r="E136" s="49"/>
      <c r="F136" s="31"/>
      <c r="G136" s="31"/>
      <c r="H136" s="31"/>
      <c r="I136" s="31"/>
      <c r="J136" s="31"/>
      <c r="K136" s="31"/>
      <c r="L136" s="31"/>
      <c r="M136" s="31"/>
      <c r="N136" s="32"/>
      <c r="O136" s="32"/>
      <c r="P136" s="33"/>
      <c r="Q136" s="34"/>
      <c r="R136" s="34"/>
      <c r="S136" s="34"/>
      <c r="T136" s="34"/>
    </row>
    <row r="137" spans="2:20" ht="14.1" customHeight="1" x14ac:dyDescent="0.2">
      <c r="B137" s="30"/>
      <c r="C137" s="30"/>
      <c r="D137" s="30"/>
      <c r="E137" s="49"/>
      <c r="F137" s="31"/>
      <c r="G137" s="31"/>
      <c r="H137" s="31"/>
      <c r="I137" s="31"/>
      <c r="J137" s="31"/>
      <c r="K137" s="31"/>
      <c r="L137" s="31"/>
      <c r="M137" s="31"/>
      <c r="N137" s="32"/>
      <c r="O137" s="32"/>
      <c r="P137" s="33"/>
      <c r="Q137" s="34"/>
      <c r="R137" s="34"/>
      <c r="S137" s="34"/>
      <c r="T137" s="34"/>
    </row>
    <row r="138" spans="2:20" ht="14.1" customHeight="1" x14ac:dyDescent="0.2">
      <c r="B138" s="30"/>
      <c r="C138" s="30"/>
      <c r="D138" s="30"/>
      <c r="E138" s="49"/>
      <c r="F138" s="31"/>
      <c r="G138" s="31"/>
      <c r="H138" s="31"/>
      <c r="I138" s="31"/>
      <c r="J138" s="31"/>
      <c r="K138" s="31"/>
      <c r="L138" s="31"/>
      <c r="M138" s="31"/>
      <c r="N138" s="32"/>
      <c r="O138" s="32"/>
      <c r="P138" s="33"/>
      <c r="Q138" s="34"/>
      <c r="R138" s="34"/>
      <c r="S138" s="34"/>
      <c r="T138" s="34"/>
    </row>
    <row r="139" spans="2:20" ht="14.1" customHeight="1" x14ac:dyDescent="0.2">
      <c r="B139" s="30"/>
      <c r="C139" s="30"/>
      <c r="D139" s="30"/>
      <c r="E139" s="49"/>
      <c r="F139" s="31"/>
      <c r="G139" s="31"/>
      <c r="H139" s="31"/>
      <c r="I139" s="31"/>
      <c r="J139" s="31"/>
      <c r="K139" s="31"/>
      <c r="L139" s="31"/>
      <c r="M139" s="31"/>
      <c r="N139" s="32"/>
      <c r="O139" s="32"/>
      <c r="P139" s="33"/>
      <c r="Q139" s="34"/>
      <c r="R139" s="34"/>
      <c r="S139" s="34"/>
      <c r="T139" s="34"/>
    </row>
    <row r="140" spans="2:20" ht="14.1" customHeight="1" x14ac:dyDescent="0.2">
      <c r="B140" s="30"/>
      <c r="C140" s="30"/>
      <c r="D140" s="30"/>
      <c r="E140" s="49"/>
      <c r="F140" s="31"/>
      <c r="G140" s="31"/>
      <c r="H140" s="31"/>
      <c r="I140" s="31"/>
      <c r="J140" s="31"/>
      <c r="K140" s="31"/>
      <c r="L140" s="31"/>
      <c r="M140" s="31"/>
      <c r="N140" s="32"/>
      <c r="O140" s="32"/>
      <c r="P140" s="33"/>
      <c r="Q140" s="34"/>
      <c r="R140" s="34"/>
      <c r="S140" s="34"/>
      <c r="T140" s="34"/>
    </row>
    <row r="141" spans="2:20" ht="14.1" customHeight="1" x14ac:dyDescent="0.2">
      <c r="B141" s="30"/>
      <c r="C141" s="30"/>
      <c r="D141" s="30"/>
      <c r="E141" s="49"/>
      <c r="F141" s="31"/>
      <c r="G141" s="31"/>
      <c r="H141" s="31"/>
      <c r="I141" s="31"/>
      <c r="J141" s="31"/>
      <c r="K141" s="31"/>
      <c r="L141" s="31"/>
      <c r="M141" s="31"/>
      <c r="N141" s="32"/>
      <c r="O141" s="32"/>
      <c r="P141" s="33"/>
      <c r="Q141" s="34"/>
      <c r="R141" s="34"/>
      <c r="S141" s="34"/>
      <c r="T141" s="34"/>
    </row>
    <row r="142" spans="2:20" ht="14.1" customHeight="1" x14ac:dyDescent="0.2">
      <c r="B142" s="30"/>
      <c r="C142" s="30"/>
      <c r="D142" s="30"/>
      <c r="E142" s="49"/>
      <c r="F142" s="31"/>
      <c r="G142" s="31"/>
      <c r="H142" s="31"/>
      <c r="I142" s="31"/>
      <c r="J142" s="31"/>
      <c r="K142" s="31"/>
      <c r="L142" s="31"/>
      <c r="M142" s="31"/>
      <c r="N142" s="32"/>
      <c r="O142" s="32"/>
      <c r="P142" s="33"/>
      <c r="Q142" s="34"/>
      <c r="R142" s="34"/>
      <c r="S142" s="34"/>
      <c r="T142" s="34"/>
    </row>
    <row r="143" spans="2:20" ht="14.1" customHeight="1" x14ac:dyDescent="0.2">
      <c r="B143" s="30"/>
      <c r="C143" s="30"/>
      <c r="D143" s="30"/>
      <c r="E143" s="49"/>
      <c r="F143" s="31"/>
      <c r="G143" s="31"/>
      <c r="H143" s="31"/>
      <c r="I143" s="31"/>
      <c r="J143" s="31"/>
      <c r="K143" s="31"/>
      <c r="L143" s="31"/>
      <c r="M143" s="31"/>
      <c r="N143" s="32"/>
      <c r="O143" s="32"/>
      <c r="P143" s="33"/>
      <c r="Q143" s="34"/>
      <c r="R143" s="34"/>
      <c r="S143" s="34"/>
      <c r="T143" s="34"/>
    </row>
    <row r="144" spans="2:20" ht="14.1" customHeight="1" x14ac:dyDescent="0.2">
      <c r="B144" s="30"/>
      <c r="C144" s="30"/>
      <c r="D144" s="30"/>
      <c r="E144" s="49"/>
      <c r="F144" s="31"/>
      <c r="G144" s="31"/>
      <c r="H144" s="31"/>
      <c r="I144" s="31"/>
      <c r="J144" s="31"/>
      <c r="K144" s="31"/>
      <c r="L144" s="31"/>
      <c r="M144" s="31"/>
      <c r="N144" s="32"/>
      <c r="O144" s="32"/>
      <c r="P144" s="33"/>
      <c r="Q144" s="34"/>
      <c r="R144" s="34"/>
      <c r="S144" s="34"/>
      <c r="T144" s="34"/>
    </row>
    <row r="145" spans="2:20" ht="14.1" customHeight="1" x14ac:dyDescent="0.2">
      <c r="B145" s="30"/>
      <c r="C145" s="30"/>
      <c r="D145" s="30"/>
      <c r="E145" s="49"/>
      <c r="F145" s="31"/>
      <c r="G145" s="31"/>
      <c r="H145" s="31"/>
      <c r="I145" s="31"/>
      <c r="J145" s="31"/>
      <c r="K145" s="31"/>
      <c r="L145" s="31"/>
      <c r="M145" s="31"/>
      <c r="N145" s="32"/>
      <c r="O145" s="32"/>
      <c r="P145" s="33"/>
      <c r="Q145" s="34"/>
      <c r="R145" s="34"/>
      <c r="S145" s="34"/>
      <c r="T145" s="34"/>
    </row>
    <row r="146" spans="2:20" ht="14.1" customHeight="1" x14ac:dyDescent="0.2">
      <c r="B146" s="30"/>
      <c r="C146" s="30"/>
      <c r="D146" s="30"/>
      <c r="E146" s="49"/>
      <c r="F146" s="31"/>
      <c r="G146" s="31"/>
      <c r="H146" s="31"/>
      <c r="I146" s="31"/>
      <c r="J146" s="31"/>
      <c r="K146" s="31"/>
      <c r="L146" s="31"/>
      <c r="M146" s="31"/>
      <c r="N146" s="32"/>
      <c r="O146" s="32"/>
      <c r="P146" s="33"/>
      <c r="Q146" s="34"/>
      <c r="R146" s="34"/>
      <c r="S146" s="34"/>
      <c r="T146" s="34"/>
    </row>
    <row r="147" spans="2:20" ht="14.1" customHeight="1" x14ac:dyDescent="0.2">
      <c r="B147" s="30"/>
      <c r="C147" s="30"/>
      <c r="D147" s="30"/>
      <c r="E147" s="49"/>
      <c r="F147" s="31"/>
      <c r="G147" s="31"/>
      <c r="H147" s="31"/>
      <c r="I147" s="31"/>
      <c r="J147" s="31"/>
      <c r="K147" s="31"/>
      <c r="L147" s="31"/>
      <c r="M147" s="31"/>
      <c r="N147" s="32"/>
      <c r="O147" s="32"/>
      <c r="P147" s="33"/>
      <c r="Q147" s="34"/>
      <c r="R147" s="34"/>
      <c r="S147" s="34"/>
      <c r="T147" s="34"/>
    </row>
    <row r="148" spans="2:20" ht="14.1" customHeight="1" x14ac:dyDescent="0.2">
      <c r="B148" s="30"/>
      <c r="C148" s="30"/>
      <c r="D148" s="30"/>
      <c r="E148" s="49"/>
      <c r="F148" s="31"/>
      <c r="G148" s="31"/>
      <c r="H148" s="31"/>
      <c r="I148" s="31"/>
      <c r="J148" s="31"/>
      <c r="K148" s="31"/>
      <c r="L148" s="31"/>
      <c r="M148" s="31"/>
      <c r="N148" s="32"/>
      <c r="O148" s="32"/>
      <c r="P148" s="33"/>
      <c r="Q148" s="34"/>
      <c r="R148" s="34"/>
      <c r="S148" s="34"/>
      <c r="T148" s="34"/>
    </row>
    <row r="149" spans="2:20" ht="14.1" customHeight="1" x14ac:dyDescent="0.2">
      <c r="B149" s="30"/>
      <c r="C149" s="30"/>
      <c r="D149" s="30"/>
      <c r="E149" s="49"/>
      <c r="F149" s="31"/>
      <c r="G149" s="31"/>
      <c r="H149" s="31"/>
      <c r="I149" s="31"/>
      <c r="J149" s="31"/>
      <c r="K149" s="31"/>
      <c r="L149" s="31"/>
      <c r="M149" s="31"/>
      <c r="N149" s="32"/>
      <c r="O149" s="32"/>
      <c r="P149" s="33"/>
      <c r="Q149" s="34"/>
      <c r="R149" s="34"/>
      <c r="S149" s="34"/>
      <c r="T149" s="34"/>
    </row>
    <row r="150" spans="2:20" ht="14.1" customHeight="1" x14ac:dyDescent="0.2">
      <c r="B150" s="30"/>
      <c r="C150" s="30"/>
      <c r="D150" s="30"/>
      <c r="E150" s="49"/>
      <c r="F150" s="31"/>
      <c r="G150" s="31"/>
      <c r="H150" s="31"/>
      <c r="I150" s="31"/>
      <c r="J150" s="31"/>
      <c r="K150" s="31"/>
      <c r="L150" s="31"/>
      <c r="M150" s="31"/>
      <c r="N150" s="32"/>
      <c r="O150" s="32"/>
      <c r="P150" s="33"/>
      <c r="Q150" s="34"/>
      <c r="R150" s="34"/>
      <c r="S150" s="34"/>
      <c r="T150" s="34"/>
    </row>
    <row r="151" spans="2:20" ht="14.1" customHeight="1" x14ac:dyDescent="0.2">
      <c r="B151" s="30"/>
      <c r="C151" s="30"/>
      <c r="D151" s="30"/>
      <c r="E151" s="49"/>
      <c r="F151" s="31"/>
      <c r="G151" s="31"/>
      <c r="H151" s="31"/>
      <c r="I151" s="31"/>
      <c r="J151" s="31"/>
      <c r="K151" s="31"/>
      <c r="L151" s="31"/>
      <c r="M151" s="31"/>
      <c r="N151" s="32"/>
      <c r="O151" s="32"/>
      <c r="P151" s="33"/>
      <c r="Q151" s="34"/>
      <c r="R151" s="34"/>
      <c r="S151" s="34"/>
      <c r="T151" s="34"/>
    </row>
    <row r="152" spans="2:20" ht="14.1" customHeight="1" x14ac:dyDescent="0.2">
      <c r="B152" s="30"/>
      <c r="C152" s="30"/>
      <c r="D152" s="30"/>
      <c r="E152" s="49"/>
      <c r="F152" s="31"/>
      <c r="G152" s="31"/>
      <c r="H152" s="31"/>
      <c r="I152" s="31"/>
      <c r="J152" s="31"/>
      <c r="K152" s="31"/>
      <c r="L152" s="31"/>
      <c r="M152" s="31"/>
      <c r="N152" s="32"/>
      <c r="O152" s="32"/>
      <c r="P152" s="33"/>
      <c r="Q152" s="34"/>
      <c r="R152" s="34"/>
      <c r="S152" s="34"/>
      <c r="T152" s="34"/>
    </row>
    <row r="153" spans="2:20" ht="14.1" customHeight="1" x14ac:dyDescent="0.2">
      <c r="B153" s="30"/>
      <c r="C153" s="30"/>
      <c r="D153" s="30"/>
      <c r="E153" s="49"/>
      <c r="F153" s="31"/>
      <c r="G153" s="31"/>
      <c r="H153" s="31"/>
      <c r="I153" s="31"/>
      <c r="J153" s="31"/>
      <c r="K153" s="31"/>
      <c r="L153" s="31"/>
      <c r="M153" s="31"/>
      <c r="N153" s="32"/>
      <c r="O153" s="32"/>
      <c r="P153" s="33"/>
      <c r="Q153" s="34"/>
      <c r="R153" s="34"/>
      <c r="S153" s="34"/>
      <c r="T153" s="34"/>
    </row>
    <row r="154" spans="2:20" ht="14.1" customHeight="1" x14ac:dyDescent="0.2">
      <c r="B154" s="30"/>
      <c r="C154" s="30"/>
      <c r="D154" s="30"/>
      <c r="E154" s="49"/>
      <c r="F154" s="31"/>
      <c r="G154" s="31"/>
      <c r="H154" s="31"/>
      <c r="I154" s="31"/>
      <c r="J154" s="31"/>
      <c r="K154" s="31"/>
      <c r="L154" s="31"/>
      <c r="M154" s="31"/>
      <c r="N154" s="32"/>
      <c r="O154" s="32"/>
      <c r="P154" s="33"/>
      <c r="Q154" s="34"/>
      <c r="R154" s="34"/>
      <c r="S154" s="34"/>
      <c r="T154" s="34"/>
    </row>
    <row r="155" spans="2:20" ht="14.1" customHeight="1" x14ac:dyDescent="0.2">
      <c r="B155" s="30"/>
      <c r="C155" s="30"/>
      <c r="D155" s="30"/>
      <c r="E155" s="49"/>
      <c r="F155" s="31"/>
      <c r="G155" s="31"/>
      <c r="H155" s="31"/>
      <c r="I155" s="31"/>
      <c r="J155" s="31"/>
      <c r="K155" s="31"/>
      <c r="L155" s="31"/>
      <c r="M155" s="31"/>
      <c r="N155" s="32"/>
      <c r="O155" s="32"/>
      <c r="P155" s="33"/>
      <c r="Q155" s="34"/>
      <c r="R155" s="34"/>
      <c r="S155" s="34"/>
      <c r="T155" s="34"/>
    </row>
    <row r="156" spans="2:20" ht="14.1" customHeight="1" x14ac:dyDescent="0.2">
      <c r="B156" s="30"/>
      <c r="C156" s="30"/>
      <c r="D156" s="30"/>
      <c r="E156" s="49"/>
      <c r="F156" s="31"/>
      <c r="G156" s="31"/>
      <c r="H156" s="31"/>
      <c r="I156" s="31"/>
      <c r="J156" s="31"/>
      <c r="K156" s="31"/>
      <c r="L156" s="31"/>
      <c r="M156" s="31"/>
      <c r="N156" s="32"/>
      <c r="O156" s="32"/>
      <c r="P156" s="33"/>
      <c r="Q156" s="34"/>
      <c r="R156" s="34"/>
      <c r="S156" s="34"/>
      <c r="T156" s="34"/>
    </row>
    <row r="157" spans="2:20" ht="14.1" customHeight="1" x14ac:dyDescent="0.2">
      <c r="B157" s="30"/>
      <c r="C157" s="30"/>
      <c r="D157" s="30"/>
      <c r="E157" s="49"/>
      <c r="F157" s="31"/>
      <c r="G157" s="31"/>
      <c r="H157" s="31"/>
      <c r="I157" s="31"/>
      <c r="J157" s="31"/>
      <c r="K157" s="31"/>
      <c r="L157" s="31"/>
      <c r="M157" s="31"/>
      <c r="N157" s="32"/>
      <c r="O157" s="32"/>
      <c r="P157" s="33"/>
      <c r="Q157" s="34"/>
      <c r="R157" s="34"/>
      <c r="S157" s="34"/>
      <c r="T157" s="34"/>
    </row>
    <row r="158" spans="2:20" ht="14.1" customHeight="1" x14ac:dyDescent="0.2">
      <c r="B158" s="30"/>
      <c r="C158" s="30"/>
      <c r="D158" s="30"/>
      <c r="E158" s="49"/>
      <c r="F158" s="31"/>
      <c r="G158" s="31"/>
      <c r="H158" s="31"/>
      <c r="I158" s="31"/>
      <c r="J158" s="31"/>
      <c r="K158" s="31"/>
      <c r="L158" s="31"/>
      <c r="M158" s="31"/>
      <c r="N158" s="32"/>
      <c r="O158" s="32"/>
      <c r="P158" s="33"/>
      <c r="Q158" s="34"/>
      <c r="R158" s="34"/>
      <c r="S158" s="34"/>
      <c r="T158" s="34"/>
    </row>
    <row r="159" spans="2:20" ht="14.1" customHeight="1" x14ac:dyDescent="0.2">
      <c r="B159" s="30"/>
      <c r="C159" s="30"/>
      <c r="D159" s="30"/>
      <c r="E159" s="49"/>
      <c r="F159" s="31"/>
      <c r="G159" s="31"/>
      <c r="H159" s="31"/>
      <c r="I159" s="31"/>
      <c r="J159" s="31"/>
      <c r="K159" s="31"/>
      <c r="L159" s="31"/>
      <c r="M159" s="31"/>
      <c r="N159" s="32"/>
      <c r="O159" s="32"/>
      <c r="P159" s="33"/>
      <c r="Q159" s="34"/>
      <c r="R159" s="34"/>
      <c r="S159" s="34"/>
      <c r="T159" s="34"/>
    </row>
    <row r="160" spans="2:20" ht="14.1" customHeight="1" x14ac:dyDescent="0.2">
      <c r="B160" s="30"/>
      <c r="C160" s="30"/>
      <c r="D160" s="30"/>
      <c r="E160" s="49"/>
      <c r="F160" s="31"/>
      <c r="G160" s="31"/>
      <c r="H160" s="31"/>
      <c r="I160" s="31"/>
      <c r="J160" s="31"/>
      <c r="K160" s="31"/>
      <c r="L160" s="31"/>
      <c r="M160" s="31"/>
      <c r="N160" s="32"/>
      <c r="O160" s="32"/>
      <c r="P160" s="33"/>
      <c r="Q160" s="34"/>
      <c r="R160" s="34"/>
      <c r="S160" s="34"/>
      <c r="T160" s="34"/>
    </row>
    <row r="161" spans="2:20" ht="14.1" customHeight="1" x14ac:dyDescent="0.2">
      <c r="B161" s="30"/>
      <c r="C161" s="30"/>
      <c r="D161" s="30"/>
      <c r="E161" s="49"/>
      <c r="F161" s="31"/>
      <c r="G161" s="31"/>
      <c r="H161" s="31"/>
      <c r="I161" s="31"/>
      <c r="J161" s="31"/>
      <c r="K161" s="31"/>
      <c r="L161" s="31"/>
      <c r="M161" s="31"/>
      <c r="N161" s="32"/>
      <c r="O161" s="32"/>
      <c r="P161" s="33"/>
      <c r="Q161" s="34"/>
      <c r="R161" s="34"/>
      <c r="S161" s="34"/>
      <c r="T161" s="34"/>
    </row>
    <row r="162" spans="2:20" ht="14.1" customHeight="1" x14ac:dyDescent="0.2">
      <c r="B162" s="30"/>
      <c r="C162" s="30"/>
      <c r="D162" s="30"/>
      <c r="E162" s="49"/>
      <c r="F162" s="31"/>
      <c r="G162" s="31"/>
      <c r="H162" s="31"/>
      <c r="I162" s="31"/>
      <c r="J162" s="31"/>
      <c r="K162" s="31"/>
      <c r="L162" s="31"/>
      <c r="M162" s="31"/>
      <c r="N162" s="32"/>
      <c r="O162" s="32"/>
      <c r="P162" s="33"/>
      <c r="Q162" s="34"/>
      <c r="R162" s="34"/>
      <c r="S162" s="34"/>
      <c r="T162" s="34"/>
    </row>
    <row r="163" spans="2:20" ht="14.1" customHeight="1" x14ac:dyDescent="0.2">
      <c r="B163" s="30"/>
      <c r="C163" s="30"/>
      <c r="D163" s="30"/>
      <c r="E163" s="49"/>
      <c r="F163" s="31"/>
      <c r="G163" s="31"/>
      <c r="H163" s="31"/>
      <c r="I163" s="31"/>
      <c r="J163" s="31"/>
      <c r="K163" s="31"/>
      <c r="L163" s="31"/>
      <c r="M163" s="31"/>
      <c r="N163" s="32"/>
      <c r="O163" s="32"/>
      <c r="P163" s="33"/>
      <c r="Q163" s="34"/>
      <c r="R163" s="34"/>
      <c r="S163" s="34"/>
      <c r="T163" s="34"/>
    </row>
    <row r="164" spans="2:20" ht="14.1" customHeight="1" x14ac:dyDescent="0.2">
      <c r="B164" s="30"/>
      <c r="C164" s="30"/>
      <c r="D164" s="30"/>
      <c r="E164" s="49"/>
      <c r="F164" s="31"/>
      <c r="G164" s="31"/>
      <c r="H164" s="31"/>
      <c r="I164" s="31"/>
      <c r="J164" s="31"/>
      <c r="K164" s="31"/>
      <c r="L164" s="31"/>
      <c r="M164" s="31"/>
      <c r="N164" s="32"/>
      <c r="O164" s="32"/>
      <c r="P164" s="33"/>
      <c r="Q164" s="34"/>
      <c r="R164" s="34"/>
      <c r="S164" s="34"/>
      <c r="T164" s="34"/>
    </row>
    <row r="165" spans="2:20" ht="14.1" customHeight="1" x14ac:dyDescent="0.2">
      <c r="B165" s="30"/>
      <c r="C165" s="30"/>
      <c r="D165" s="30"/>
      <c r="E165" s="49"/>
      <c r="F165" s="31"/>
      <c r="G165" s="31"/>
      <c r="H165" s="31"/>
      <c r="I165" s="31"/>
      <c r="J165" s="31"/>
      <c r="K165" s="31"/>
      <c r="L165" s="31"/>
      <c r="M165" s="31"/>
      <c r="N165" s="32"/>
      <c r="O165" s="32"/>
      <c r="P165" s="33"/>
      <c r="Q165" s="34"/>
      <c r="R165" s="34"/>
      <c r="S165" s="34"/>
      <c r="T165" s="34"/>
    </row>
    <row r="166" spans="2:20" ht="14.1" customHeight="1" x14ac:dyDescent="0.2">
      <c r="B166" s="30"/>
      <c r="C166" s="30"/>
      <c r="D166" s="30"/>
      <c r="E166" s="49"/>
      <c r="F166" s="31"/>
      <c r="G166" s="31"/>
      <c r="H166" s="31"/>
      <c r="I166" s="31"/>
      <c r="J166" s="31"/>
      <c r="K166" s="31"/>
      <c r="L166" s="31"/>
      <c r="M166" s="31"/>
      <c r="N166" s="32"/>
      <c r="O166" s="32"/>
      <c r="P166" s="33"/>
      <c r="Q166" s="34"/>
      <c r="R166" s="34"/>
      <c r="S166" s="34"/>
      <c r="T166" s="34"/>
    </row>
    <row r="167" spans="2:20" ht="14.1" customHeight="1" x14ac:dyDescent="0.2">
      <c r="B167" s="30"/>
      <c r="C167" s="30"/>
      <c r="D167" s="30"/>
      <c r="E167" s="49"/>
      <c r="F167" s="31"/>
      <c r="G167" s="31"/>
      <c r="H167" s="31"/>
      <c r="I167" s="31"/>
      <c r="J167" s="31"/>
      <c r="K167" s="31"/>
      <c r="L167" s="31"/>
      <c r="M167" s="31"/>
      <c r="N167" s="32"/>
      <c r="O167" s="32"/>
      <c r="P167" s="33"/>
      <c r="Q167" s="34"/>
      <c r="R167" s="34"/>
      <c r="S167" s="34"/>
      <c r="T167" s="34"/>
    </row>
    <row r="168" spans="2:20" ht="14.1" customHeight="1" x14ac:dyDescent="0.2">
      <c r="B168" s="30"/>
      <c r="C168" s="30"/>
      <c r="D168" s="30"/>
      <c r="E168" s="49"/>
      <c r="F168" s="31"/>
      <c r="G168" s="31"/>
      <c r="H168" s="31"/>
      <c r="I168" s="31"/>
      <c r="J168" s="31"/>
      <c r="K168" s="31"/>
      <c r="L168" s="31"/>
      <c r="M168" s="31"/>
      <c r="N168" s="32"/>
      <c r="O168" s="32"/>
      <c r="P168" s="33"/>
      <c r="Q168" s="34"/>
      <c r="R168" s="34"/>
      <c r="S168" s="34"/>
      <c r="T168" s="34"/>
    </row>
    <row r="169" spans="2:20" ht="14.1" customHeight="1" x14ac:dyDescent="0.2">
      <c r="B169" s="30"/>
      <c r="C169" s="30"/>
      <c r="D169" s="30"/>
      <c r="E169" s="49"/>
      <c r="F169" s="31"/>
      <c r="G169" s="31"/>
      <c r="H169" s="31"/>
      <c r="I169" s="31"/>
      <c r="J169" s="31"/>
      <c r="K169" s="31"/>
      <c r="L169" s="31"/>
      <c r="M169" s="31"/>
      <c r="N169" s="32"/>
      <c r="O169" s="32"/>
      <c r="P169" s="33"/>
      <c r="Q169" s="34"/>
      <c r="R169" s="34"/>
      <c r="S169" s="34"/>
      <c r="T169" s="34"/>
    </row>
    <row r="170" spans="2:20" ht="14.1" customHeight="1" x14ac:dyDescent="0.2">
      <c r="B170" s="30"/>
      <c r="C170" s="30"/>
      <c r="D170" s="30"/>
      <c r="E170" s="49"/>
      <c r="F170" s="31"/>
      <c r="G170" s="31"/>
      <c r="H170" s="31"/>
      <c r="I170" s="31"/>
      <c r="J170" s="31"/>
      <c r="K170" s="31"/>
      <c r="L170" s="31"/>
      <c r="M170" s="31"/>
      <c r="N170" s="32"/>
      <c r="O170" s="32"/>
      <c r="P170" s="33"/>
      <c r="Q170" s="34"/>
      <c r="R170" s="34"/>
      <c r="S170" s="34"/>
      <c r="T170" s="34"/>
    </row>
    <row r="171" spans="2:20" ht="14.1" customHeight="1" x14ac:dyDescent="0.2">
      <c r="B171" s="30"/>
      <c r="C171" s="30"/>
      <c r="D171" s="30"/>
      <c r="E171" s="49"/>
      <c r="F171" s="31"/>
      <c r="G171" s="31"/>
      <c r="H171" s="31"/>
      <c r="I171" s="31"/>
      <c r="J171" s="31"/>
      <c r="K171" s="31"/>
      <c r="L171" s="31"/>
      <c r="M171" s="31"/>
      <c r="N171" s="32"/>
      <c r="O171" s="32"/>
      <c r="P171" s="33"/>
      <c r="Q171" s="34"/>
      <c r="R171" s="34"/>
      <c r="S171" s="34"/>
      <c r="T171" s="34"/>
    </row>
    <row r="172" spans="2:20" ht="14.1" customHeight="1" x14ac:dyDescent="0.2">
      <c r="B172" s="30"/>
      <c r="C172" s="30"/>
      <c r="D172" s="30"/>
      <c r="E172" s="49"/>
      <c r="F172" s="31"/>
      <c r="G172" s="31"/>
      <c r="H172" s="31"/>
      <c r="I172" s="31"/>
      <c r="J172" s="31"/>
      <c r="K172" s="31"/>
      <c r="L172" s="31"/>
      <c r="M172" s="31"/>
      <c r="N172" s="32"/>
      <c r="O172" s="32"/>
      <c r="P172" s="33"/>
      <c r="Q172" s="34"/>
      <c r="R172" s="34"/>
      <c r="S172" s="34"/>
      <c r="T172" s="34"/>
    </row>
    <row r="173" spans="2:20" ht="14.1" customHeight="1" x14ac:dyDescent="0.2">
      <c r="B173" s="30"/>
      <c r="C173" s="30"/>
      <c r="D173" s="30"/>
      <c r="E173" s="49"/>
      <c r="F173" s="31"/>
      <c r="G173" s="31"/>
      <c r="H173" s="31"/>
      <c r="I173" s="31"/>
      <c r="J173" s="31"/>
      <c r="K173" s="31"/>
      <c r="L173" s="31"/>
      <c r="M173" s="31"/>
      <c r="N173" s="32"/>
      <c r="O173" s="32"/>
      <c r="P173" s="33"/>
      <c r="Q173" s="34"/>
      <c r="R173" s="34"/>
      <c r="S173" s="34"/>
      <c r="T173" s="34"/>
    </row>
    <row r="174" spans="2:20" ht="14.1" customHeight="1" x14ac:dyDescent="0.2">
      <c r="B174" s="30"/>
      <c r="C174" s="30"/>
      <c r="D174" s="30"/>
      <c r="E174" s="49"/>
      <c r="F174" s="31"/>
      <c r="G174" s="31"/>
      <c r="H174" s="31"/>
      <c r="I174" s="31"/>
      <c r="J174" s="31"/>
      <c r="K174" s="31"/>
      <c r="L174" s="31"/>
      <c r="M174" s="31"/>
      <c r="N174" s="32"/>
      <c r="O174" s="32"/>
      <c r="P174" s="33"/>
      <c r="Q174" s="34"/>
      <c r="R174" s="34"/>
      <c r="S174" s="34"/>
      <c r="T174" s="34"/>
    </row>
    <row r="175" spans="2:20" ht="14.1" customHeight="1" x14ac:dyDescent="0.2">
      <c r="B175" s="30"/>
      <c r="C175" s="30"/>
      <c r="D175" s="30"/>
      <c r="E175" s="49"/>
      <c r="F175" s="31"/>
      <c r="G175" s="31"/>
      <c r="H175" s="31"/>
      <c r="I175" s="31"/>
      <c r="J175" s="31"/>
      <c r="K175" s="31"/>
      <c r="L175" s="31"/>
      <c r="M175" s="31"/>
      <c r="N175" s="32"/>
      <c r="O175" s="32"/>
      <c r="P175" s="33"/>
      <c r="Q175" s="34"/>
      <c r="R175" s="34"/>
      <c r="S175" s="34"/>
      <c r="T175" s="34"/>
    </row>
    <row r="176" spans="2:20" ht="14.1" customHeight="1" x14ac:dyDescent="0.2">
      <c r="B176" s="30"/>
      <c r="C176" s="30"/>
      <c r="D176" s="30"/>
      <c r="E176" s="49"/>
      <c r="F176" s="31"/>
      <c r="G176" s="31"/>
      <c r="H176" s="31"/>
      <c r="I176" s="31"/>
      <c r="J176" s="31"/>
      <c r="K176" s="31"/>
      <c r="L176" s="31"/>
      <c r="M176" s="31"/>
      <c r="N176" s="32"/>
      <c r="O176" s="32"/>
      <c r="P176" s="33"/>
      <c r="Q176" s="34"/>
      <c r="R176" s="34"/>
      <c r="S176" s="34"/>
      <c r="T176" s="34"/>
    </row>
    <row r="177" spans="2:20" ht="14.1" customHeight="1" x14ac:dyDescent="0.2">
      <c r="B177" s="30"/>
      <c r="C177" s="30"/>
      <c r="D177" s="30"/>
      <c r="E177" s="49"/>
      <c r="F177" s="31"/>
      <c r="G177" s="31"/>
      <c r="H177" s="31"/>
      <c r="I177" s="31"/>
      <c r="J177" s="31"/>
      <c r="K177" s="31"/>
      <c r="L177" s="31"/>
      <c r="M177" s="31"/>
      <c r="N177" s="32"/>
      <c r="O177" s="32"/>
      <c r="P177" s="33"/>
      <c r="Q177" s="34"/>
      <c r="R177" s="34"/>
      <c r="S177" s="34"/>
      <c r="T177" s="34"/>
    </row>
    <row r="178" spans="2:20" ht="14.1" customHeight="1" x14ac:dyDescent="0.2">
      <c r="B178" s="30"/>
      <c r="C178" s="30"/>
      <c r="D178" s="30"/>
      <c r="E178" s="49"/>
      <c r="F178" s="31"/>
      <c r="G178" s="31"/>
      <c r="H178" s="31"/>
      <c r="I178" s="31"/>
      <c r="J178" s="31"/>
      <c r="K178" s="31"/>
      <c r="L178" s="31"/>
      <c r="M178" s="31"/>
      <c r="N178" s="32"/>
      <c r="O178" s="32"/>
      <c r="P178" s="33"/>
      <c r="Q178" s="34"/>
      <c r="R178" s="34"/>
      <c r="S178" s="34"/>
      <c r="T178" s="34"/>
    </row>
    <row r="179" spans="2:20" ht="14.1" customHeight="1" x14ac:dyDescent="0.2">
      <c r="B179" s="30"/>
      <c r="C179" s="30"/>
      <c r="D179" s="30"/>
      <c r="E179" s="49"/>
      <c r="F179" s="31"/>
      <c r="G179" s="31"/>
      <c r="H179" s="31"/>
      <c r="I179" s="31"/>
      <c r="J179" s="31"/>
      <c r="K179" s="31"/>
      <c r="L179" s="31"/>
      <c r="M179" s="31"/>
      <c r="N179" s="32"/>
      <c r="O179" s="32"/>
      <c r="P179" s="33"/>
      <c r="Q179" s="34"/>
      <c r="R179" s="34"/>
      <c r="S179" s="34"/>
      <c r="T179" s="34"/>
    </row>
    <row r="180" spans="2:20" ht="14.1" customHeight="1" x14ac:dyDescent="0.2">
      <c r="B180" s="30"/>
      <c r="C180" s="30"/>
      <c r="D180" s="30"/>
      <c r="E180" s="49"/>
      <c r="F180" s="31"/>
      <c r="G180" s="31"/>
      <c r="H180" s="31"/>
      <c r="I180" s="31"/>
      <c r="J180" s="31"/>
      <c r="K180" s="31"/>
      <c r="L180" s="31"/>
      <c r="M180" s="31"/>
      <c r="N180" s="32"/>
      <c r="O180" s="32"/>
      <c r="P180" s="33"/>
      <c r="Q180" s="34"/>
      <c r="R180" s="34"/>
      <c r="S180" s="34"/>
      <c r="T180" s="34"/>
    </row>
    <row r="181" spans="2:20" ht="14.1" customHeight="1" x14ac:dyDescent="0.2">
      <c r="B181" s="30"/>
      <c r="C181" s="30"/>
      <c r="D181" s="30"/>
      <c r="E181" s="49"/>
      <c r="F181" s="31"/>
      <c r="G181" s="31"/>
      <c r="H181" s="31"/>
      <c r="I181" s="31"/>
      <c r="J181" s="31"/>
      <c r="K181" s="31"/>
      <c r="L181" s="31"/>
      <c r="M181" s="31"/>
      <c r="N181" s="32"/>
      <c r="O181" s="32"/>
      <c r="P181" s="33"/>
      <c r="Q181" s="34"/>
      <c r="R181" s="34"/>
      <c r="S181" s="34"/>
      <c r="T181" s="34"/>
    </row>
    <row r="182" spans="2:20" ht="14.1" customHeight="1" x14ac:dyDescent="0.2">
      <c r="B182" s="30"/>
      <c r="C182" s="30"/>
      <c r="D182" s="30"/>
      <c r="E182" s="49"/>
      <c r="F182" s="31"/>
      <c r="G182" s="31"/>
      <c r="H182" s="31"/>
      <c r="I182" s="31"/>
      <c r="J182" s="31"/>
      <c r="K182" s="31"/>
      <c r="L182" s="31"/>
      <c r="M182" s="31"/>
      <c r="N182" s="32"/>
      <c r="O182" s="32"/>
      <c r="P182" s="33"/>
      <c r="Q182" s="34"/>
      <c r="R182" s="34"/>
      <c r="S182" s="34"/>
      <c r="T182" s="34"/>
    </row>
    <row r="183" spans="2:20" ht="14.1" customHeight="1" x14ac:dyDescent="0.2">
      <c r="B183" s="30"/>
      <c r="C183" s="30"/>
      <c r="D183" s="30"/>
      <c r="E183" s="49"/>
      <c r="F183" s="31"/>
      <c r="G183" s="31"/>
      <c r="H183" s="31"/>
      <c r="I183" s="31"/>
      <c r="J183" s="31"/>
      <c r="K183" s="31"/>
      <c r="L183" s="31"/>
      <c r="M183" s="31"/>
      <c r="N183" s="32"/>
      <c r="O183" s="32"/>
      <c r="P183" s="33"/>
      <c r="Q183" s="34"/>
      <c r="R183" s="34"/>
      <c r="S183" s="34"/>
      <c r="T183" s="34"/>
    </row>
    <row r="184" spans="2:20" ht="14.1" customHeight="1" x14ac:dyDescent="0.2">
      <c r="B184" s="30"/>
      <c r="C184" s="30"/>
      <c r="D184" s="30"/>
      <c r="E184" s="49"/>
      <c r="F184" s="31"/>
      <c r="G184" s="31"/>
      <c r="H184" s="31"/>
      <c r="I184" s="31"/>
      <c r="J184" s="31"/>
      <c r="K184" s="31"/>
      <c r="L184" s="31"/>
      <c r="M184" s="31"/>
      <c r="N184" s="32"/>
      <c r="O184" s="32"/>
      <c r="P184" s="33"/>
      <c r="Q184" s="34"/>
      <c r="R184" s="34"/>
      <c r="S184" s="34"/>
      <c r="T184" s="34"/>
    </row>
    <row r="185" spans="2:20" ht="14.1" customHeight="1" x14ac:dyDescent="0.2">
      <c r="B185" s="30"/>
      <c r="C185" s="30"/>
      <c r="D185" s="30"/>
      <c r="E185" s="49"/>
      <c r="F185" s="31"/>
      <c r="G185" s="31"/>
      <c r="H185" s="31"/>
      <c r="I185" s="31"/>
      <c r="J185" s="31"/>
      <c r="K185" s="31"/>
      <c r="L185" s="31"/>
      <c r="M185" s="31"/>
      <c r="N185" s="32"/>
      <c r="O185" s="32"/>
      <c r="P185" s="33"/>
      <c r="Q185" s="34"/>
      <c r="R185" s="34"/>
      <c r="S185" s="34"/>
      <c r="T185" s="34"/>
    </row>
    <row r="186" spans="2:20" ht="14.1" customHeight="1" x14ac:dyDescent="0.2">
      <c r="B186" s="30"/>
      <c r="C186" s="30"/>
      <c r="D186" s="30"/>
      <c r="E186" s="49"/>
      <c r="F186" s="31"/>
      <c r="G186" s="31"/>
      <c r="H186" s="31"/>
      <c r="I186" s="31"/>
      <c r="J186" s="31"/>
      <c r="K186" s="31"/>
      <c r="L186" s="31"/>
      <c r="M186" s="31"/>
      <c r="N186" s="32"/>
      <c r="O186" s="32"/>
      <c r="P186" s="33"/>
      <c r="Q186" s="34"/>
      <c r="R186" s="34"/>
      <c r="S186" s="34"/>
      <c r="T186" s="34"/>
    </row>
    <row r="187" spans="2:20" ht="14.1" customHeight="1" x14ac:dyDescent="0.2">
      <c r="B187" s="30"/>
      <c r="C187" s="30"/>
      <c r="D187" s="30"/>
      <c r="E187" s="49"/>
      <c r="F187" s="31"/>
      <c r="G187" s="31"/>
      <c r="H187" s="31"/>
      <c r="I187" s="31"/>
      <c r="J187" s="31"/>
      <c r="K187" s="31"/>
      <c r="L187" s="31"/>
      <c r="M187" s="31"/>
      <c r="N187" s="32"/>
      <c r="O187" s="32"/>
      <c r="P187" s="33"/>
      <c r="Q187" s="34"/>
      <c r="R187" s="34"/>
      <c r="S187" s="34"/>
      <c r="T187" s="34"/>
    </row>
    <row r="188" spans="2:20" ht="14.1" customHeight="1" x14ac:dyDescent="0.2">
      <c r="B188" s="30"/>
      <c r="C188" s="30"/>
      <c r="D188" s="30"/>
      <c r="E188" s="49"/>
      <c r="F188" s="31"/>
      <c r="G188" s="31"/>
      <c r="H188" s="31"/>
      <c r="I188" s="31"/>
      <c r="J188" s="31"/>
      <c r="K188" s="31"/>
      <c r="L188" s="31"/>
      <c r="M188" s="31"/>
      <c r="N188" s="32"/>
      <c r="O188" s="32"/>
      <c r="P188" s="33"/>
      <c r="Q188" s="34"/>
      <c r="R188" s="34"/>
      <c r="S188" s="34"/>
      <c r="T188" s="34"/>
    </row>
    <row r="189" spans="2:20" ht="14.1" customHeight="1" x14ac:dyDescent="0.2">
      <c r="B189" s="30"/>
      <c r="C189" s="30"/>
      <c r="D189" s="30"/>
      <c r="E189" s="49"/>
      <c r="F189" s="31"/>
      <c r="G189" s="31"/>
      <c r="H189" s="31"/>
      <c r="I189" s="31"/>
      <c r="J189" s="31"/>
      <c r="K189" s="31"/>
      <c r="L189" s="31"/>
      <c r="M189" s="31"/>
      <c r="N189" s="32"/>
      <c r="O189" s="32"/>
      <c r="P189" s="33"/>
      <c r="Q189" s="34"/>
      <c r="R189" s="34"/>
      <c r="S189" s="34"/>
      <c r="T189" s="34"/>
    </row>
    <row r="190" spans="2:20" ht="14.1" customHeight="1" x14ac:dyDescent="0.2">
      <c r="B190" s="30"/>
      <c r="C190" s="30"/>
      <c r="D190" s="30"/>
      <c r="E190" s="49"/>
      <c r="F190" s="31"/>
      <c r="G190" s="31"/>
      <c r="H190" s="31"/>
      <c r="I190" s="31"/>
      <c r="J190" s="31"/>
      <c r="K190" s="31"/>
      <c r="L190" s="31"/>
      <c r="M190" s="31"/>
      <c r="N190" s="32"/>
      <c r="O190" s="32"/>
      <c r="P190" s="33"/>
      <c r="Q190" s="34"/>
      <c r="R190" s="34"/>
      <c r="S190" s="34"/>
      <c r="T190" s="34"/>
    </row>
    <row r="191" spans="2:20" ht="14.1" customHeight="1" x14ac:dyDescent="0.2">
      <c r="B191" s="30"/>
      <c r="C191" s="30"/>
      <c r="D191" s="30"/>
      <c r="E191" s="49"/>
      <c r="F191" s="31"/>
      <c r="G191" s="31"/>
      <c r="H191" s="31"/>
      <c r="I191" s="31"/>
      <c r="J191" s="31"/>
      <c r="K191" s="31"/>
      <c r="L191" s="31"/>
      <c r="M191" s="31"/>
      <c r="N191" s="32"/>
      <c r="O191" s="32"/>
      <c r="P191" s="33"/>
      <c r="Q191" s="34"/>
      <c r="R191" s="34"/>
      <c r="S191" s="34"/>
      <c r="T191" s="34"/>
    </row>
    <row r="192" spans="2:20" ht="14.1" customHeight="1" x14ac:dyDescent="0.2">
      <c r="B192" s="30"/>
      <c r="C192" s="30"/>
      <c r="D192" s="30"/>
      <c r="E192" s="49"/>
      <c r="F192" s="31"/>
      <c r="G192" s="31"/>
      <c r="H192" s="31"/>
      <c r="I192" s="31"/>
      <c r="J192" s="31"/>
      <c r="K192" s="31"/>
      <c r="L192" s="31"/>
      <c r="M192" s="31"/>
      <c r="N192" s="32"/>
      <c r="O192" s="32"/>
      <c r="P192" s="33"/>
      <c r="Q192" s="34"/>
      <c r="R192" s="34"/>
      <c r="S192" s="34"/>
      <c r="T192" s="34"/>
    </row>
    <row r="193" spans="2:20" ht="14.1" customHeight="1" x14ac:dyDescent="0.2">
      <c r="B193" s="30"/>
      <c r="C193" s="30"/>
      <c r="D193" s="30"/>
      <c r="E193" s="49"/>
      <c r="F193" s="31"/>
      <c r="G193" s="31"/>
      <c r="H193" s="31"/>
      <c r="I193" s="31"/>
      <c r="J193" s="31"/>
      <c r="K193" s="31"/>
      <c r="L193" s="31"/>
      <c r="M193" s="31"/>
      <c r="N193" s="32"/>
      <c r="O193" s="32"/>
      <c r="P193" s="33"/>
      <c r="Q193" s="34"/>
      <c r="R193" s="34"/>
      <c r="S193" s="34"/>
      <c r="T193" s="34"/>
    </row>
    <row r="194" spans="2:20" ht="14.1" customHeight="1" x14ac:dyDescent="0.2">
      <c r="B194" s="30"/>
      <c r="C194" s="30"/>
      <c r="D194" s="30"/>
      <c r="E194" s="49"/>
      <c r="F194" s="31"/>
      <c r="G194" s="31"/>
      <c r="H194" s="31"/>
      <c r="I194" s="31"/>
      <c r="J194" s="31"/>
      <c r="K194" s="31"/>
      <c r="L194" s="31"/>
      <c r="M194" s="31"/>
      <c r="N194" s="32"/>
      <c r="O194" s="32"/>
      <c r="P194" s="33"/>
      <c r="Q194" s="34"/>
      <c r="R194" s="34"/>
      <c r="S194" s="34"/>
      <c r="T194" s="34"/>
    </row>
    <row r="195" spans="2:20" ht="14.1" customHeight="1" x14ac:dyDescent="0.2">
      <c r="B195" s="30"/>
      <c r="C195" s="30"/>
      <c r="D195" s="30"/>
      <c r="E195" s="49"/>
      <c r="F195" s="31"/>
      <c r="G195" s="31"/>
      <c r="H195" s="31"/>
      <c r="I195" s="31"/>
      <c r="J195" s="31"/>
      <c r="K195" s="31"/>
      <c r="L195" s="31"/>
      <c r="M195" s="31"/>
      <c r="N195" s="32"/>
      <c r="O195" s="32"/>
      <c r="P195" s="33"/>
      <c r="Q195" s="34"/>
      <c r="R195" s="34"/>
      <c r="S195" s="34"/>
      <c r="T195" s="34"/>
    </row>
    <row r="196" spans="2:20" ht="14.1" customHeight="1" x14ac:dyDescent="0.2">
      <c r="B196" s="30"/>
      <c r="C196" s="30"/>
      <c r="D196" s="30"/>
      <c r="E196" s="49"/>
      <c r="F196" s="31"/>
      <c r="G196" s="31"/>
      <c r="H196" s="31"/>
      <c r="I196" s="31"/>
      <c r="J196" s="31"/>
      <c r="K196" s="31"/>
      <c r="L196" s="31"/>
      <c r="M196" s="31"/>
      <c r="N196" s="32"/>
      <c r="O196" s="32"/>
      <c r="P196" s="33"/>
      <c r="Q196" s="34"/>
      <c r="R196" s="34"/>
      <c r="S196" s="34"/>
      <c r="T196" s="34"/>
    </row>
    <row r="197" spans="2:20" ht="14.1" customHeight="1" x14ac:dyDescent="0.2">
      <c r="B197" s="30"/>
      <c r="C197" s="30"/>
      <c r="D197" s="30"/>
      <c r="E197" s="49"/>
      <c r="F197" s="31"/>
      <c r="G197" s="31"/>
      <c r="H197" s="31"/>
      <c r="I197" s="31"/>
      <c r="J197" s="31"/>
      <c r="K197" s="31"/>
      <c r="L197" s="31"/>
      <c r="M197" s="31"/>
      <c r="N197" s="32"/>
      <c r="O197" s="32"/>
      <c r="P197" s="33"/>
      <c r="Q197" s="34"/>
      <c r="R197" s="34"/>
      <c r="S197" s="34"/>
      <c r="T197" s="34"/>
    </row>
    <row r="198" spans="2:20" ht="14.1" customHeight="1" x14ac:dyDescent="0.2">
      <c r="B198" s="30"/>
      <c r="C198" s="30"/>
      <c r="D198" s="30"/>
      <c r="E198" s="49"/>
      <c r="F198" s="31"/>
      <c r="G198" s="31"/>
      <c r="H198" s="31"/>
      <c r="I198" s="31"/>
      <c r="J198" s="31"/>
      <c r="K198" s="31"/>
      <c r="L198" s="31"/>
      <c r="M198" s="31"/>
      <c r="N198" s="32"/>
      <c r="O198" s="32"/>
      <c r="P198" s="33"/>
      <c r="Q198" s="34"/>
      <c r="R198" s="34"/>
      <c r="S198" s="34"/>
      <c r="T198" s="34"/>
    </row>
    <row r="199" spans="2:20" ht="14.1" customHeight="1" x14ac:dyDescent="0.2">
      <c r="B199" s="30"/>
      <c r="C199" s="30"/>
      <c r="D199" s="30"/>
      <c r="E199" s="49"/>
      <c r="F199" s="31"/>
      <c r="G199" s="31"/>
      <c r="H199" s="31"/>
      <c r="I199" s="31"/>
      <c r="J199" s="31"/>
      <c r="K199" s="31"/>
      <c r="L199" s="31"/>
      <c r="M199" s="31"/>
      <c r="N199" s="32"/>
      <c r="O199" s="32"/>
      <c r="P199" s="33"/>
      <c r="Q199" s="34"/>
      <c r="R199" s="34"/>
      <c r="S199" s="34"/>
      <c r="T199" s="34"/>
    </row>
    <row r="200" spans="2:20" ht="14.1" customHeight="1" x14ac:dyDescent="0.2">
      <c r="B200" s="30"/>
      <c r="C200" s="30"/>
      <c r="D200" s="30"/>
      <c r="E200" s="49"/>
      <c r="F200" s="31"/>
      <c r="G200" s="31"/>
      <c r="H200" s="31"/>
      <c r="I200" s="31"/>
      <c r="J200" s="31"/>
      <c r="K200" s="31"/>
      <c r="L200" s="31"/>
      <c r="M200" s="31"/>
      <c r="N200" s="32"/>
      <c r="O200" s="32"/>
      <c r="P200" s="33"/>
      <c r="Q200" s="34"/>
      <c r="R200" s="34"/>
      <c r="S200" s="34"/>
      <c r="T200" s="34"/>
    </row>
    <row r="201" spans="2:20" ht="14.1" customHeight="1" x14ac:dyDescent="0.2">
      <c r="B201" s="30"/>
      <c r="C201" s="30"/>
      <c r="D201" s="30"/>
      <c r="E201" s="49"/>
      <c r="F201" s="31"/>
      <c r="G201" s="31"/>
      <c r="H201" s="31"/>
      <c r="I201" s="31"/>
      <c r="J201" s="31"/>
      <c r="K201" s="31"/>
      <c r="L201" s="31"/>
      <c r="M201" s="31"/>
      <c r="N201" s="32"/>
      <c r="O201" s="32"/>
      <c r="P201" s="33"/>
      <c r="Q201" s="34"/>
      <c r="R201" s="34"/>
      <c r="S201" s="34"/>
      <c r="T201" s="34"/>
    </row>
    <row r="202" spans="2:20" ht="14.1" customHeight="1" x14ac:dyDescent="0.2">
      <c r="B202" s="30"/>
      <c r="C202" s="30"/>
      <c r="D202" s="30"/>
      <c r="E202" s="49"/>
      <c r="F202" s="31"/>
      <c r="G202" s="31"/>
      <c r="H202" s="31"/>
      <c r="I202" s="31"/>
      <c r="J202" s="31"/>
      <c r="K202" s="31"/>
      <c r="L202" s="31"/>
      <c r="M202" s="31"/>
      <c r="N202" s="32"/>
      <c r="O202" s="32"/>
      <c r="P202" s="33"/>
      <c r="Q202" s="34"/>
      <c r="R202" s="34"/>
      <c r="S202" s="34"/>
      <c r="T202" s="34"/>
    </row>
    <row r="203" spans="2:20" ht="14.1" customHeight="1" x14ac:dyDescent="0.2">
      <c r="B203" s="30"/>
      <c r="C203" s="30"/>
      <c r="D203" s="30"/>
      <c r="E203" s="49"/>
      <c r="F203" s="31"/>
      <c r="G203" s="31"/>
      <c r="H203" s="31"/>
      <c r="I203" s="31"/>
      <c r="J203" s="31"/>
      <c r="K203" s="31"/>
      <c r="L203" s="31"/>
      <c r="M203" s="31"/>
      <c r="N203" s="32"/>
      <c r="O203" s="32"/>
      <c r="P203" s="33"/>
      <c r="Q203" s="34"/>
      <c r="R203" s="34"/>
      <c r="S203" s="34"/>
      <c r="T203" s="34"/>
    </row>
    <row r="204" spans="2:20" ht="14.1" customHeight="1" x14ac:dyDescent="0.2">
      <c r="B204" s="30"/>
      <c r="C204" s="30"/>
      <c r="D204" s="30"/>
      <c r="E204" s="49"/>
      <c r="F204" s="31"/>
      <c r="G204" s="31"/>
      <c r="H204" s="31"/>
      <c r="I204" s="31"/>
      <c r="J204" s="31"/>
      <c r="K204" s="31"/>
      <c r="L204" s="31"/>
      <c r="M204" s="31"/>
      <c r="N204" s="32"/>
      <c r="O204" s="32"/>
      <c r="P204" s="33"/>
      <c r="Q204" s="34"/>
      <c r="R204" s="34"/>
      <c r="S204" s="34"/>
      <c r="T204" s="34"/>
    </row>
    <row r="205" spans="2:20" ht="14.1" customHeight="1" x14ac:dyDescent="0.2">
      <c r="B205" s="30"/>
      <c r="C205" s="30"/>
      <c r="D205" s="30"/>
      <c r="E205" s="49"/>
      <c r="F205" s="31"/>
      <c r="G205" s="31"/>
      <c r="H205" s="31"/>
      <c r="I205" s="31"/>
      <c r="J205" s="31"/>
      <c r="K205" s="31"/>
      <c r="L205" s="31"/>
      <c r="M205" s="31"/>
      <c r="N205" s="32"/>
      <c r="O205" s="32"/>
      <c r="P205" s="33"/>
      <c r="Q205" s="34"/>
      <c r="R205" s="34"/>
      <c r="S205" s="34"/>
      <c r="T205" s="34"/>
    </row>
    <row r="206" spans="2:20" ht="14.1" customHeight="1" x14ac:dyDescent="0.2">
      <c r="B206" s="30"/>
      <c r="C206" s="30"/>
      <c r="D206" s="30"/>
      <c r="E206" s="49"/>
      <c r="F206" s="31"/>
      <c r="G206" s="31"/>
      <c r="H206" s="31"/>
      <c r="I206" s="31"/>
      <c r="J206" s="31"/>
      <c r="K206" s="31"/>
      <c r="L206" s="31"/>
      <c r="M206" s="31"/>
      <c r="N206" s="32"/>
      <c r="O206" s="32"/>
      <c r="P206" s="33"/>
      <c r="Q206" s="34"/>
      <c r="R206" s="34"/>
      <c r="S206" s="34"/>
      <c r="T206" s="34"/>
    </row>
    <row r="207" spans="2:20" ht="14.1" customHeight="1" x14ac:dyDescent="0.2">
      <c r="B207" s="30"/>
      <c r="C207" s="30"/>
      <c r="D207" s="30"/>
      <c r="E207" s="49"/>
      <c r="F207" s="31"/>
      <c r="G207" s="31"/>
      <c r="H207" s="31"/>
      <c r="I207" s="31"/>
      <c r="J207" s="31"/>
      <c r="K207" s="31"/>
      <c r="L207" s="31"/>
      <c r="M207" s="31"/>
      <c r="N207" s="32"/>
      <c r="O207" s="32"/>
      <c r="P207" s="33"/>
      <c r="Q207" s="34"/>
      <c r="R207" s="34"/>
      <c r="S207" s="34"/>
      <c r="T207" s="34"/>
    </row>
    <row r="208" spans="2:20" ht="14.1" customHeight="1" x14ac:dyDescent="0.2">
      <c r="B208" s="30"/>
      <c r="C208" s="30"/>
      <c r="D208" s="30"/>
      <c r="E208" s="49"/>
      <c r="F208" s="31"/>
      <c r="G208" s="31"/>
      <c r="H208" s="31"/>
      <c r="I208" s="31"/>
      <c r="J208" s="31"/>
      <c r="K208" s="31"/>
      <c r="L208" s="31"/>
      <c r="M208" s="31"/>
      <c r="N208" s="32"/>
      <c r="O208" s="32"/>
      <c r="P208" s="33"/>
      <c r="Q208" s="34"/>
      <c r="R208" s="34"/>
      <c r="S208" s="34"/>
      <c r="T208" s="34"/>
    </row>
    <row r="209" spans="2:20" ht="14.1" customHeight="1" x14ac:dyDescent="0.2">
      <c r="B209" s="30"/>
      <c r="C209" s="30"/>
      <c r="D209" s="30"/>
      <c r="E209" s="49"/>
      <c r="F209" s="31"/>
      <c r="G209" s="31"/>
      <c r="H209" s="31"/>
      <c r="I209" s="31"/>
      <c r="J209" s="31"/>
      <c r="K209" s="31"/>
      <c r="L209" s="31"/>
      <c r="M209" s="31"/>
      <c r="N209" s="32"/>
      <c r="O209" s="32"/>
      <c r="P209" s="33"/>
      <c r="Q209" s="34"/>
      <c r="R209" s="34"/>
      <c r="S209" s="34"/>
      <c r="T209" s="34"/>
    </row>
    <row r="210" spans="2:20" ht="14.1" customHeight="1" x14ac:dyDescent="0.2">
      <c r="B210" s="30"/>
      <c r="C210" s="30"/>
      <c r="D210" s="30"/>
      <c r="E210" s="49"/>
      <c r="F210" s="31"/>
      <c r="G210" s="31"/>
      <c r="H210" s="31"/>
      <c r="I210" s="31"/>
      <c r="J210" s="31"/>
      <c r="K210" s="31"/>
      <c r="L210" s="31"/>
      <c r="M210" s="31"/>
      <c r="N210" s="32"/>
      <c r="O210" s="32"/>
      <c r="P210" s="33"/>
      <c r="Q210" s="34"/>
      <c r="R210" s="34"/>
      <c r="S210" s="34"/>
      <c r="T210" s="34"/>
    </row>
    <row r="211" spans="2:20" ht="14.1" customHeight="1" x14ac:dyDescent="0.2">
      <c r="B211" s="30"/>
      <c r="C211" s="30"/>
      <c r="D211" s="30"/>
      <c r="E211" s="49"/>
      <c r="F211" s="31"/>
      <c r="G211" s="31"/>
      <c r="H211" s="31"/>
      <c r="I211" s="31"/>
      <c r="J211" s="31"/>
      <c r="K211" s="31"/>
      <c r="L211" s="31"/>
      <c r="M211" s="31"/>
      <c r="N211" s="32"/>
      <c r="O211" s="32"/>
      <c r="P211" s="33"/>
      <c r="Q211" s="34"/>
      <c r="R211" s="34"/>
      <c r="S211" s="34"/>
      <c r="T211" s="34"/>
    </row>
    <row r="212" spans="2:20" ht="14.1" customHeight="1" x14ac:dyDescent="0.2">
      <c r="B212" s="30"/>
      <c r="C212" s="30"/>
      <c r="D212" s="30"/>
      <c r="E212" s="49"/>
      <c r="F212" s="31"/>
      <c r="G212" s="31"/>
      <c r="H212" s="31"/>
      <c r="I212" s="31"/>
      <c r="J212" s="31"/>
      <c r="K212" s="31"/>
      <c r="L212" s="31"/>
      <c r="M212" s="31"/>
      <c r="N212" s="32"/>
      <c r="O212" s="32"/>
      <c r="P212" s="33"/>
      <c r="Q212" s="34"/>
      <c r="R212" s="34"/>
      <c r="S212" s="34"/>
      <c r="T212" s="34"/>
    </row>
    <row r="213" spans="2:20" ht="14.1" customHeight="1" x14ac:dyDescent="0.2">
      <c r="B213" s="30"/>
      <c r="C213" s="30"/>
      <c r="D213" s="30"/>
      <c r="E213" s="49"/>
      <c r="F213" s="31"/>
      <c r="G213" s="31"/>
      <c r="H213" s="31"/>
      <c r="I213" s="31"/>
      <c r="J213" s="31"/>
      <c r="K213" s="31"/>
      <c r="L213" s="31"/>
      <c r="M213" s="31"/>
      <c r="N213" s="32"/>
      <c r="O213" s="32"/>
      <c r="P213" s="33"/>
      <c r="Q213" s="34"/>
      <c r="R213" s="34"/>
      <c r="S213" s="34"/>
      <c r="T213" s="34"/>
    </row>
    <row r="214" spans="2:20" ht="14.1" customHeight="1" x14ac:dyDescent="0.2">
      <c r="B214" s="30"/>
      <c r="C214" s="30"/>
      <c r="D214" s="30"/>
      <c r="E214" s="49"/>
      <c r="F214" s="31"/>
      <c r="G214" s="31"/>
      <c r="H214" s="31"/>
      <c r="I214" s="31"/>
      <c r="J214" s="31"/>
      <c r="K214" s="31"/>
      <c r="L214" s="31"/>
      <c r="M214" s="31"/>
      <c r="N214" s="32"/>
      <c r="O214" s="32"/>
      <c r="P214" s="33"/>
      <c r="Q214" s="34"/>
      <c r="R214" s="34"/>
      <c r="S214" s="34"/>
      <c r="T214" s="34"/>
    </row>
    <row r="215" spans="2:20" ht="14.1" customHeight="1" x14ac:dyDescent="0.2">
      <c r="B215" s="30"/>
      <c r="C215" s="30"/>
      <c r="D215" s="30"/>
      <c r="E215" s="49"/>
      <c r="F215" s="31"/>
      <c r="G215" s="31"/>
      <c r="H215" s="31"/>
      <c r="I215" s="31"/>
      <c r="J215" s="31"/>
      <c r="K215" s="31"/>
      <c r="L215" s="31"/>
      <c r="M215" s="31"/>
      <c r="N215" s="32"/>
      <c r="O215" s="32"/>
      <c r="P215" s="33"/>
      <c r="Q215" s="34"/>
      <c r="R215" s="34"/>
      <c r="S215" s="34"/>
      <c r="T215" s="34"/>
    </row>
    <row r="216" spans="2:20" ht="14.1" customHeight="1" x14ac:dyDescent="0.2">
      <c r="B216" s="30"/>
      <c r="C216" s="30"/>
      <c r="D216" s="30"/>
      <c r="E216" s="49"/>
      <c r="F216" s="31"/>
      <c r="G216" s="31"/>
      <c r="H216" s="31"/>
      <c r="I216" s="31"/>
      <c r="J216" s="31"/>
      <c r="K216" s="31"/>
      <c r="L216" s="31"/>
      <c r="M216" s="31"/>
      <c r="N216" s="32"/>
      <c r="O216" s="32"/>
      <c r="P216" s="33"/>
      <c r="Q216" s="34"/>
      <c r="R216" s="34"/>
      <c r="S216" s="34"/>
      <c r="T216" s="34"/>
    </row>
    <row r="217" spans="2:20" ht="14.1" customHeight="1" x14ac:dyDescent="0.2">
      <c r="B217" s="30"/>
      <c r="C217" s="30"/>
      <c r="D217" s="30"/>
      <c r="E217" s="49"/>
      <c r="F217" s="31"/>
      <c r="G217" s="31"/>
      <c r="H217" s="31"/>
      <c r="I217" s="31"/>
      <c r="J217" s="31"/>
      <c r="K217" s="31"/>
      <c r="L217" s="31"/>
      <c r="M217" s="31"/>
      <c r="N217" s="32"/>
      <c r="O217" s="32"/>
      <c r="P217" s="33"/>
      <c r="Q217" s="34"/>
      <c r="R217" s="34"/>
      <c r="S217" s="34"/>
      <c r="T217" s="34"/>
    </row>
    <row r="218" spans="2:20" ht="14.1" customHeight="1" x14ac:dyDescent="0.2">
      <c r="B218" s="30"/>
      <c r="C218" s="30"/>
      <c r="D218" s="30"/>
      <c r="E218" s="49"/>
      <c r="F218" s="31"/>
      <c r="G218" s="31"/>
      <c r="H218" s="31"/>
      <c r="I218" s="31"/>
      <c r="J218" s="31"/>
      <c r="K218" s="31"/>
      <c r="L218" s="31"/>
      <c r="M218" s="31"/>
      <c r="N218" s="32"/>
      <c r="O218" s="32"/>
      <c r="P218" s="33"/>
      <c r="Q218" s="34"/>
      <c r="R218" s="34"/>
      <c r="S218" s="34"/>
      <c r="T218" s="34"/>
    </row>
    <row r="219" spans="2:20" ht="14.1" customHeight="1" x14ac:dyDescent="0.2">
      <c r="B219" s="30"/>
      <c r="C219" s="30"/>
      <c r="D219" s="30"/>
      <c r="E219" s="49"/>
      <c r="F219" s="31"/>
      <c r="G219" s="31"/>
      <c r="H219" s="31"/>
      <c r="I219" s="31"/>
      <c r="J219" s="31"/>
      <c r="K219" s="31"/>
      <c r="L219" s="31"/>
      <c r="M219" s="31"/>
      <c r="N219" s="32"/>
      <c r="O219" s="32"/>
      <c r="P219" s="33"/>
      <c r="Q219" s="34"/>
      <c r="R219" s="34"/>
      <c r="S219" s="34"/>
      <c r="T219" s="34"/>
    </row>
    <row r="220" spans="2:20" ht="14.1" customHeight="1" x14ac:dyDescent="0.2">
      <c r="B220" s="30"/>
      <c r="C220" s="30"/>
      <c r="D220" s="30"/>
      <c r="E220" s="49"/>
      <c r="F220" s="31"/>
      <c r="G220" s="31"/>
      <c r="H220" s="31"/>
      <c r="I220" s="31"/>
      <c r="J220" s="31"/>
      <c r="K220" s="31"/>
      <c r="L220" s="31"/>
      <c r="M220" s="31"/>
      <c r="N220" s="32"/>
      <c r="O220" s="32"/>
      <c r="P220" s="33"/>
      <c r="Q220" s="34"/>
      <c r="R220" s="34"/>
      <c r="S220" s="34"/>
      <c r="T220" s="34"/>
    </row>
    <row r="221" spans="2:20" ht="14.1" customHeight="1" x14ac:dyDescent="0.2">
      <c r="B221" s="30"/>
      <c r="C221" s="30"/>
      <c r="D221" s="30"/>
      <c r="E221" s="49"/>
      <c r="F221" s="31"/>
      <c r="G221" s="31"/>
      <c r="H221" s="31"/>
      <c r="I221" s="31"/>
      <c r="J221" s="31"/>
      <c r="K221" s="31"/>
      <c r="L221" s="31"/>
      <c r="M221" s="31"/>
      <c r="N221" s="32"/>
      <c r="O221" s="32"/>
      <c r="P221" s="33"/>
      <c r="Q221" s="34"/>
      <c r="R221" s="34"/>
      <c r="S221" s="34"/>
      <c r="T221" s="34"/>
    </row>
    <row r="222" spans="2:20" ht="14.1" customHeight="1" x14ac:dyDescent="0.2">
      <c r="B222" s="30"/>
      <c r="C222" s="30"/>
      <c r="D222" s="30"/>
      <c r="E222" s="49"/>
      <c r="F222" s="31"/>
      <c r="G222" s="31"/>
      <c r="H222" s="31"/>
      <c r="I222" s="31"/>
      <c r="J222" s="31"/>
      <c r="K222" s="31"/>
      <c r="L222" s="31"/>
      <c r="M222" s="31"/>
      <c r="N222" s="32"/>
      <c r="O222" s="32"/>
      <c r="P222" s="33"/>
      <c r="Q222" s="34"/>
      <c r="R222" s="34"/>
      <c r="S222" s="34"/>
      <c r="T222" s="34"/>
    </row>
    <row r="223" spans="2:20" ht="14.1" customHeight="1" x14ac:dyDescent="0.2">
      <c r="B223" s="30"/>
      <c r="C223" s="30"/>
      <c r="D223" s="30"/>
      <c r="E223" s="49"/>
      <c r="F223" s="31"/>
      <c r="G223" s="31"/>
      <c r="H223" s="31"/>
      <c r="I223" s="31"/>
      <c r="J223" s="31"/>
      <c r="K223" s="31"/>
      <c r="L223" s="31"/>
      <c r="M223" s="31"/>
      <c r="N223" s="32"/>
      <c r="O223" s="32"/>
      <c r="P223" s="33"/>
      <c r="Q223" s="34"/>
      <c r="R223" s="34"/>
      <c r="S223" s="34"/>
      <c r="T223" s="34"/>
    </row>
    <row r="224" spans="2:20" ht="14.1" customHeight="1" x14ac:dyDescent="0.2">
      <c r="B224" s="30"/>
      <c r="C224" s="30"/>
      <c r="D224" s="30"/>
      <c r="E224" s="49"/>
      <c r="F224" s="31"/>
      <c r="G224" s="31"/>
      <c r="H224" s="31"/>
      <c r="I224" s="31"/>
      <c r="J224" s="31"/>
      <c r="K224" s="31"/>
      <c r="L224" s="31"/>
      <c r="M224" s="31"/>
      <c r="N224" s="32"/>
      <c r="O224" s="32"/>
      <c r="P224" s="33"/>
      <c r="Q224" s="34"/>
      <c r="R224" s="34"/>
      <c r="S224" s="34"/>
      <c r="T224" s="34"/>
    </row>
    <row r="225" spans="2:20" ht="14.1" customHeight="1" x14ac:dyDescent="0.2">
      <c r="B225" s="30"/>
      <c r="C225" s="30"/>
      <c r="D225" s="30"/>
      <c r="E225" s="49"/>
      <c r="F225" s="31"/>
      <c r="G225" s="31"/>
      <c r="H225" s="31"/>
      <c r="I225" s="31"/>
      <c r="J225" s="31"/>
      <c r="K225" s="31"/>
      <c r="L225" s="31"/>
      <c r="M225" s="31"/>
      <c r="N225" s="32"/>
      <c r="O225" s="32"/>
      <c r="P225" s="33"/>
      <c r="Q225" s="34"/>
      <c r="R225" s="34"/>
      <c r="S225" s="34"/>
      <c r="T225" s="34"/>
    </row>
    <row r="226" spans="2:20" ht="14.1" customHeight="1" x14ac:dyDescent="0.2">
      <c r="B226" s="30"/>
      <c r="C226" s="30"/>
      <c r="D226" s="30"/>
      <c r="E226" s="49"/>
      <c r="F226" s="31"/>
      <c r="G226" s="31"/>
      <c r="H226" s="31"/>
      <c r="I226" s="31"/>
      <c r="J226" s="31"/>
      <c r="K226" s="31"/>
      <c r="L226" s="31"/>
      <c r="M226" s="31"/>
      <c r="N226" s="32"/>
      <c r="O226" s="32"/>
      <c r="P226" s="33"/>
      <c r="Q226" s="34"/>
      <c r="R226" s="34"/>
      <c r="S226" s="34"/>
      <c r="T226" s="34"/>
    </row>
    <row r="227" spans="2:20" ht="14.1" customHeight="1" x14ac:dyDescent="0.2">
      <c r="B227" s="30"/>
      <c r="C227" s="30"/>
      <c r="D227" s="30"/>
      <c r="E227" s="49"/>
      <c r="F227" s="31"/>
      <c r="G227" s="31"/>
      <c r="H227" s="31"/>
      <c r="I227" s="31"/>
      <c r="J227" s="31"/>
      <c r="K227" s="31"/>
      <c r="L227" s="31"/>
      <c r="M227" s="31"/>
      <c r="N227" s="32"/>
      <c r="O227" s="32"/>
      <c r="P227" s="33"/>
      <c r="Q227" s="34"/>
      <c r="R227" s="34"/>
      <c r="S227" s="34"/>
      <c r="T227" s="34"/>
    </row>
    <row r="228" spans="2:20" ht="14.1" customHeight="1" x14ac:dyDescent="0.2">
      <c r="B228" s="30"/>
      <c r="C228" s="30"/>
      <c r="D228" s="30"/>
      <c r="E228" s="49"/>
      <c r="F228" s="31"/>
      <c r="G228" s="31"/>
      <c r="H228" s="31"/>
      <c r="I228" s="31"/>
      <c r="J228" s="31"/>
      <c r="K228" s="31"/>
      <c r="L228" s="31"/>
      <c r="M228" s="31"/>
      <c r="N228" s="32"/>
      <c r="O228" s="32"/>
      <c r="P228" s="33"/>
      <c r="Q228" s="34"/>
      <c r="R228" s="34"/>
      <c r="S228" s="34"/>
      <c r="T228" s="34"/>
    </row>
    <row r="229" spans="2:20" ht="14.1" customHeight="1" x14ac:dyDescent="0.2">
      <c r="B229" s="30"/>
      <c r="C229" s="30"/>
      <c r="D229" s="30"/>
      <c r="E229" s="49"/>
      <c r="F229" s="31"/>
      <c r="G229" s="31"/>
      <c r="H229" s="31"/>
      <c r="I229" s="31"/>
      <c r="J229" s="31"/>
      <c r="K229" s="31"/>
      <c r="L229" s="31"/>
      <c r="M229" s="31"/>
      <c r="N229" s="32"/>
      <c r="O229" s="32"/>
      <c r="P229" s="33"/>
      <c r="Q229" s="34"/>
      <c r="R229" s="34"/>
      <c r="S229" s="34"/>
      <c r="T229" s="34"/>
    </row>
    <row r="230" spans="2:20" ht="14.1" customHeight="1" x14ac:dyDescent="0.2">
      <c r="B230" s="30"/>
      <c r="C230" s="30"/>
      <c r="D230" s="30"/>
      <c r="E230" s="49"/>
      <c r="F230" s="31"/>
      <c r="G230" s="31"/>
      <c r="H230" s="31"/>
      <c r="I230" s="31"/>
      <c r="J230" s="31"/>
      <c r="K230" s="31"/>
      <c r="L230" s="31"/>
      <c r="M230" s="31"/>
      <c r="N230" s="32"/>
      <c r="O230" s="32"/>
      <c r="P230" s="33"/>
      <c r="Q230" s="34"/>
      <c r="R230" s="34"/>
      <c r="S230" s="34"/>
      <c r="T230" s="34"/>
    </row>
    <row r="231" spans="2:20" ht="14.1" customHeight="1" x14ac:dyDescent="0.2">
      <c r="B231" s="30"/>
      <c r="C231" s="30"/>
      <c r="D231" s="30"/>
      <c r="E231" s="49"/>
      <c r="F231" s="31"/>
      <c r="G231" s="31"/>
      <c r="H231" s="31"/>
      <c r="I231" s="31"/>
      <c r="J231" s="31"/>
      <c r="K231" s="31"/>
      <c r="L231" s="31"/>
      <c r="M231" s="31"/>
      <c r="N231" s="32"/>
      <c r="O231" s="32"/>
      <c r="P231" s="33"/>
      <c r="Q231" s="34"/>
      <c r="R231" s="34"/>
      <c r="S231" s="34"/>
      <c r="T231" s="34"/>
    </row>
    <row r="232" spans="2:20" ht="14.1" customHeight="1" x14ac:dyDescent="0.2">
      <c r="B232" s="30"/>
      <c r="C232" s="30"/>
      <c r="D232" s="30"/>
      <c r="E232" s="49"/>
      <c r="F232" s="31"/>
      <c r="G232" s="31"/>
      <c r="H232" s="31"/>
      <c r="I232" s="31"/>
      <c r="J232" s="31"/>
      <c r="K232" s="31"/>
      <c r="L232" s="31"/>
      <c r="M232" s="31"/>
      <c r="N232" s="32"/>
      <c r="O232" s="32"/>
      <c r="P232" s="33"/>
      <c r="Q232" s="34"/>
      <c r="R232" s="34"/>
      <c r="S232" s="34"/>
      <c r="T232" s="34"/>
    </row>
    <row r="233" spans="2:20" ht="14.1" customHeight="1" x14ac:dyDescent="0.2">
      <c r="B233" s="30"/>
      <c r="C233" s="30"/>
      <c r="D233" s="30"/>
      <c r="E233" s="49"/>
      <c r="F233" s="31"/>
      <c r="G233" s="31"/>
      <c r="H233" s="31"/>
      <c r="I233" s="31"/>
      <c r="J233" s="31"/>
      <c r="K233" s="31"/>
      <c r="L233" s="31"/>
      <c r="M233" s="31"/>
      <c r="N233" s="32"/>
      <c r="O233" s="32"/>
      <c r="P233" s="33"/>
      <c r="Q233" s="34"/>
      <c r="R233" s="34"/>
      <c r="S233" s="34"/>
      <c r="T233" s="34"/>
    </row>
    <row r="234" spans="2:20" ht="14.1" customHeight="1" x14ac:dyDescent="0.2">
      <c r="B234" s="30"/>
      <c r="C234" s="30"/>
      <c r="D234" s="30"/>
      <c r="E234" s="49"/>
      <c r="F234" s="31"/>
      <c r="G234" s="31"/>
      <c r="H234" s="31"/>
      <c r="I234" s="31"/>
      <c r="J234" s="31"/>
      <c r="K234" s="31"/>
      <c r="L234" s="31"/>
      <c r="M234" s="31"/>
      <c r="N234" s="32"/>
      <c r="O234" s="32"/>
      <c r="P234" s="33"/>
      <c r="Q234" s="34"/>
      <c r="R234" s="34"/>
      <c r="S234" s="34"/>
      <c r="T234" s="34"/>
    </row>
    <row r="235" spans="2:20" ht="14.1" customHeight="1" x14ac:dyDescent="0.2">
      <c r="B235" s="30"/>
      <c r="C235" s="30"/>
      <c r="D235" s="30"/>
      <c r="E235" s="49"/>
      <c r="F235" s="31"/>
      <c r="G235" s="31"/>
      <c r="H235" s="31"/>
      <c r="I235" s="31"/>
      <c r="J235" s="31"/>
      <c r="K235" s="31"/>
      <c r="L235" s="31"/>
      <c r="M235" s="31"/>
      <c r="N235" s="32"/>
      <c r="O235" s="32"/>
      <c r="P235" s="33"/>
      <c r="Q235" s="34"/>
      <c r="R235" s="34"/>
      <c r="S235" s="34"/>
      <c r="T235" s="34"/>
    </row>
    <row r="236" spans="2:20" ht="14.1" customHeight="1" x14ac:dyDescent="0.2">
      <c r="B236" s="30"/>
      <c r="C236" s="30"/>
      <c r="D236" s="30"/>
      <c r="E236" s="49"/>
      <c r="F236" s="31"/>
      <c r="G236" s="31"/>
      <c r="H236" s="31"/>
      <c r="I236" s="31"/>
      <c r="J236" s="31"/>
      <c r="K236" s="31"/>
      <c r="L236" s="31"/>
      <c r="M236" s="31"/>
      <c r="N236" s="32"/>
      <c r="O236" s="32"/>
      <c r="P236" s="33"/>
      <c r="Q236" s="34"/>
      <c r="R236" s="34"/>
      <c r="S236" s="34"/>
      <c r="T236" s="34"/>
    </row>
    <row r="237" spans="2:20" ht="14.1" customHeight="1" x14ac:dyDescent="0.2">
      <c r="B237" s="30"/>
      <c r="C237" s="30"/>
      <c r="D237" s="30"/>
      <c r="E237" s="49"/>
      <c r="F237" s="31"/>
      <c r="G237" s="31"/>
      <c r="H237" s="31"/>
      <c r="I237" s="31"/>
      <c r="J237" s="31"/>
      <c r="K237" s="31"/>
      <c r="L237" s="31"/>
      <c r="M237" s="31"/>
      <c r="N237" s="32"/>
      <c r="O237" s="32"/>
      <c r="P237" s="33"/>
      <c r="Q237" s="34"/>
      <c r="R237" s="34"/>
      <c r="S237" s="34"/>
      <c r="T237" s="34"/>
    </row>
    <row r="238" spans="2:20" ht="14.1" customHeight="1" x14ac:dyDescent="0.2">
      <c r="B238" s="30"/>
      <c r="C238" s="30"/>
      <c r="D238" s="30"/>
      <c r="E238" s="49"/>
      <c r="F238" s="31"/>
      <c r="G238" s="31"/>
      <c r="H238" s="31"/>
      <c r="I238" s="31"/>
      <c r="J238" s="31"/>
      <c r="K238" s="31"/>
      <c r="L238" s="31"/>
      <c r="M238" s="31"/>
      <c r="N238" s="32"/>
      <c r="O238" s="32"/>
      <c r="P238" s="33"/>
      <c r="Q238" s="34"/>
      <c r="R238" s="34"/>
      <c r="S238" s="34"/>
      <c r="T238" s="34"/>
    </row>
    <row r="239" spans="2:20" ht="14.1" customHeight="1" x14ac:dyDescent="0.2">
      <c r="B239" s="30"/>
      <c r="C239" s="30"/>
      <c r="D239" s="30"/>
      <c r="E239" s="49"/>
      <c r="F239" s="31"/>
      <c r="G239" s="31"/>
      <c r="H239" s="31"/>
      <c r="I239" s="31"/>
      <c r="J239" s="31"/>
      <c r="K239" s="31"/>
      <c r="L239" s="31"/>
      <c r="M239" s="31"/>
      <c r="N239" s="32"/>
      <c r="O239" s="32"/>
      <c r="P239" s="33"/>
      <c r="Q239" s="34"/>
      <c r="R239" s="34"/>
      <c r="S239" s="34"/>
      <c r="T239" s="34"/>
    </row>
    <row r="240" spans="2:20" ht="14.1" customHeight="1" x14ac:dyDescent="0.2">
      <c r="B240" s="30"/>
      <c r="C240" s="30"/>
      <c r="D240" s="30"/>
      <c r="E240" s="49"/>
      <c r="F240" s="31"/>
      <c r="G240" s="31"/>
      <c r="H240" s="31"/>
      <c r="I240" s="31"/>
      <c r="J240" s="31"/>
      <c r="K240" s="31"/>
      <c r="L240" s="31"/>
      <c r="M240" s="31"/>
      <c r="N240" s="32"/>
      <c r="O240" s="32"/>
      <c r="P240" s="33"/>
      <c r="Q240" s="34"/>
      <c r="R240" s="34"/>
      <c r="S240" s="34"/>
      <c r="T240" s="34"/>
    </row>
    <row r="241" spans="2:20" ht="14.1" customHeight="1" x14ac:dyDescent="0.2">
      <c r="B241" s="30"/>
      <c r="C241" s="30"/>
      <c r="D241" s="30"/>
      <c r="E241" s="49"/>
      <c r="F241" s="31"/>
      <c r="G241" s="31"/>
      <c r="H241" s="31"/>
      <c r="I241" s="31"/>
      <c r="J241" s="31"/>
      <c r="K241" s="31"/>
      <c r="L241" s="31"/>
      <c r="M241" s="31"/>
      <c r="N241" s="32"/>
      <c r="O241" s="32"/>
      <c r="P241" s="33"/>
      <c r="Q241" s="34"/>
      <c r="R241" s="34"/>
      <c r="S241" s="34"/>
      <c r="T241" s="34"/>
    </row>
    <row r="242" spans="2:20" ht="14.1" customHeight="1" x14ac:dyDescent="0.2">
      <c r="B242" s="30"/>
      <c r="C242" s="30"/>
      <c r="D242" s="30"/>
      <c r="E242" s="49"/>
      <c r="F242" s="31"/>
      <c r="G242" s="31"/>
      <c r="H242" s="31"/>
      <c r="I242" s="31"/>
      <c r="J242" s="31"/>
      <c r="K242" s="31"/>
      <c r="L242" s="31"/>
      <c r="M242" s="31"/>
      <c r="N242" s="32"/>
      <c r="O242" s="32"/>
      <c r="P242" s="33"/>
      <c r="Q242" s="34"/>
      <c r="R242" s="34"/>
      <c r="S242" s="34"/>
      <c r="T242" s="34"/>
    </row>
    <row r="243" spans="2:20" ht="14.1" customHeight="1" x14ac:dyDescent="0.2">
      <c r="B243" s="30"/>
      <c r="C243" s="30"/>
      <c r="D243" s="30"/>
      <c r="E243" s="49"/>
      <c r="F243" s="31"/>
      <c r="G243" s="31"/>
      <c r="H243" s="31"/>
      <c r="I243" s="31"/>
      <c r="J243" s="31"/>
      <c r="K243" s="31"/>
      <c r="L243" s="31"/>
      <c r="M243" s="31"/>
      <c r="N243" s="32"/>
      <c r="O243" s="32"/>
      <c r="P243" s="33"/>
      <c r="Q243" s="34"/>
      <c r="R243" s="34"/>
      <c r="S243" s="34"/>
      <c r="T243" s="34"/>
    </row>
    <row r="244" spans="2:20" ht="14.1" customHeight="1" x14ac:dyDescent="0.2">
      <c r="B244" s="30"/>
      <c r="C244" s="30"/>
      <c r="D244" s="30"/>
      <c r="E244" s="49"/>
      <c r="F244" s="31"/>
      <c r="G244" s="31"/>
      <c r="H244" s="31"/>
      <c r="I244" s="31"/>
      <c r="J244" s="31"/>
      <c r="K244" s="31"/>
      <c r="L244" s="31"/>
      <c r="M244" s="31"/>
      <c r="N244" s="32"/>
      <c r="O244" s="32"/>
      <c r="P244" s="33"/>
      <c r="Q244" s="34"/>
      <c r="R244" s="34"/>
      <c r="S244" s="34"/>
      <c r="T244" s="34"/>
    </row>
    <row r="245" spans="2:20" ht="14.1" customHeight="1" x14ac:dyDescent="0.2">
      <c r="B245" s="30"/>
      <c r="C245" s="30"/>
      <c r="D245" s="30"/>
      <c r="E245" s="49"/>
      <c r="F245" s="31"/>
      <c r="G245" s="31"/>
      <c r="H245" s="31"/>
      <c r="I245" s="31"/>
      <c r="J245" s="31"/>
      <c r="K245" s="31"/>
      <c r="L245" s="31"/>
      <c r="M245" s="31"/>
      <c r="N245" s="32"/>
      <c r="O245" s="32"/>
      <c r="P245" s="33"/>
      <c r="Q245" s="34"/>
      <c r="R245" s="34"/>
      <c r="S245" s="34"/>
      <c r="T245" s="34"/>
    </row>
    <row r="246" spans="2:20" ht="14.1" customHeight="1" x14ac:dyDescent="0.2">
      <c r="B246" s="30"/>
      <c r="C246" s="30"/>
      <c r="D246" s="30"/>
      <c r="E246" s="49"/>
      <c r="F246" s="31"/>
      <c r="G246" s="31"/>
      <c r="H246" s="31"/>
      <c r="I246" s="31"/>
      <c r="J246" s="31"/>
      <c r="K246" s="31"/>
      <c r="L246" s="31"/>
      <c r="M246" s="31"/>
      <c r="N246" s="32"/>
      <c r="O246" s="32"/>
      <c r="P246" s="33"/>
      <c r="Q246" s="34"/>
      <c r="R246" s="34"/>
      <c r="S246" s="34"/>
      <c r="T246" s="34"/>
    </row>
    <row r="247" spans="2:20" ht="14.1" customHeight="1" x14ac:dyDescent="0.2">
      <c r="B247" s="30"/>
      <c r="C247" s="30"/>
      <c r="D247" s="30"/>
      <c r="E247" s="49"/>
      <c r="F247" s="31"/>
      <c r="G247" s="31"/>
      <c r="H247" s="31"/>
      <c r="I247" s="31"/>
      <c r="J247" s="31"/>
      <c r="K247" s="31"/>
      <c r="L247" s="31"/>
      <c r="M247" s="31"/>
      <c r="N247" s="32"/>
      <c r="O247" s="32"/>
      <c r="P247" s="33"/>
      <c r="Q247" s="34"/>
      <c r="R247" s="34"/>
      <c r="S247" s="34"/>
      <c r="T247" s="34"/>
    </row>
    <row r="248" spans="2:20" ht="14.1" customHeight="1" x14ac:dyDescent="0.2">
      <c r="B248" s="30"/>
      <c r="C248" s="30"/>
      <c r="D248" s="30"/>
      <c r="E248" s="49"/>
      <c r="F248" s="31"/>
      <c r="G248" s="31"/>
      <c r="H248" s="31"/>
      <c r="I248" s="31"/>
      <c r="J248" s="31"/>
      <c r="K248" s="31"/>
      <c r="L248" s="31"/>
      <c r="M248" s="31"/>
      <c r="N248" s="32"/>
      <c r="O248" s="32"/>
      <c r="P248" s="33"/>
      <c r="Q248" s="34"/>
      <c r="R248" s="34"/>
      <c r="S248" s="34"/>
      <c r="T248" s="34"/>
    </row>
    <row r="249" spans="2:20" ht="14.1" customHeight="1" x14ac:dyDescent="0.2">
      <c r="B249" s="30"/>
      <c r="C249" s="30"/>
      <c r="D249" s="30"/>
      <c r="E249" s="49"/>
      <c r="F249" s="31"/>
      <c r="G249" s="31"/>
      <c r="H249" s="31"/>
      <c r="I249" s="31"/>
      <c r="J249" s="31"/>
      <c r="K249" s="31"/>
      <c r="L249" s="31"/>
      <c r="M249" s="31"/>
      <c r="N249" s="32"/>
      <c r="O249" s="32"/>
      <c r="P249" s="33"/>
      <c r="Q249" s="34"/>
      <c r="R249" s="34"/>
      <c r="S249" s="34"/>
      <c r="T249" s="34"/>
    </row>
    <row r="250" spans="2:20" ht="14.1" customHeight="1" x14ac:dyDescent="0.2">
      <c r="B250" s="30"/>
      <c r="C250" s="30"/>
      <c r="D250" s="30"/>
      <c r="E250" s="49"/>
      <c r="F250" s="31"/>
      <c r="G250" s="31"/>
      <c r="H250" s="31"/>
      <c r="I250" s="31"/>
      <c r="J250" s="31"/>
      <c r="K250" s="31"/>
      <c r="L250" s="31"/>
      <c r="M250" s="31"/>
      <c r="N250" s="32"/>
      <c r="O250" s="32"/>
      <c r="P250" s="33"/>
      <c r="Q250" s="34"/>
      <c r="R250" s="34"/>
      <c r="S250" s="34"/>
      <c r="T250" s="34"/>
    </row>
    <row r="251" spans="2:20" ht="14.1" customHeight="1" x14ac:dyDescent="0.2">
      <c r="B251" s="30"/>
      <c r="C251" s="30"/>
      <c r="D251" s="30"/>
      <c r="E251" s="49"/>
      <c r="F251" s="31"/>
      <c r="G251" s="31"/>
      <c r="H251" s="31"/>
      <c r="I251" s="31"/>
      <c r="J251" s="31"/>
      <c r="K251" s="31"/>
      <c r="L251" s="31"/>
      <c r="M251" s="31"/>
      <c r="N251" s="32"/>
      <c r="O251" s="32"/>
      <c r="P251" s="33"/>
      <c r="Q251" s="34"/>
      <c r="R251" s="34"/>
      <c r="S251" s="34"/>
      <c r="T251" s="34"/>
    </row>
    <row r="252" spans="2:20" ht="14.1" customHeight="1" x14ac:dyDescent="0.2">
      <c r="B252" s="30"/>
      <c r="C252" s="30"/>
      <c r="D252" s="30"/>
      <c r="E252" s="49"/>
      <c r="F252" s="31"/>
      <c r="G252" s="31"/>
      <c r="H252" s="31"/>
      <c r="I252" s="31"/>
      <c r="J252" s="31"/>
      <c r="K252" s="31"/>
      <c r="L252" s="31"/>
      <c r="M252" s="31"/>
      <c r="N252" s="32"/>
      <c r="O252" s="32"/>
      <c r="P252" s="33"/>
      <c r="Q252" s="34"/>
      <c r="R252" s="34"/>
      <c r="S252" s="34"/>
      <c r="T252" s="34"/>
    </row>
    <row r="253" spans="2:20" ht="14.1" customHeight="1" x14ac:dyDescent="0.2">
      <c r="B253" s="30"/>
      <c r="C253" s="30"/>
      <c r="D253" s="30"/>
      <c r="E253" s="49"/>
      <c r="F253" s="31"/>
      <c r="G253" s="31"/>
      <c r="H253" s="31"/>
      <c r="I253" s="31"/>
      <c r="J253" s="31"/>
      <c r="K253" s="31"/>
      <c r="L253" s="31"/>
      <c r="M253" s="31"/>
      <c r="N253" s="32"/>
      <c r="O253" s="32"/>
      <c r="P253" s="33"/>
      <c r="Q253" s="34"/>
      <c r="R253" s="34"/>
      <c r="S253" s="34"/>
      <c r="T253" s="34"/>
    </row>
    <row r="254" spans="2:20" ht="14.1" customHeight="1" x14ac:dyDescent="0.2">
      <c r="B254" s="30"/>
      <c r="C254" s="30"/>
      <c r="D254" s="30"/>
      <c r="E254" s="49"/>
      <c r="F254" s="31"/>
      <c r="G254" s="31"/>
      <c r="H254" s="31"/>
      <c r="I254" s="31"/>
      <c r="J254" s="31"/>
      <c r="K254" s="31"/>
      <c r="L254" s="31"/>
      <c r="M254" s="31"/>
      <c r="N254" s="32"/>
      <c r="O254" s="32"/>
      <c r="P254" s="33"/>
      <c r="Q254" s="34"/>
      <c r="R254" s="34"/>
      <c r="S254" s="34"/>
      <c r="T254" s="34"/>
    </row>
    <row r="255" spans="2:20" ht="14.1" customHeight="1" x14ac:dyDescent="0.2">
      <c r="B255" s="30"/>
      <c r="C255" s="30"/>
      <c r="D255" s="30"/>
      <c r="E255" s="49"/>
      <c r="F255" s="31"/>
      <c r="G255" s="31"/>
      <c r="H255" s="31"/>
      <c r="I255" s="31"/>
      <c r="J255" s="31"/>
      <c r="K255" s="31"/>
      <c r="L255" s="31"/>
      <c r="M255" s="31"/>
      <c r="N255" s="32"/>
      <c r="O255" s="32"/>
      <c r="P255" s="33"/>
      <c r="Q255" s="34"/>
      <c r="R255" s="34"/>
      <c r="S255" s="34"/>
      <c r="T255" s="34"/>
    </row>
    <row r="256" spans="2:20" ht="14.1" customHeight="1" x14ac:dyDescent="0.2">
      <c r="B256" s="30"/>
      <c r="C256" s="30"/>
      <c r="D256" s="30"/>
      <c r="E256" s="49"/>
      <c r="F256" s="31"/>
      <c r="G256" s="31"/>
      <c r="H256" s="31"/>
      <c r="I256" s="31"/>
      <c r="J256" s="31"/>
      <c r="K256" s="31"/>
      <c r="L256" s="31"/>
      <c r="M256" s="31"/>
      <c r="N256" s="32"/>
      <c r="O256" s="32"/>
      <c r="P256" s="33"/>
      <c r="Q256" s="34"/>
      <c r="R256" s="34"/>
      <c r="S256" s="34"/>
      <c r="T256" s="34"/>
    </row>
    <row r="257" spans="2:20" ht="14.1" customHeight="1" x14ac:dyDescent="0.2">
      <c r="B257" s="30"/>
      <c r="C257" s="30"/>
      <c r="D257" s="30"/>
      <c r="E257" s="49"/>
      <c r="F257" s="31"/>
      <c r="G257" s="31"/>
      <c r="H257" s="31"/>
      <c r="I257" s="31"/>
      <c r="J257" s="31"/>
      <c r="K257" s="31"/>
      <c r="L257" s="31"/>
      <c r="M257" s="31"/>
      <c r="N257" s="32"/>
      <c r="O257" s="32"/>
      <c r="P257" s="33"/>
      <c r="Q257" s="34"/>
      <c r="R257" s="34"/>
      <c r="S257" s="34"/>
      <c r="T257" s="34"/>
    </row>
    <row r="258" spans="2:20" ht="14.1" customHeight="1" x14ac:dyDescent="0.2">
      <c r="B258" s="30"/>
      <c r="C258" s="30"/>
      <c r="D258" s="30"/>
      <c r="E258" s="49"/>
      <c r="F258" s="31"/>
      <c r="G258" s="31"/>
      <c r="H258" s="31"/>
      <c r="I258" s="31"/>
      <c r="J258" s="31"/>
      <c r="K258" s="31"/>
      <c r="L258" s="31"/>
      <c r="M258" s="31"/>
      <c r="N258" s="32"/>
      <c r="O258" s="32"/>
      <c r="P258" s="33"/>
      <c r="Q258" s="34"/>
      <c r="R258" s="34"/>
      <c r="S258" s="34"/>
      <c r="T258" s="34"/>
    </row>
    <row r="259" spans="2:20" ht="14.1" customHeight="1" x14ac:dyDescent="0.2">
      <c r="B259" s="30"/>
      <c r="C259" s="30"/>
      <c r="D259" s="30"/>
      <c r="E259" s="49"/>
      <c r="F259" s="31"/>
      <c r="G259" s="31"/>
      <c r="H259" s="31"/>
      <c r="I259" s="31"/>
      <c r="J259" s="31"/>
      <c r="K259" s="31"/>
      <c r="L259" s="31"/>
      <c r="M259" s="31"/>
      <c r="N259" s="32"/>
      <c r="O259" s="32"/>
      <c r="P259" s="33"/>
      <c r="Q259" s="34"/>
      <c r="R259" s="34"/>
      <c r="S259" s="34"/>
      <c r="T259" s="34"/>
    </row>
    <row r="260" spans="2:20" ht="14.1" customHeight="1" x14ac:dyDescent="0.2">
      <c r="B260" s="30"/>
      <c r="C260" s="30"/>
      <c r="D260" s="30"/>
      <c r="E260" s="49"/>
      <c r="F260" s="31"/>
      <c r="G260" s="31"/>
      <c r="H260" s="31"/>
      <c r="I260" s="31"/>
      <c r="J260" s="31"/>
      <c r="K260" s="31"/>
      <c r="L260" s="31"/>
      <c r="M260" s="31"/>
      <c r="N260" s="32"/>
      <c r="O260" s="32"/>
      <c r="P260" s="33"/>
      <c r="Q260" s="34"/>
      <c r="R260" s="34"/>
      <c r="S260" s="34"/>
      <c r="T260" s="34"/>
    </row>
    <row r="261" spans="2:20" ht="14.1" customHeight="1" x14ac:dyDescent="0.2">
      <c r="B261" s="30"/>
      <c r="C261" s="30"/>
      <c r="D261" s="30"/>
      <c r="E261" s="49"/>
      <c r="F261" s="31"/>
      <c r="G261" s="31"/>
      <c r="H261" s="31"/>
      <c r="I261" s="31"/>
      <c r="J261" s="31"/>
      <c r="K261" s="31"/>
      <c r="L261" s="31"/>
      <c r="M261" s="31"/>
      <c r="N261" s="32"/>
      <c r="O261" s="32"/>
      <c r="P261" s="33"/>
      <c r="Q261" s="34"/>
      <c r="R261" s="34"/>
      <c r="S261" s="34"/>
      <c r="T261" s="34"/>
    </row>
    <row r="262" spans="2:20" ht="14.1" customHeight="1" x14ac:dyDescent="0.2">
      <c r="B262" s="30"/>
      <c r="C262" s="30"/>
      <c r="D262" s="30"/>
      <c r="E262" s="49"/>
      <c r="F262" s="31"/>
      <c r="G262" s="31"/>
      <c r="H262" s="31"/>
      <c r="I262" s="31"/>
      <c r="J262" s="31"/>
      <c r="K262" s="31"/>
      <c r="L262" s="31"/>
      <c r="M262" s="31"/>
      <c r="N262" s="32"/>
      <c r="O262" s="32"/>
      <c r="P262" s="33"/>
      <c r="Q262" s="34"/>
      <c r="R262" s="34"/>
      <c r="S262" s="34"/>
      <c r="T262" s="34"/>
    </row>
    <row r="263" spans="2:20" ht="14.1" customHeight="1" x14ac:dyDescent="0.2">
      <c r="B263" s="30"/>
      <c r="C263" s="30"/>
      <c r="D263" s="30"/>
      <c r="E263" s="49"/>
      <c r="F263" s="31"/>
      <c r="G263" s="31"/>
      <c r="H263" s="31"/>
      <c r="I263" s="31"/>
      <c r="J263" s="31"/>
      <c r="K263" s="31"/>
      <c r="L263" s="31"/>
      <c r="M263" s="31"/>
      <c r="N263" s="32"/>
      <c r="O263" s="32"/>
      <c r="P263" s="33"/>
      <c r="Q263" s="34"/>
      <c r="R263" s="34"/>
      <c r="S263" s="34"/>
      <c r="T263" s="34"/>
    </row>
    <row r="264" spans="2:20" ht="14.1" customHeight="1" x14ac:dyDescent="0.2">
      <c r="B264" s="30"/>
      <c r="C264" s="30"/>
      <c r="D264" s="30"/>
      <c r="E264" s="49"/>
      <c r="F264" s="31"/>
      <c r="G264" s="31"/>
      <c r="H264" s="31"/>
      <c r="I264" s="31"/>
      <c r="J264" s="31"/>
      <c r="K264" s="31"/>
      <c r="L264" s="31"/>
      <c r="M264" s="31"/>
      <c r="N264" s="32"/>
      <c r="O264" s="32"/>
      <c r="P264" s="33"/>
      <c r="Q264" s="34"/>
      <c r="R264" s="34"/>
      <c r="S264" s="34"/>
      <c r="T264" s="34"/>
    </row>
    <row r="265" spans="2:20" ht="14.1" customHeight="1" x14ac:dyDescent="0.2">
      <c r="B265" s="30"/>
      <c r="C265" s="30"/>
      <c r="D265" s="30"/>
      <c r="E265" s="49"/>
      <c r="F265" s="31"/>
      <c r="G265" s="31"/>
      <c r="H265" s="31"/>
      <c r="I265" s="31"/>
      <c r="J265" s="31"/>
      <c r="K265" s="31"/>
      <c r="L265" s="31"/>
      <c r="M265" s="31"/>
      <c r="N265" s="32"/>
      <c r="O265" s="32"/>
      <c r="P265" s="33"/>
      <c r="Q265" s="34"/>
      <c r="R265" s="34"/>
      <c r="S265" s="34"/>
      <c r="T265" s="34"/>
    </row>
    <row r="266" spans="2:20" ht="14.1" customHeight="1" x14ac:dyDescent="0.2">
      <c r="B266" s="30"/>
      <c r="C266" s="30"/>
      <c r="D266" s="30"/>
      <c r="E266" s="49"/>
      <c r="F266" s="31"/>
      <c r="G266" s="31"/>
      <c r="H266" s="31"/>
      <c r="I266" s="31"/>
      <c r="J266" s="31"/>
      <c r="K266" s="31"/>
      <c r="L266" s="31"/>
      <c r="M266" s="31"/>
      <c r="N266" s="32"/>
      <c r="O266" s="32"/>
      <c r="P266" s="33"/>
      <c r="Q266" s="34"/>
      <c r="R266" s="34"/>
      <c r="S266" s="34"/>
      <c r="T266" s="34"/>
    </row>
    <row r="267" spans="2:20" ht="14.1" customHeight="1" x14ac:dyDescent="0.2">
      <c r="B267" s="30"/>
      <c r="C267" s="30"/>
      <c r="D267" s="30"/>
      <c r="E267" s="49"/>
      <c r="F267" s="31"/>
      <c r="G267" s="31"/>
      <c r="H267" s="31"/>
      <c r="I267" s="31"/>
      <c r="J267" s="31"/>
      <c r="K267" s="31"/>
      <c r="L267" s="31"/>
      <c r="M267" s="31"/>
      <c r="N267" s="32"/>
      <c r="O267" s="32"/>
      <c r="P267" s="33"/>
      <c r="Q267" s="34"/>
      <c r="R267" s="34"/>
      <c r="S267" s="34"/>
      <c r="T267" s="34"/>
    </row>
    <row r="268" spans="2:20" ht="14.1" customHeight="1" x14ac:dyDescent="0.2">
      <c r="B268" s="30"/>
      <c r="C268" s="30"/>
      <c r="D268" s="30"/>
      <c r="E268" s="49"/>
      <c r="F268" s="31"/>
      <c r="G268" s="31"/>
      <c r="H268" s="31"/>
      <c r="I268" s="31"/>
      <c r="J268" s="31"/>
      <c r="K268" s="31"/>
      <c r="L268" s="31"/>
      <c r="M268" s="31"/>
      <c r="N268" s="32"/>
      <c r="O268" s="32"/>
      <c r="P268" s="33"/>
      <c r="Q268" s="34"/>
      <c r="R268" s="34"/>
      <c r="S268" s="34"/>
      <c r="T268" s="34"/>
    </row>
    <row r="269" spans="2:20" ht="14.1" customHeight="1" x14ac:dyDescent="0.2">
      <c r="B269" s="30"/>
      <c r="C269" s="30"/>
      <c r="D269" s="30"/>
      <c r="E269" s="49"/>
      <c r="F269" s="31"/>
      <c r="G269" s="31"/>
      <c r="H269" s="31"/>
      <c r="I269" s="31"/>
      <c r="J269" s="31"/>
      <c r="K269" s="31"/>
      <c r="L269" s="31"/>
      <c r="M269" s="31"/>
      <c r="N269" s="32"/>
      <c r="O269" s="32"/>
      <c r="P269" s="33"/>
      <c r="Q269" s="34"/>
      <c r="R269" s="34"/>
      <c r="S269" s="34"/>
      <c r="T269" s="34"/>
    </row>
    <row r="270" spans="2:20" ht="14.1" customHeight="1" x14ac:dyDescent="0.2">
      <c r="B270" s="30"/>
      <c r="C270" s="30"/>
      <c r="D270" s="30"/>
      <c r="E270" s="49"/>
      <c r="F270" s="31"/>
      <c r="G270" s="31"/>
      <c r="H270" s="31"/>
      <c r="I270" s="31"/>
      <c r="J270" s="31"/>
      <c r="K270" s="31"/>
      <c r="L270" s="31"/>
      <c r="M270" s="31"/>
      <c r="N270" s="32"/>
      <c r="O270" s="32"/>
      <c r="P270" s="33"/>
      <c r="Q270" s="34"/>
      <c r="R270" s="34"/>
      <c r="S270" s="34"/>
      <c r="T270" s="34"/>
    </row>
    <row r="271" spans="2:20" ht="14.1" customHeight="1" x14ac:dyDescent="0.2">
      <c r="B271" s="30"/>
      <c r="C271" s="30"/>
      <c r="D271" s="30"/>
      <c r="E271" s="49"/>
      <c r="F271" s="31"/>
      <c r="G271" s="31"/>
      <c r="H271" s="31"/>
      <c r="I271" s="31"/>
      <c r="J271" s="31"/>
      <c r="K271" s="31"/>
      <c r="L271" s="31"/>
      <c r="M271" s="31"/>
      <c r="N271" s="32"/>
      <c r="O271" s="32"/>
      <c r="P271" s="33"/>
      <c r="Q271" s="34"/>
      <c r="R271" s="34"/>
      <c r="S271" s="34"/>
      <c r="T271" s="34"/>
    </row>
    <row r="272" spans="2:20" ht="14.1" customHeight="1" x14ac:dyDescent="0.2">
      <c r="B272" s="30"/>
      <c r="C272" s="30"/>
      <c r="D272" s="30"/>
      <c r="E272" s="49"/>
      <c r="F272" s="31"/>
      <c r="G272" s="31"/>
      <c r="H272" s="31"/>
      <c r="I272" s="31"/>
      <c r="J272" s="31"/>
      <c r="K272" s="31"/>
      <c r="L272" s="31"/>
      <c r="M272" s="31"/>
      <c r="N272" s="32"/>
      <c r="O272" s="32"/>
      <c r="P272" s="33"/>
      <c r="Q272" s="34"/>
      <c r="R272" s="34"/>
      <c r="S272" s="34"/>
      <c r="T272" s="34"/>
    </row>
    <row r="273" spans="2:20" ht="14.1" customHeight="1" x14ac:dyDescent="0.2">
      <c r="B273" s="30"/>
      <c r="C273" s="30"/>
      <c r="D273" s="30"/>
      <c r="E273" s="49"/>
      <c r="F273" s="31"/>
      <c r="G273" s="31"/>
      <c r="H273" s="31"/>
      <c r="I273" s="31"/>
      <c r="J273" s="31"/>
      <c r="K273" s="31"/>
      <c r="L273" s="31"/>
      <c r="M273" s="31"/>
      <c r="N273" s="32"/>
      <c r="O273" s="32"/>
      <c r="P273" s="33"/>
      <c r="Q273" s="34"/>
      <c r="R273" s="34"/>
      <c r="S273" s="34"/>
      <c r="T273" s="34"/>
    </row>
    <row r="274" spans="2:20" ht="14.1" customHeight="1" x14ac:dyDescent="0.2">
      <c r="B274" s="30"/>
      <c r="C274" s="30"/>
      <c r="D274" s="30"/>
      <c r="E274" s="49"/>
      <c r="F274" s="31"/>
      <c r="G274" s="31"/>
      <c r="H274" s="31"/>
      <c r="I274" s="31"/>
      <c r="J274" s="31"/>
      <c r="K274" s="31"/>
      <c r="L274" s="31"/>
      <c r="M274" s="31"/>
      <c r="N274" s="32"/>
      <c r="O274" s="32"/>
      <c r="P274" s="33"/>
      <c r="Q274" s="34"/>
      <c r="R274" s="34"/>
      <c r="S274" s="34"/>
      <c r="T274" s="34"/>
    </row>
    <row r="275" spans="2:20" ht="14.1" customHeight="1" x14ac:dyDescent="0.2">
      <c r="B275" s="30"/>
      <c r="C275" s="30"/>
      <c r="D275" s="30"/>
      <c r="E275" s="49"/>
      <c r="F275" s="31"/>
      <c r="G275" s="31"/>
      <c r="H275" s="31"/>
      <c r="I275" s="31"/>
      <c r="J275" s="31"/>
      <c r="K275" s="31"/>
      <c r="L275" s="31"/>
      <c r="M275" s="31"/>
      <c r="N275" s="32"/>
      <c r="O275" s="32"/>
      <c r="P275" s="33"/>
      <c r="Q275" s="34"/>
      <c r="R275" s="34"/>
      <c r="S275" s="34"/>
      <c r="T275" s="34"/>
    </row>
    <row r="276" spans="2:20" ht="14.1" customHeight="1" x14ac:dyDescent="0.2">
      <c r="B276" s="30"/>
      <c r="C276" s="30"/>
      <c r="D276" s="30"/>
      <c r="E276" s="49"/>
      <c r="F276" s="31"/>
      <c r="G276" s="31"/>
      <c r="H276" s="31"/>
      <c r="I276" s="31"/>
      <c r="J276" s="31"/>
      <c r="K276" s="31"/>
      <c r="L276" s="31"/>
      <c r="M276" s="31"/>
      <c r="N276" s="32"/>
      <c r="O276" s="32"/>
      <c r="P276" s="33"/>
      <c r="Q276" s="34"/>
      <c r="R276" s="34"/>
      <c r="S276" s="34"/>
      <c r="T276" s="34"/>
    </row>
    <row r="277" spans="2:20" ht="14.1" customHeight="1" x14ac:dyDescent="0.2">
      <c r="B277" s="30"/>
      <c r="C277" s="30"/>
      <c r="D277" s="30"/>
      <c r="E277" s="49"/>
      <c r="F277" s="31"/>
      <c r="G277" s="31"/>
      <c r="H277" s="31"/>
      <c r="I277" s="31"/>
      <c r="J277" s="31"/>
      <c r="K277" s="31"/>
      <c r="L277" s="31"/>
      <c r="M277" s="31"/>
      <c r="N277" s="32"/>
      <c r="O277" s="32"/>
      <c r="P277" s="33"/>
      <c r="Q277" s="34"/>
      <c r="R277" s="34"/>
      <c r="S277" s="34"/>
      <c r="T277" s="34"/>
    </row>
    <row r="278" spans="2:20" ht="14.1" customHeight="1" x14ac:dyDescent="0.2">
      <c r="B278" s="30"/>
      <c r="C278" s="30"/>
      <c r="D278" s="30"/>
      <c r="E278" s="49"/>
      <c r="F278" s="31"/>
      <c r="G278" s="31"/>
      <c r="H278" s="31"/>
      <c r="I278" s="31"/>
      <c r="J278" s="31"/>
      <c r="K278" s="31"/>
      <c r="L278" s="31"/>
      <c r="M278" s="31"/>
      <c r="N278" s="32"/>
      <c r="O278" s="32"/>
      <c r="P278" s="33"/>
      <c r="Q278" s="34"/>
      <c r="R278" s="34"/>
      <c r="S278" s="34"/>
      <c r="T278" s="34"/>
    </row>
    <row r="279" spans="2:20" ht="14.1" customHeight="1" x14ac:dyDescent="0.2">
      <c r="B279" s="30"/>
      <c r="C279" s="30"/>
      <c r="D279" s="30"/>
      <c r="E279" s="49"/>
      <c r="F279" s="31"/>
      <c r="G279" s="31"/>
      <c r="H279" s="31"/>
      <c r="I279" s="31"/>
      <c r="J279" s="31"/>
      <c r="K279" s="31"/>
      <c r="L279" s="31"/>
      <c r="M279" s="31"/>
      <c r="N279" s="32"/>
      <c r="O279" s="32"/>
      <c r="P279" s="33"/>
      <c r="Q279" s="34"/>
      <c r="R279" s="34"/>
      <c r="S279" s="34"/>
      <c r="T279" s="34"/>
    </row>
    <row r="280" spans="2:20" ht="14.1" customHeight="1" x14ac:dyDescent="0.2">
      <c r="B280" s="30"/>
      <c r="C280" s="30"/>
      <c r="D280" s="30"/>
      <c r="E280" s="49"/>
      <c r="F280" s="31"/>
      <c r="G280" s="31"/>
      <c r="H280" s="31"/>
      <c r="I280" s="31"/>
      <c r="J280" s="31"/>
      <c r="K280" s="31"/>
      <c r="L280" s="31"/>
      <c r="M280" s="31"/>
      <c r="N280" s="32"/>
      <c r="O280" s="32"/>
      <c r="P280" s="33"/>
      <c r="Q280" s="34"/>
      <c r="R280" s="34"/>
      <c r="S280" s="34"/>
      <c r="T280" s="34"/>
    </row>
    <row r="281" spans="2:20" ht="14.1" customHeight="1" x14ac:dyDescent="0.2">
      <c r="B281" s="30"/>
      <c r="C281" s="30"/>
      <c r="D281" s="30"/>
      <c r="E281" s="49"/>
      <c r="F281" s="31"/>
      <c r="G281" s="31"/>
      <c r="H281" s="31"/>
      <c r="I281" s="31"/>
      <c r="J281" s="31"/>
      <c r="K281" s="31"/>
      <c r="L281" s="31"/>
      <c r="M281" s="31"/>
      <c r="N281" s="32"/>
      <c r="O281" s="32"/>
      <c r="P281" s="33"/>
      <c r="Q281" s="34"/>
      <c r="R281" s="34"/>
      <c r="S281" s="34"/>
      <c r="T281" s="34"/>
    </row>
    <row r="282" spans="2:20" ht="14.1" customHeight="1" x14ac:dyDescent="0.2">
      <c r="B282" s="30"/>
      <c r="C282" s="30"/>
      <c r="D282" s="30"/>
      <c r="E282" s="49"/>
      <c r="F282" s="31"/>
      <c r="G282" s="31"/>
      <c r="H282" s="31"/>
      <c r="I282" s="31"/>
      <c r="J282" s="31"/>
      <c r="K282" s="31"/>
      <c r="L282" s="31"/>
      <c r="M282" s="31"/>
      <c r="N282" s="32"/>
      <c r="O282" s="32"/>
      <c r="P282" s="33"/>
      <c r="Q282" s="34"/>
      <c r="R282" s="34"/>
      <c r="S282" s="34"/>
      <c r="T282" s="34"/>
    </row>
    <row r="283" spans="2:20" ht="14.1" customHeight="1" x14ac:dyDescent="0.2">
      <c r="B283" s="30"/>
      <c r="C283" s="30"/>
      <c r="D283" s="30"/>
      <c r="E283" s="49"/>
      <c r="F283" s="31"/>
      <c r="G283" s="31"/>
      <c r="H283" s="31"/>
      <c r="I283" s="31"/>
      <c r="J283" s="31"/>
      <c r="K283" s="31"/>
      <c r="L283" s="31"/>
      <c r="M283" s="31"/>
      <c r="N283" s="32"/>
      <c r="O283" s="32"/>
      <c r="P283" s="33"/>
      <c r="Q283" s="34"/>
      <c r="R283" s="34"/>
      <c r="S283" s="34"/>
      <c r="T283" s="34"/>
    </row>
    <row r="284" spans="2:20" ht="14.1" customHeight="1" x14ac:dyDescent="0.2">
      <c r="B284" s="30"/>
      <c r="C284" s="30"/>
      <c r="D284" s="30"/>
      <c r="E284" s="49"/>
      <c r="F284" s="31"/>
      <c r="G284" s="31"/>
      <c r="H284" s="31"/>
      <c r="I284" s="31"/>
      <c r="J284" s="31"/>
      <c r="K284" s="31"/>
      <c r="L284" s="31"/>
      <c r="M284" s="31"/>
      <c r="N284" s="32"/>
      <c r="O284" s="32"/>
      <c r="P284" s="33"/>
      <c r="Q284" s="34"/>
      <c r="R284" s="34"/>
      <c r="S284" s="34"/>
      <c r="T284" s="34"/>
    </row>
    <row r="285" spans="2:20" ht="14.1" customHeight="1" x14ac:dyDescent="0.2">
      <c r="B285" s="30"/>
      <c r="C285" s="30"/>
      <c r="D285" s="30"/>
      <c r="E285" s="49"/>
      <c r="F285" s="31"/>
      <c r="G285" s="31"/>
      <c r="H285" s="31"/>
      <c r="I285" s="31"/>
      <c r="J285" s="31"/>
      <c r="K285" s="31"/>
      <c r="L285" s="31"/>
      <c r="M285" s="31"/>
      <c r="N285" s="32"/>
      <c r="O285" s="32"/>
      <c r="P285" s="33"/>
      <c r="Q285" s="34"/>
      <c r="R285" s="34"/>
      <c r="S285" s="34"/>
      <c r="T285" s="34"/>
    </row>
    <row r="286" spans="2:20" ht="14.1" customHeight="1" x14ac:dyDescent="0.2">
      <c r="B286" s="30"/>
      <c r="C286" s="30"/>
      <c r="D286" s="30"/>
      <c r="E286" s="49"/>
      <c r="F286" s="31"/>
      <c r="G286" s="31"/>
      <c r="H286" s="31"/>
      <c r="I286" s="31"/>
      <c r="J286" s="31"/>
      <c r="K286" s="31"/>
      <c r="L286" s="31"/>
      <c r="M286" s="31"/>
      <c r="N286" s="32"/>
      <c r="O286" s="32"/>
      <c r="P286" s="33"/>
      <c r="Q286" s="34"/>
      <c r="R286" s="34"/>
      <c r="S286" s="34"/>
      <c r="T286" s="34"/>
    </row>
    <row r="287" spans="2:20" ht="14.1" customHeight="1" x14ac:dyDescent="0.2">
      <c r="B287" s="30"/>
      <c r="C287" s="30"/>
      <c r="D287" s="30"/>
      <c r="E287" s="49"/>
      <c r="F287" s="31"/>
      <c r="G287" s="31"/>
      <c r="H287" s="31"/>
      <c r="I287" s="31"/>
      <c r="J287" s="31"/>
      <c r="K287" s="31"/>
      <c r="L287" s="31"/>
      <c r="M287" s="31"/>
      <c r="N287" s="32"/>
      <c r="O287" s="32"/>
      <c r="P287" s="33"/>
      <c r="Q287" s="34"/>
      <c r="R287" s="34"/>
      <c r="S287" s="34"/>
      <c r="T287" s="34"/>
    </row>
    <row r="288" spans="2:20" ht="14.1" customHeight="1" x14ac:dyDescent="0.2">
      <c r="B288" s="30"/>
      <c r="C288" s="30"/>
      <c r="D288" s="30"/>
      <c r="E288" s="49"/>
      <c r="F288" s="31"/>
      <c r="G288" s="31"/>
      <c r="H288" s="31"/>
      <c r="I288" s="31"/>
      <c r="J288" s="31"/>
      <c r="K288" s="31"/>
      <c r="L288" s="31"/>
      <c r="M288" s="31"/>
      <c r="N288" s="32"/>
      <c r="O288" s="32"/>
      <c r="P288" s="33"/>
      <c r="Q288" s="34"/>
      <c r="R288" s="34"/>
      <c r="S288" s="34"/>
      <c r="T288" s="34"/>
    </row>
    <row r="289" spans="2:20" ht="14.1" customHeight="1" x14ac:dyDescent="0.2">
      <c r="B289" s="30"/>
      <c r="C289" s="30"/>
      <c r="D289" s="30"/>
      <c r="E289" s="49"/>
      <c r="F289" s="31"/>
      <c r="G289" s="31"/>
      <c r="H289" s="31"/>
      <c r="I289" s="31"/>
      <c r="J289" s="31"/>
      <c r="K289" s="31"/>
      <c r="L289" s="31"/>
      <c r="M289" s="31"/>
      <c r="N289" s="32"/>
      <c r="O289" s="32"/>
      <c r="P289" s="33"/>
      <c r="Q289" s="34"/>
      <c r="R289" s="34"/>
      <c r="S289" s="34"/>
      <c r="T289" s="34"/>
    </row>
    <row r="290" spans="2:20" ht="14.1" customHeight="1" x14ac:dyDescent="0.2">
      <c r="B290" s="30"/>
      <c r="C290" s="30"/>
      <c r="D290" s="30"/>
      <c r="E290" s="49"/>
      <c r="F290" s="31"/>
      <c r="G290" s="31"/>
      <c r="H290" s="31"/>
      <c r="I290" s="31"/>
      <c r="J290" s="31"/>
      <c r="K290" s="31"/>
      <c r="L290" s="31"/>
      <c r="M290" s="31"/>
      <c r="N290" s="32"/>
      <c r="O290" s="32"/>
      <c r="P290" s="33"/>
      <c r="Q290" s="34"/>
      <c r="R290" s="34"/>
      <c r="S290" s="34"/>
      <c r="T290" s="34"/>
    </row>
    <row r="291" spans="2:20" ht="14.1" customHeight="1" x14ac:dyDescent="0.2">
      <c r="B291" s="30"/>
      <c r="C291" s="30"/>
      <c r="D291" s="30"/>
      <c r="E291" s="49"/>
      <c r="F291" s="31"/>
      <c r="G291" s="31"/>
      <c r="H291" s="31"/>
      <c r="I291" s="31"/>
      <c r="J291" s="31"/>
      <c r="K291" s="31"/>
      <c r="L291" s="31"/>
      <c r="M291" s="31"/>
      <c r="N291" s="32"/>
      <c r="O291" s="32"/>
      <c r="P291" s="33"/>
      <c r="Q291" s="34"/>
      <c r="R291" s="34"/>
      <c r="S291" s="34"/>
      <c r="T291" s="34"/>
    </row>
    <row r="292" spans="2:20" ht="14.1" customHeight="1" x14ac:dyDescent="0.2">
      <c r="B292" s="30"/>
      <c r="C292" s="30"/>
      <c r="D292" s="30"/>
      <c r="E292" s="49"/>
      <c r="F292" s="31"/>
      <c r="G292" s="31"/>
      <c r="H292" s="31"/>
      <c r="I292" s="31"/>
      <c r="J292" s="31"/>
      <c r="K292" s="31"/>
      <c r="L292" s="31"/>
      <c r="M292" s="31"/>
      <c r="N292" s="32"/>
      <c r="O292" s="32"/>
      <c r="P292" s="33"/>
      <c r="Q292" s="34"/>
      <c r="R292" s="34"/>
      <c r="S292" s="34"/>
      <c r="T292" s="34"/>
    </row>
    <row r="293" spans="2:20" ht="14.1" customHeight="1" x14ac:dyDescent="0.2">
      <c r="B293" s="30"/>
      <c r="C293" s="30"/>
      <c r="D293" s="30"/>
      <c r="E293" s="49"/>
      <c r="F293" s="31"/>
      <c r="G293" s="31"/>
      <c r="H293" s="31"/>
      <c r="I293" s="31"/>
      <c r="J293" s="31"/>
      <c r="K293" s="31"/>
      <c r="L293" s="31"/>
      <c r="M293" s="31"/>
      <c r="N293" s="32"/>
      <c r="O293" s="32"/>
      <c r="P293" s="33"/>
      <c r="Q293" s="34"/>
      <c r="R293" s="34"/>
      <c r="S293" s="34"/>
      <c r="T293" s="34"/>
    </row>
    <row r="294" spans="2:20" ht="14.1" customHeight="1" x14ac:dyDescent="0.2">
      <c r="B294" s="30"/>
      <c r="C294" s="30"/>
      <c r="D294" s="30"/>
      <c r="E294" s="49"/>
      <c r="F294" s="31"/>
      <c r="G294" s="31"/>
      <c r="H294" s="31"/>
      <c r="I294" s="31"/>
      <c r="J294" s="31"/>
      <c r="K294" s="31"/>
      <c r="L294" s="31"/>
      <c r="M294" s="31"/>
      <c r="N294" s="32"/>
      <c r="O294" s="32"/>
      <c r="P294" s="33"/>
      <c r="Q294" s="34"/>
      <c r="R294" s="34"/>
      <c r="S294" s="34"/>
      <c r="T294" s="34"/>
    </row>
    <row r="295" spans="2:20" ht="14.1" customHeight="1" x14ac:dyDescent="0.2">
      <c r="B295" s="30"/>
      <c r="C295" s="30"/>
      <c r="D295" s="30"/>
      <c r="E295" s="49"/>
      <c r="F295" s="31"/>
      <c r="G295" s="31"/>
      <c r="H295" s="31"/>
      <c r="I295" s="31"/>
      <c r="J295" s="31"/>
      <c r="K295" s="31"/>
      <c r="L295" s="31"/>
      <c r="M295" s="31"/>
      <c r="N295" s="32"/>
      <c r="O295" s="32"/>
      <c r="P295" s="33"/>
      <c r="Q295" s="34"/>
      <c r="R295" s="34"/>
      <c r="S295" s="34"/>
      <c r="T295" s="34"/>
    </row>
    <row r="296" spans="2:20" ht="14.1" customHeight="1" x14ac:dyDescent="0.2">
      <c r="B296" s="30"/>
      <c r="C296" s="30"/>
      <c r="D296" s="30"/>
      <c r="E296" s="49"/>
      <c r="F296" s="31"/>
      <c r="G296" s="31"/>
      <c r="H296" s="31"/>
      <c r="I296" s="31"/>
      <c r="J296" s="31"/>
      <c r="K296" s="31"/>
      <c r="L296" s="31"/>
      <c r="M296" s="31"/>
      <c r="N296" s="32"/>
      <c r="O296" s="32"/>
      <c r="P296" s="33"/>
      <c r="Q296" s="34"/>
      <c r="R296" s="34"/>
      <c r="S296" s="34"/>
      <c r="T296" s="34"/>
    </row>
    <row r="297" spans="2:20" ht="14.1" customHeight="1" x14ac:dyDescent="0.2">
      <c r="B297" s="30"/>
      <c r="C297" s="30"/>
      <c r="D297" s="30"/>
      <c r="E297" s="49"/>
      <c r="F297" s="31"/>
      <c r="G297" s="31"/>
      <c r="H297" s="31"/>
      <c r="I297" s="31"/>
      <c r="J297" s="31"/>
      <c r="K297" s="31"/>
      <c r="L297" s="31"/>
      <c r="M297" s="31"/>
      <c r="N297" s="32"/>
      <c r="O297" s="32"/>
      <c r="P297" s="33"/>
      <c r="Q297" s="34"/>
      <c r="R297" s="34"/>
      <c r="S297" s="34"/>
      <c r="T297" s="34"/>
    </row>
    <row r="298" spans="2:20" ht="14.1" customHeight="1" x14ac:dyDescent="0.2">
      <c r="B298" s="30"/>
      <c r="C298" s="30"/>
      <c r="D298" s="30"/>
      <c r="E298" s="49"/>
      <c r="F298" s="31"/>
      <c r="G298" s="31"/>
      <c r="H298" s="31"/>
      <c r="I298" s="31"/>
      <c r="J298" s="31"/>
      <c r="K298" s="31"/>
      <c r="L298" s="31"/>
      <c r="M298" s="31"/>
      <c r="N298" s="32"/>
      <c r="O298" s="32"/>
      <c r="P298" s="33"/>
      <c r="Q298" s="34"/>
      <c r="R298" s="34"/>
      <c r="S298" s="34"/>
      <c r="T298" s="34"/>
    </row>
    <row r="299" spans="2:20" ht="14.1" customHeight="1" x14ac:dyDescent="0.2">
      <c r="B299" s="30"/>
      <c r="C299" s="30"/>
      <c r="D299" s="30"/>
      <c r="E299" s="49"/>
      <c r="F299" s="31"/>
      <c r="G299" s="31"/>
      <c r="H299" s="31"/>
      <c r="I299" s="31"/>
      <c r="J299" s="31"/>
      <c r="K299" s="31"/>
      <c r="L299" s="31"/>
      <c r="M299" s="31"/>
      <c r="N299" s="32"/>
      <c r="O299" s="32"/>
      <c r="P299" s="33"/>
      <c r="Q299" s="34"/>
      <c r="R299" s="34"/>
      <c r="S299" s="34"/>
      <c r="T299" s="34"/>
    </row>
    <row r="300" spans="2:20" ht="14.1" customHeight="1" x14ac:dyDescent="0.2">
      <c r="B300" s="30"/>
      <c r="C300" s="30"/>
      <c r="D300" s="30"/>
      <c r="E300" s="49"/>
      <c r="F300" s="31"/>
      <c r="G300" s="31"/>
      <c r="H300" s="31"/>
      <c r="I300" s="31"/>
      <c r="J300" s="31"/>
      <c r="K300" s="31"/>
      <c r="L300" s="31"/>
      <c r="M300" s="31"/>
      <c r="N300" s="32"/>
      <c r="O300" s="32"/>
      <c r="P300" s="33"/>
      <c r="Q300" s="34"/>
      <c r="R300" s="34"/>
      <c r="S300" s="34"/>
      <c r="T300" s="34"/>
    </row>
    <row r="301" spans="2:20" ht="14.1" customHeight="1" x14ac:dyDescent="0.2">
      <c r="B301" s="30"/>
      <c r="C301" s="30"/>
      <c r="D301" s="30"/>
      <c r="E301" s="49"/>
      <c r="F301" s="31"/>
      <c r="G301" s="31"/>
      <c r="H301" s="31"/>
      <c r="I301" s="31"/>
      <c r="J301" s="31"/>
      <c r="K301" s="31"/>
      <c r="L301" s="31"/>
      <c r="M301" s="31"/>
      <c r="N301" s="32"/>
      <c r="O301" s="32"/>
      <c r="P301" s="33"/>
      <c r="Q301" s="34"/>
      <c r="R301" s="34"/>
      <c r="S301" s="34"/>
      <c r="T301" s="34"/>
    </row>
    <row r="302" spans="2:20" ht="14.1" customHeight="1" x14ac:dyDescent="0.2">
      <c r="B302" s="30"/>
      <c r="C302" s="30"/>
      <c r="D302" s="30"/>
      <c r="E302" s="49"/>
      <c r="F302" s="31"/>
      <c r="G302" s="31"/>
      <c r="H302" s="31"/>
      <c r="I302" s="31"/>
      <c r="J302" s="31"/>
      <c r="K302" s="31"/>
      <c r="L302" s="31"/>
      <c r="M302" s="31"/>
      <c r="N302" s="32"/>
      <c r="O302" s="32"/>
      <c r="P302" s="33"/>
      <c r="Q302" s="34"/>
      <c r="R302" s="34"/>
      <c r="S302" s="34"/>
      <c r="T302" s="34"/>
    </row>
    <row r="303" spans="2:20" ht="14.1" customHeight="1" x14ac:dyDescent="0.2">
      <c r="B303" s="30"/>
      <c r="C303" s="30"/>
      <c r="D303" s="30"/>
      <c r="E303" s="49"/>
      <c r="F303" s="31"/>
      <c r="G303" s="31"/>
      <c r="H303" s="31"/>
      <c r="I303" s="31"/>
      <c r="J303" s="31"/>
      <c r="K303" s="31"/>
      <c r="L303" s="31"/>
      <c r="M303" s="31"/>
      <c r="N303" s="32"/>
      <c r="O303" s="32"/>
      <c r="P303" s="33"/>
      <c r="Q303" s="34"/>
      <c r="R303" s="34"/>
      <c r="S303" s="34"/>
      <c r="T303" s="34"/>
    </row>
    <row r="304" spans="2:20" ht="14.1" customHeight="1" x14ac:dyDescent="0.2">
      <c r="B304" s="30"/>
      <c r="C304" s="30"/>
      <c r="D304" s="30"/>
      <c r="E304" s="49"/>
      <c r="F304" s="31"/>
      <c r="G304" s="31"/>
      <c r="H304" s="31"/>
      <c r="I304" s="31"/>
      <c r="J304" s="31"/>
      <c r="K304" s="31"/>
      <c r="L304" s="31"/>
      <c r="M304" s="31"/>
      <c r="N304" s="32"/>
      <c r="O304" s="32"/>
      <c r="P304" s="33"/>
      <c r="Q304" s="34"/>
      <c r="R304" s="34"/>
      <c r="S304" s="34"/>
      <c r="T304" s="34"/>
    </row>
    <row r="305" spans="2:20" ht="14.1" customHeight="1" x14ac:dyDescent="0.2">
      <c r="B305" s="30"/>
      <c r="C305" s="30"/>
      <c r="D305" s="30"/>
      <c r="E305" s="49"/>
      <c r="F305" s="31"/>
      <c r="G305" s="31"/>
      <c r="H305" s="31"/>
      <c r="I305" s="31"/>
      <c r="J305" s="31"/>
      <c r="K305" s="31"/>
      <c r="L305" s="31"/>
      <c r="M305" s="31"/>
      <c r="N305" s="32"/>
      <c r="O305" s="32"/>
      <c r="P305" s="33"/>
      <c r="Q305" s="34"/>
      <c r="R305" s="34"/>
      <c r="S305" s="34"/>
      <c r="T305" s="34"/>
    </row>
    <row r="306" spans="2:20" ht="14.1" customHeight="1" x14ac:dyDescent="0.2">
      <c r="B306" s="30"/>
      <c r="C306" s="30"/>
      <c r="D306" s="30"/>
      <c r="E306" s="49"/>
      <c r="F306" s="31"/>
      <c r="G306" s="31"/>
      <c r="H306" s="31"/>
      <c r="I306" s="31"/>
      <c r="J306" s="31"/>
      <c r="K306" s="31"/>
      <c r="L306" s="31"/>
      <c r="M306" s="31"/>
      <c r="N306" s="32"/>
      <c r="O306" s="32"/>
      <c r="P306" s="33"/>
      <c r="Q306" s="34"/>
      <c r="R306" s="34"/>
      <c r="S306" s="34"/>
      <c r="T306" s="34"/>
    </row>
    <row r="307" spans="2:20" ht="14.1" customHeight="1" x14ac:dyDescent="0.2">
      <c r="B307" s="30"/>
      <c r="C307" s="30"/>
      <c r="D307" s="30"/>
      <c r="E307" s="49"/>
      <c r="F307" s="31"/>
      <c r="G307" s="31"/>
      <c r="H307" s="31"/>
      <c r="I307" s="31"/>
      <c r="J307" s="31"/>
      <c r="K307" s="31"/>
      <c r="L307" s="31"/>
      <c r="M307" s="31"/>
      <c r="N307" s="32"/>
      <c r="O307" s="32"/>
      <c r="P307" s="33"/>
      <c r="Q307" s="34"/>
      <c r="R307" s="34"/>
      <c r="S307" s="34"/>
      <c r="T307" s="34"/>
    </row>
    <row r="308" spans="2:20" ht="14.1" customHeight="1" x14ac:dyDescent="0.2">
      <c r="B308" s="30"/>
      <c r="C308" s="30"/>
      <c r="D308" s="30"/>
      <c r="E308" s="49"/>
      <c r="F308" s="31"/>
      <c r="G308" s="31"/>
      <c r="H308" s="31"/>
      <c r="I308" s="31"/>
      <c r="J308" s="31"/>
      <c r="K308" s="31"/>
      <c r="L308" s="31"/>
      <c r="M308" s="31"/>
      <c r="N308" s="32"/>
      <c r="O308" s="32"/>
      <c r="P308" s="33"/>
      <c r="Q308" s="34"/>
      <c r="R308" s="34"/>
      <c r="S308" s="34"/>
      <c r="T308" s="34"/>
    </row>
    <row r="309" spans="2:20" ht="14.1" customHeight="1" x14ac:dyDescent="0.2">
      <c r="B309" s="30"/>
      <c r="C309" s="30"/>
      <c r="D309" s="30"/>
      <c r="E309" s="49"/>
      <c r="F309" s="31"/>
      <c r="G309" s="31"/>
      <c r="H309" s="31"/>
      <c r="I309" s="31"/>
      <c r="J309" s="31"/>
      <c r="K309" s="31"/>
      <c r="L309" s="31"/>
      <c r="M309" s="31"/>
      <c r="N309" s="32"/>
      <c r="O309" s="32"/>
      <c r="P309" s="33"/>
      <c r="Q309" s="34"/>
      <c r="R309" s="34"/>
      <c r="S309" s="34"/>
      <c r="T309" s="34"/>
    </row>
    <row r="310" spans="2:20" ht="14.1" customHeight="1" x14ac:dyDescent="0.2">
      <c r="B310" s="30"/>
      <c r="C310" s="30"/>
      <c r="D310" s="30"/>
      <c r="E310" s="49"/>
      <c r="F310" s="31"/>
      <c r="G310" s="31"/>
      <c r="H310" s="31"/>
      <c r="I310" s="31"/>
      <c r="J310" s="31"/>
      <c r="K310" s="31"/>
      <c r="L310" s="31"/>
      <c r="M310" s="31"/>
      <c r="N310" s="32"/>
      <c r="O310" s="32"/>
      <c r="P310" s="33"/>
      <c r="Q310" s="34"/>
      <c r="R310" s="34"/>
      <c r="S310" s="34"/>
      <c r="T310" s="34"/>
    </row>
    <row r="311" spans="2:20" ht="14.1" customHeight="1" x14ac:dyDescent="0.2">
      <c r="B311" s="30"/>
      <c r="C311" s="30"/>
      <c r="D311" s="30"/>
      <c r="E311" s="49"/>
      <c r="F311" s="31"/>
      <c r="G311" s="31"/>
      <c r="H311" s="31"/>
      <c r="I311" s="31"/>
      <c r="J311" s="31"/>
      <c r="K311" s="31"/>
      <c r="L311" s="31"/>
      <c r="M311" s="31"/>
      <c r="N311" s="32"/>
      <c r="O311" s="32"/>
      <c r="P311" s="33"/>
      <c r="Q311" s="34"/>
      <c r="R311" s="34"/>
      <c r="S311" s="34"/>
      <c r="T311" s="34"/>
    </row>
    <row r="312" spans="2:20" ht="14.1" customHeight="1" x14ac:dyDescent="0.2">
      <c r="B312" s="30"/>
      <c r="C312" s="30"/>
      <c r="D312" s="30"/>
      <c r="E312" s="49"/>
      <c r="F312" s="31"/>
      <c r="G312" s="31"/>
      <c r="H312" s="31"/>
      <c r="I312" s="31"/>
      <c r="J312" s="31"/>
      <c r="K312" s="31"/>
      <c r="L312" s="31"/>
      <c r="M312" s="31"/>
      <c r="N312" s="32"/>
      <c r="O312" s="32"/>
      <c r="P312" s="33"/>
      <c r="Q312" s="34"/>
      <c r="R312" s="34"/>
      <c r="S312" s="34"/>
      <c r="T312" s="34"/>
    </row>
    <row r="313" spans="2:20" ht="14.1" customHeight="1" x14ac:dyDescent="0.2">
      <c r="B313" s="30"/>
      <c r="C313" s="30"/>
      <c r="D313" s="30"/>
      <c r="E313" s="49"/>
      <c r="F313" s="31"/>
      <c r="G313" s="31"/>
      <c r="H313" s="31"/>
      <c r="I313" s="31"/>
      <c r="J313" s="31"/>
      <c r="K313" s="31"/>
      <c r="L313" s="31"/>
      <c r="M313" s="31"/>
      <c r="N313" s="32"/>
      <c r="O313" s="32"/>
      <c r="P313" s="33"/>
      <c r="Q313" s="34"/>
      <c r="R313" s="34"/>
      <c r="S313" s="34"/>
      <c r="T313" s="34"/>
    </row>
    <row r="314" spans="2:20" ht="14.1" customHeight="1" x14ac:dyDescent="0.2">
      <c r="B314" s="30"/>
      <c r="C314" s="30"/>
      <c r="D314" s="30"/>
      <c r="E314" s="49"/>
      <c r="F314" s="31"/>
      <c r="G314" s="31"/>
      <c r="H314" s="31"/>
      <c r="I314" s="31"/>
      <c r="J314" s="31"/>
      <c r="K314" s="31"/>
      <c r="L314" s="31"/>
      <c r="M314" s="31"/>
      <c r="N314" s="32"/>
      <c r="O314" s="32"/>
      <c r="P314" s="33"/>
      <c r="Q314" s="34"/>
      <c r="R314" s="34"/>
      <c r="S314" s="34"/>
      <c r="T314" s="34"/>
    </row>
    <row r="315" spans="2:20" ht="14.1" customHeight="1" x14ac:dyDescent="0.2">
      <c r="B315" s="30"/>
      <c r="C315" s="30"/>
      <c r="D315" s="30"/>
      <c r="E315" s="49"/>
      <c r="F315" s="31"/>
      <c r="G315" s="31"/>
      <c r="H315" s="31"/>
      <c r="I315" s="31"/>
      <c r="J315" s="31"/>
      <c r="K315" s="31"/>
      <c r="L315" s="31"/>
      <c r="M315" s="31"/>
      <c r="N315" s="32"/>
      <c r="O315" s="32"/>
      <c r="P315" s="33"/>
      <c r="Q315" s="34"/>
      <c r="R315" s="34"/>
      <c r="S315" s="34"/>
      <c r="T315" s="34"/>
    </row>
    <row r="316" spans="2:20" ht="14.1" customHeight="1" x14ac:dyDescent="0.2">
      <c r="B316" s="30"/>
      <c r="C316" s="30"/>
      <c r="D316" s="30"/>
      <c r="E316" s="49"/>
      <c r="F316" s="31"/>
      <c r="G316" s="31"/>
      <c r="H316" s="31"/>
      <c r="I316" s="31"/>
      <c r="J316" s="31"/>
      <c r="K316" s="31"/>
      <c r="L316" s="31"/>
      <c r="M316" s="31"/>
      <c r="N316" s="32"/>
      <c r="O316" s="32"/>
      <c r="P316" s="33"/>
      <c r="Q316" s="34"/>
      <c r="R316" s="34"/>
      <c r="S316" s="34"/>
      <c r="T316" s="34"/>
    </row>
    <row r="317" spans="2:20" ht="14.1" customHeight="1" x14ac:dyDescent="0.2">
      <c r="B317" s="30"/>
      <c r="C317" s="30"/>
      <c r="D317" s="30"/>
      <c r="E317" s="49"/>
      <c r="F317" s="31"/>
      <c r="G317" s="31"/>
      <c r="H317" s="31"/>
      <c r="I317" s="31"/>
      <c r="J317" s="31"/>
      <c r="K317" s="31"/>
      <c r="L317" s="31"/>
      <c r="M317" s="31"/>
      <c r="N317" s="32"/>
      <c r="O317" s="32"/>
      <c r="P317" s="33"/>
      <c r="Q317" s="34"/>
      <c r="R317" s="34"/>
      <c r="S317" s="34"/>
      <c r="T317" s="34"/>
    </row>
    <row r="318" spans="2:20" ht="14.1" customHeight="1" x14ac:dyDescent="0.2">
      <c r="B318" s="30"/>
      <c r="C318" s="30"/>
      <c r="D318" s="30"/>
      <c r="E318" s="49"/>
      <c r="F318" s="31"/>
      <c r="G318" s="31"/>
      <c r="H318" s="31"/>
      <c r="I318" s="31"/>
      <c r="J318" s="31"/>
      <c r="K318" s="31"/>
      <c r="L318" s="31"/>
      <c r="M318" s="31"/>
      <c r="N318" s="32"/>
      <c r="O318" s="32"/>
      <c r="P318" s="33"/>
      <c r="Q318" s="34"/>
      <c r="R318" s="34"/>
      <c r="S318" s="34"/>
      <c r="T318" s="34"/>
    </row>
    <row r="319" spans="2:20" ht="14.1" customHeight="1" x14ac:dyDescent="0.2">
      <c r="B319" s="30"/>
      <c r="C319" s="30"/>
      <c r="D319" s="30"/>
      <c r="E319" s="49"/>
      <c r="F319" s="31"/>
      <c r="G319" s="31"/>
      <c r="H319" s="31"/>
      <c r="I319" s="31"/>
      <c r="J319" s="31"/>
      <c r="K319" s="31"/>
      <c r="L319" s="31"/>
      <c r="M319" s="31"/>
      <c r="N319" s="32"/>
      <c r="O319" s="32"/>
      <c r="P319" s="33"/>
      <c r="Q319" s="34"/>
      <c r="R319" s="34"/>
      <c r="S319" s="34"/>
      <c r="T319" s="34"/>
    </row>
    <row r="320" spans="2:20" ht="14.1" customHeight="1" x14ac:dyDescent="0.2">
      <c r="B320" s="30"/>
      <c r="C320" s="30"/>
      <c r="D320" s="30"/>
      <c r="E320" s="49"/>
      <c r="F320" s="31"/>
      <c r="G320" s="31"/>
      <c r="H320" s="31"/>
      <c r="I320" s="31"/>
      <c r="J320" s="31"/>
      <c r="K320" s="31"/>
      <c r="L320" s="31"/>
      <c r="M320" s="31"/>
      <c r="N320" s="32"/>
      <c r="O320" s="32"/>
      <c r="P320" s="33"/>
      <c r="Q320" s="34"/>
      <c r="R320" s="34"/>
      <c r="S320" s="34"/>
      <c r="T320" s="34"/>
    </row>
    <row r="321" spans="2:20" ht="14.1" customHeight="1" x14ac:dyDescent="0.2">
      <c r="B321" s="30"/>
      <c r="C321" s="30"/>
      <c r="D321" s="30"/>
      <c r="E321" s="49"/>
      <c r="F321" s="31"/>
      <c r="G321" s="31"/>
      <c r="H321" s="31"/>
      <c r="I321" s="31"/>
      <c r="J321" s="31"/>
      <c r="K321" s="31"/>
      <c r="L321" s="31"/>
      <c r="M321" s="31"/>
      <c r="N321" s="32"/>
      <c r="O321" s="32"/>
      <c r="P321" s="33"/>
      <c r="Q321" s="34"/>
      <c r="R321" s="34"/>
      <c r="S321" s="34"/>
      <c r="T321" s="34"/>
    </row>
    <row r="322" spans="2:20" ht="14.1" customHeight="1" x14ac:dyDescent="0.2">
      <c r="B322" s="30"/>
      <c r="C322" s="30"/>
      <c r="D322" s="30"/>
      <c r="E322" s="49"/>
      <c r="F322" s="31"/>
      <c r="G322" s="31"/>
      <c r="H322" s="31"/>
      <c r="I322" s="31"/>
      <c r="J322" s="31"/>
      <c r="K322" s="31"/>
      <c r="L322" s="31"/>
      <c r="M322" s="31"/>
      <c r="N322" s="32"/>
      <c r="O322" s="32"/>
      <c r="P322" s="33"/>
      <c r="Q322" s="34"/>
      <c r="R322" s="34"/>
      <c r="S322" s="34"/>
      <c r="T322" s="34"/>
    </row>
    <row r="323" spans="2:20" ht="14.1" customHeight="1" x14ac:dyDescent="0.2">
      <c r="B323" s="30"/>
      <c r="C323" s="30"/>
      <c r="D323" s="30"/>
      <c r="E323" s="49"/>
      <c r="F323" s="31"/>
      <c r="G323" s="31"/>
      <c r="H323" s="31"/>
      <c r="I323" s="31"/>
      <c r="J323" s="31"/>
      <c r="K323" s="31"/>
      <c r="L323" s="31"/>
      <c r="M323" s="31"/>
      <c r="N323" s="32"/>
      <c r="O323" s="32"/>
      <c r="P323" s="33"/>
      <c r="Q323" s="34"/>
      <c r="R323" s="34"/>
      <c r="S323" s="34"/>
      <c r="T323" s="34"/>
    </row>
    <row r="324" spans="2:20" ht="14.1" customHeight="1" x14ac:dyDescent="0.2">
      <c r="B324" s="30"/>
      <c r="C324" s="30"/>
      <c r="D324" s="30"/>
      <c r="E324" s="49"/>
      <c r="F324" s="31"/>
      <c r="G324" s="31"/>
      <c r="H324" s="31"/>
      <c r="I324" s="31"/>
      <c r="J324" s="31"/>
      <c r="K324" s="31"/>
      <c r="L324" s="31"/>
      <c r="M324" s="31"/>
      <c r="N324" s="32"/>
      <c r="O324" s="32"/>
      <c r="P324" s="33"/>
      <c r="Q324" s="34"/>
      <c r="R324" s="34"/>
      <c r="S324" s="34"/>
      <c r="T324" s="34"/>
    </row>
    <row r="325" spans="2:20" ht="14.1" customHeight="1" x14ac:dyDescent="0.2">
      <c r="B325" s="30"/>
      <c r="C325" s="30"/>
      <c r="D325" s="30"/>
      <c r="E325" s="49"/>
      <c r="F325" s="31"/>
      <c r="G325" s="31"/>
      <c r="H325" s="31"/>
      <c r="I325" s="31"/>
      <c r="J325" s="31"/>
      <c r="K325" s="31"/>
      <c r="L325" s="31"/>
      <c r="M325" s="31"/>
      <c r="N325" s="32"/>
      <c r="O325" s="32"/>
      <c r="P325" s="33"/>
      <c r="Q325" s="34"/>
      <c r="R325" s="34"/>
      <c r="S325" s="34"/>
      <c r="T325" s="34"/>
    </row>
    <row r="326" spans="2:20" ht="14.1" customHeight="1" x14ac:dyDescent="0.2">
      <c r="B326" s="30"/>
      <c r="C326" s="30"/>
      <c r="D326" s="30"/>
      <c r="E326" s="49"/>
      <c r="F326" s="31"/>
      <c r="G326" s="31"/>
      <c r="H326" s="31"/>
      <c r="I326" s="31"/>
      <c r="J326" s="31"/>
      <c r="K326" s="31"/>
      <c r="L326" s="31"/>
      <c r="M326" s="31"/>
      <c r="N326" s="32"/>
      <c r="O326" s="32"/>
      <c r="P326" s="33"/>
      <c r="Q326" s="34"/>
      <c r="R326" s="34"/>
      <c r="S326" s="34"/>
      <c r="T326" s="34"/>
    </row>
    <row r="327" spans="2:20" ht="14.1" customHeight="1" x14ac:dyDescent="0.2">
      <c r="B327" s="30"/>
      <c r="C327" s="30"/>
      <c r="D327" s="30"/>
      <c r="E327" s="49"/>
      <c r="F327" s="31"/>
      <c r="G327" s="31"/>
      <c r="H327" s="31"/>
      <c r="I327" s="31"/>
      <c r="J327" s="31"/>
      <c r="K327" s="31"/>
      <c r="L327" s="31"/>
      <c r="M327" s="31"/>
      <c r="N327" s="32"/>
      <c r="O327" s="32"/>
      <c r="P327" s="33"/>
      <c r="Q327" s="34"/>
      <c r="R327" s="34"/>
      <c r="S327" s="34"/>
      <c r="T327" s="34"/>
    </row>
    <row r="328" spans="2:20" ht="14.1" customHeight="1" x14ac:dyDescent="0.2">
      <c r="B328" s="30"/>
      <c r="C328" s="30"/>
      <c r="D328" s="30"/>
      <c r="E328" s="49"/>
      <c r="F328" s="31"/>
      <c r="G328" s="31"/>
      <c r="H328" s="31"/>
      <c r="I328" s="31"/>
      <c r="J328" s="31"/>
      <c r="K328" s="31"/>
      <c r="L328" s="31"/>
      <c r="M328" s="31"/>
      <c r="N328" s="32"/>
      <c r="O328" s="32"/>
      <c r="P328" s="33"/>
      <c r="Q328" s="34"/>
      <c r="R328" s="34"/>
      <c r="S328" s="34"/>
      <c r="T328" s="34"/>
    </row>
    <row r="329" spans="2:20" ht="14.1" customHeight="1" x14ac:dyDescent="0.2">
      <c r="B329" s="30"/>
      <c r="C329" s="30"/>
      <c r="D329" s="30"/>
      <c r="E329" s="49"/>
      <c r="F329" s="31"/>
      <c r="G329" s="31"/>
      <c r="H329" s="31"/>
      <c r="I329" s="31"/>
      <c r="J329" s="31"/>
      <c r="K329" s="31"/>
      <c r="L329" s="31"/>
      <c r="M329" s="31"/>
      <c r="N329" s="32"/>
      <c r="O329" s="32"/>
      <c r="P329" s="33"/>
      <c r="Q329" s="34"/>
      <c r="R329" s="34"/>
      <c r="S329" s="34"/>
      <c r="T329" s="34"/>
    </row>
    <row r="330" spans="2:20" ht="14.1" customHeight="1" x14ac:dyDescent="0.2">
      <c r="B330" s="30"/>
      <c r="C330" s="30"/>
      <c r="D330" s="30"/>
      <c r="E330" s="49"/>
      <c r="F330" s="31"/>
      <c r="G330" s="31"/>
      <c r="H330" s="31"/>
      <c r="I330" s="31"/>
      <c r="J330" s="31"/>
      <c r="K330" s="31"/>
      <c r="L330" s="31"/>
      <c r="M330" s="31"/>
      <c r="N330" s="32"/>
      <c r="O330" s="32"/>
      <c r="P330" s="33"/>
      <c r="Q330" s="34"/>
      <c r="R330" s="34"/>
      <c r="S330" s="34"/>
      <c r="T330" s="34"/>
    </row>
    <row r="331" spans="2:20" ht="14.1" customHeight="1" x14ac:dyDescent="0.2">
      <c r="B331" s="30"/>
      <c r="C331" s="30"/>
      <c r="D331" s="30"/>
      <c r="E331" s="49"/>
      <c r="F331" s="31"/>
      <c r="G331" s="31"/>
      <c r="H331" s="31"/>
      <c r="I331" s="31"/>
      <c r="J331" s="31"/>
      <c r="K331" s="31"/>
      <c r="L331" s="31"/>
      <c r="M331" s="31"/>
      <c r="N331" s="32"/>
      <c r="O331" s="32"/>
      <c r="P331" s="33"/>
      <c r="Q331" s="34"/>
      <c r="R331" s="34"/>
      <c r="S331" s="34"/>
      <c r="T331" s="34"/>
    </row>
    <row r="332" spans="2:20" ht="14.1" customHeight="1" x14ac:dyDescent="0.2">
      <c r="B332" s="30"/>
      <c r="C332" s="30"/>
      <c r="D332" s="30"/>
      <c r="E332" s="49"/>
      <c r="F332" s="31"/>
      <c r="G332" s="31"/>
      <c r="H332" s="31"/>
      <c r="I332" s="31"/>
      <c r="J332" s="31"/>
      <c r="K332" s="31"/>
      <c r="L332" s="31"/>
      <c r="M332" s="31"/>
      <c r="N332" s="32"/>
      <c r="O332" s="32"/>
      <c r="P332" s="33"/>
      <c r="Q332" s="34"/>
      <c r="R332" s="34"/>
      <c r="S332" s="34"/>
      <c r="T332" s="34"/>
    </row>
    <row r="333" spans="2:20" ht="14.1" customHeight="1" x14ac:dyDescent="0.2">
      <c r="B333" s="30"/>
      <c r="C333" s="30"/>
      <c r="D333" s="30"/>
      <c r="E333" s="49"/>
      <c r="F333" s="31"/>
      <c r="G333" s="31"/>
      <c r="H333" s="31"/>
      <c r="I333" s="31"/>
      <c r="J333" s="31"/>
      <c r="K333" s="31"/>
      <c r="L333" s="31"/>
      <c r="M333" s="31"/>
      <c r="N333" s="32"/>
      <c r="O333" s="32"/>
      <c r="P333" s="33"/>
      <c r="Q333" s="34"/>
      <c r="R333" s="34"/>
      <c r="S333" s="34"/>
      <c r="T333" s="34"/>
    </row>
    <row r="334" spans="2:20" ht="14.1" customHeight="1" x14ac:dyDescent="0.2">
      <c r="B334" s="30"/>
      <c r="C334" s="30"/>
      <c r="D334" s="30"/>
      <c r="E334" s="49"/>
      <c r="F334" s="31"/>
      <c r="G334" s="31"/>
      <c r="H334" s="31"/>
      <c r="I334" s="31"/>
      <c r="J334" s="31"/>
      <c r="K334" s="31"/>
      <c r="L334" s="31"/>
      <c r="M334" s="31"/>
      <c r="N334" s="32"/>
      <c r="O334" s="32"/>
      <c r="P334" s="33"/>
      <c r="Q334" s="34"/>
      <c r="R334" s="34"/>
      <c r="S334" s="34"/>
      <c r="T334" s="34"/>
    </row>
    <row r="335" spans="2:20" ht="14.1" customHeight="1" x14ac:dyDescent="0.2">
      <c r="B335" s="30"/>
      <c r="C335" s="30"/>
      <c r="D335" s="30"/>
      <c r="E335" s="49"/>
      <c r="F335" s="31"/>
      <c r="G335" s="31"/>
      <c r="H335" s="31"/>
      <c r="I335" s="31"/>
      <c r="J335" s="31"/>
      <c r="K335" s="31"/>
      <c r="L335" s="31"/>
      <c r="M335" s="31"/>
      <c r="N335" s="32"/>
      <c r="O335" s="32"/>
      <c r="P335" s="33"/>
      <c r="Q335" s="34"/>
      <c r="R335" s="34"/>
      <c r="S335" s="34"/>
      <c r="T335" s="34"/>
    </row>
    <row r="336" spans="2:20" ht="14.1" customHeight="1" x14ac:dyDescent="0.2">
      <c r="B336" s="30"/>
      <c r="C336" s="30"/>
      <c r="D336" s="30"/>
      <c r="E336" s="49"/>
      <c r="F336" s="31"/>
      <c r="G336" s="31"/>
      <c r="H336" s="31"/>
      <c r="I336" s="31"/>
      <c r="J336" s="31"/>
      <c r="K336" s="31"/>
      <c r="L336" s="31"/>
      <c r="M336" s="31"/>
      <c r="N336" s="32"/>
      <c r="O336" s="32"/>
      <c r="P336" s="33"/>
      <c r="Q336" s="34"/>
      <c r="R336" s="34"/>
      <c r="S336" s="34"/>
      <c r="T336" s="34"/>
    </row>
    <row r="337" spans="2:20" ht="14.1" customHeight="1" x14ac:dyDescent="0.2">
      <c r="B337" s="30"/>
      <c r="C337" s="30"/>
      <c r="D337" s="30"/>
      <c r="E337" s="49"/>
      <c r="F337" s="31"/>
      <c r="G337" s="31"/>
      <c r="H337" s="31"/>
      <c r="I337" s="31"/>
      <c r="J337" s="31"/>
      <c r="K337" s="31"/>
      <c r="L337" s="31"/>
      <c r="M337" s="31"/>
      <c r="N337" s="32"/>
      <c r="O337" s="32"/>
      <c r="P337" s="33"/>
      <c r="Q337" s="34"/>
      <c r="R337" s="34"/>
      <c r="S337" s="34"/>
      <c r="T337" s="34"/>
    </row>
    <row r="338" spans="2:20" ht="14.1" customHeight="1" x14ac:dyDescent="0.2">
      <c r="B338" s="30"/>
      <c r="C338" s="30"/>
      <c r="D338" s="30"/>
      <c r="E338" s="49"/>
      <c r="F338" s="31"/>
      <c r="G338" s="31"/>
      <c r="H338" s="31"/>
      <c r="I338" s="31"/>
      <c r="J338" s="31"/>
      <c r="K338" s="31"/>
      <c r="L338" s="31"/>
      <c r="M338" s="31"/>
      <c r="N338" s="32"/>
      <c r="O338" s="32"/>
      <c r="P338" s="33"/>
      <c r="Q338" s="34"/>
      <c r="R338" s="34"/>
      <c r="S338" s="34"/>
      <c r="T338" s="34"/>
    </row>
    <row r="339" spans="2:20" ht="14.1" customHeight="1" x14ac:dyDescent="0.2">
      <c r="B339" s="30"/>
      <c r="C339" s="30"/>
      <c r="D339" s="30"/>
      <c r="E339" s="49"/>
      <c r="F339" s="31"/>
      <c r="G339" s="31"/>
      <c r="H339" s="31"/>
      <c r="I339" s="31"/>
      <c r="J339" s="31"/>
      <c r="K339" s="31"/>
      <c r="L339" s="31"/>
      <c r="M339" s="31"/>
      <c r="N339" s="32"/>
      <c r="O339" s="32"/>
      <c r="P339" s="33"/>
      <c r="Q339" s="34"/>
      <c r="R339" s="34"/>
      <c r="S339" s="34"/>
      <c r="T339" s="34"/>
    </row>
    <row r="340" spans="2:20" ht="14.1" customHeight="1" x14ac:dyDescent="0.2">
      <c r="B340" s="30"/>
      <c r="C340" s="30"/>
      <c r="D340" s="30"/>
      <c r="E340" s="49"/>
      <c r="F340" s="31"/>
      <c r="G340" s="31"/>
      <c r="H340" s="31"/>
      <c r="I340" s="31"/>
      <c r="J340" s="31"/>
      <c r="K340" s="31"/>
      <c r="L340" s="31"/>
      <c r="M340" s="31"/>
      <c r="N340" s="32"/>
      <c r="O340" s="32"/>
      <c r="P340" s="33"/>
      <c r="Q340" s="34"/>
      <c r="R340" s="34"/>
      <c r="S340" s="34"/>
      <c r="T340" s="34"/>
    </row>
    <row r="341" spans="2:20" ht="14.1" customHeight="1" x14ac:dyDescent="0.2">
      <c r="B341" s="30"/>
      <c r="C341" s="30"/>
      <c r="D341" s="30"/>
      <c r="E341" s="49"/>
      <c r="F341" s="31"/>
      <c r="G341" s="31"/>
      <c r="H341" s="31"/>
      <c r="I341" s="31"/>
      <c r="J341" s="31"/>
      <c r="K341" s="31"/>
      <c r="L341" s="31"/>
      <c r="M341" s="31"/>
      <c r="N341" s="32"/>
      <c r="O341" s="32"/>
      <c r="P341" s="33"/>
      <c r="Q341" s="34"/>
      <c r="R341" s="34"/>
      <c r="S341" s="34"/>
      <c r="T341" s="34"/>
    </row>
    <row r="342" spans="2:20" ht="14.1" customHeight="1" x14ac:dyDescent="0.2">
      <c r="B342" s="30"/>
      <c r="C342" s="30"/>
      <c r="D342" s="30"/>
      <c r="E342" s="49"/>
      <c r="F342" s="31"/>
      <c r="G342" s="31"/>
      <c r="H342" s="31"/>
      <c r="I342" s="31"/>
      <c r="J342" s="31"/>
      <c r="K342" s="31"/>
      <c r="L342" s="31"/>
      <c r="M342" s="31"/>
      <c r="N342" s="32"/>
      <c r="O342" s="32"/>
      <c r="P342" s="33"/>
      <c r="Q342" s="34"/>
      <c r="R342" s="34"/>
      <c r="S342" s="34"/>
      <c r="T342" s="34"/>
    </row>
    <row r="343" spans="2:20" ht="14.1" customHeight="1" x14ac:dyDescent="0.2">
      <c r="B343" s="30"/>
      <c r="C343" s="30"/>
      <c r="D343" s="30"/>
      <c r="E343" s="49"/>
      <c r="F343" s="31"/>
      <c r="G343" s="31"/>
      <c r="H343" s="31"/>
      <c r="I343" s="31"/>
      <c r="J343" s="31"/>
      <c r="K343" s="31"/>
      <c r="L343" s="31"/>
      <c r="M343" s="31"/>
      <c r="N343" s="32"/>
      <c r="O343" s="32"/>
      <c r="P343" s="33"/>
      <c r="Q343" s="34"/>
      <c r="R343" s="34"/>
      <c r="S343" s="34"/>
      <c r="T343" s="34"/>
    </row>
    <row r="344" spans="2:20" ht="14.1" customHeight="1" x14ac:dyDescent="0.2">
      <c r="B344" s="30"/>
      <c r="C344" s="30"/>
      <c r="D344" s="30"/>
      <c r="E344" s="49"/>
      <c r="F344" s="31"/>
      <c r="G344" s="31"/>
      <c r="H344" s="31"/>
      <c r="I344" s="31"/>
      <c r="J344" s="31"/>
      <c r="K344" s="31"/>
      <c r="L344" s="31"/>
      <c r="M344" s="31"/>
      <c r="N344" s="32"/>
      <c r="O344" s="32"/>
      <c r="P344" s="33"/>
      <c r="Q344" s="34"/>
      <c r="R344" s="34"/>
      <c r="S344" s="34"/>
      <c r="T344" s="34"/>
    </row>
    <row r="345" spans="2:20" ht="14.1" customHeight="1" x14ac:dyDescent="0.2">
      <c r="B345" s="30"/>
      <c r="C345" s="30"/>
      <c r="D345" s="30"/>
      <c r="E345" s="49"/>
      <c r="F345" s="31"/>
      <c r="G345" s="31"/>
      <c r="H345" s="31"/>
      <c r="I345" s="31"/>
      <c r="J345" s="31"/>
      <c r="K345" s="31"/>
      <c r="L345" s="31"/>
      <c r="M345" s="31"/>
      <c r="N345" s="32"/>
      <c r="O345" s="32"/>
      <c r="P345" s="33"/>
      <c r="Q345" s="34"/>
      <c r="R345" s="34"/>
      <c r="S345" s="34"/>
      <c r="T345" s="34"/>
    </row>
    <row r="346" spans="2:20" ht="14.1" customHeight="1" x14ac:dyDescent="0.2">
      <c r="B346" s="30"/>
      <c r="C346" s="30"/>
      <c r="D346" s="30"/>
      <c r="E346" s="49"/>
      <c r="F346" s="31"/>
      <c r="G346" s="31"/>
      <c r="H346" s="31"/>
      <c r="I346" s="31"/>
      <c r="J346" s="31"/>
      <c r="K346" s="31"/>
      <c r="L346" s="31"/>
      <c r="M346" s="31"/>
      <c r="N346" s="32"/>
      <c r="O346" s="32"/>
      <c r="P346" s="33"/>
      <c r="Q346" s="34"/>
      <c r="R346" s="34"/>
      <c r="S346" s="34"/>
      <c r="T346" s="34"/>
    </row>
    <row r="347" spans="2:20" ht="14.1" customHeight="1" x14ac:dyDescent="0.2">
      <c r="B347" s="30"/>
      <c r="C347" s="30"/>
      <c r="D347" s="30"/>
      <c r="E347" s="49"/>
      <c r="F347" s="31"/>
      <c r="G347" s="31"/>
      <c r="H347" s="31"/>
      <c r="I347" s="31"/>
      <c r="J347" s="31"/>
      <c r="K347" s="31"/>
      <c r="L347" s="31"/>
      <c r="M347" s="31"/>
      <c r="N347" s="32"/>
      <c r="O347" s="32"/>
      <c r="P347" s="33"/>
      <c r="Q347" s="34"/>
      <c r="R347" s="34"/>
      <c r="S347" s="34"/>
      <c r="T347" s="34"/>
    </row>
    <row r="348" spans="2:20" ht="14.1" customHeight="1" x14ac:dyDescent="0.2">
      <c r="B348" s="30"/>
      <c r="C348" s="30"/>
      <c r="D348" s="30"/>
      <c r="E348" s="49"/>
      <c r="F348" s="31"/>
      <c r="G348" s="31"/>
      <c r="H348" s="31"/>
      <c r="I348" s="31"/>
      <c r="J348" s="31"/>
      <c r="K348" s="31"/>
      <c r="L348" s="31"/>
      <c r="M348" s="31"/>
      <c r="N348" s="32"/>
      <c r="O348" s="32"/>
      <c r="P348" s="33"/>
      <c r="Q348" s="34"/>
      <c r="R348" s="34"/>
      <c r="S348" s="34"/>
      <c r="T348" s="34"/>
    </row>
    <row r="349" spans="2:20" ht="14.1" customHeight="1" x14ac:dyDescent="0.2">
      <c r="B349" s="30"/>
      <c r="C349" s="30"/>
      <c r="D349" s="30"/>
      <c r="E349" s="49"/>
      <c r="F349" s="31"/>
      <c r="G349" s="31"/>
      <c r="H349" s="31"/>
      <c r="I349" s="31"/>
      <c r="J349" s="31"/>
      <c r="K349" s="31"/>
      <c r="L349" s="31"/>
      <c r="M349" s="31"/>
      <c r="N349" s="32"/>
      <c r="O349" s="32"/>
      <c r="P349" s="33"/>
      <c r="Q349" s="34"/>
      <c r="R349" s="34"/>
      <c r="S349" s="34"/>
      <c r="T349" s="34"/>
    </row>
    <row r="350" spans="2:20" ht="14.1" customHeight="1" x14ac:dyDescent="0.2">
      <c r="B350" s="30"/>
      <c r="C350" s="30"/>
      <c r="D350" s="30"/>
      <c r="E350" s="49"/>
      <c r="F350" s="31"/>
      <c r="G350" s="31"/>
      <c r="H350" s="31"/>
      <c r="I350" s="31"/>
      <c r="J350" s="31"/>
      <c r="K350" s="31"/>
      <c r="L350" s="31"/>
      <c r="M350" s="31"/>
      <c r="N350" s="32"/>
      <c r="O350" s="32"/>
      <c r="P350" s="33"/>
      <c r="Q350" s="34"/>
      <c r="R350" s="34"/>
      <c r="S350" s="34"/>
      <c r="T350" s="34"/>
    </row>
    <row r="351" spans="2:20" ht="14.1" customHeight="1" x14ac:dyDescent="0.2">
      <c r="B351" s="30"/>
      <c r="C351" s="30"/>
      <c r="D351" s="30"/>
      <c r="E351" s="49"/>
      <c r="F351" s="31"/>
      <c r="G351" s="31"/>
      <c r="H351" s="31"/>
      <c r="I351" s="31"/>
      <c r="J351" s="31"/>
      <c r="K351" s="31"/>
      <c r="L351" s="31"/>
      <c r="M351" s="31"/>
      <c r="N351" s="32"/>
      <c r="O351" s="32"/>
      <c r="P351" s="33"/>
      <c r="Q351" s="34"/>
      <c r="R351" s="34"/>
      <c r="S351" s="34"/>
      <c r="T351" s="34"/>
    </row>
    <row r="352" spans="2:20" ht="14.1" customHeight="1" x14ac:dyDescent="0.2">
      <c r="B352" s="30"/>
      <c r="C352" s="30"/>
      <c r="D352" s="30"/>
      <c r="E352" s="49"/>
      <c r="F352" s="31"/>
      <c r="G352" s="31"/>
      <c r="H352" s="31"/>
      <c r="I352" s="31"/>
      <c r="J352" s="31"/>
      <c r="K352" s="31"/>
      <c r="L352" s="31"/>
      <c r="M352" s="31"/>
      <c r="N352" s="32"/>
      <c r="O352" s="32"/>
      <c r="P352" s="33"/>
      <c r="Q352" s="34"/>
      <c r="R352" s="34"/>
      <c r="S352" s="34"/>
      <c r="T352" s="34"/>
    </row>
    <row r="353" spans="2:20" ht="14.1" customHeight="1" x14ac:dyDescent="0.2">
      <c r="B353" s="30"/>
      <c r="C353" s="30"/>
      <c r="D353" s="30"/>
      <c r="E353" s="49"/>
      <c r="F353" s="31"/>
      <c r="G353" s="31"/>
      <c r="H353" s="31"/>
      <c r="I353" s="31"/>
      <c r="J353" s="31"/>
      <c r="K353" s="31"/>
      <c r="L353" s="31"/>
      <c r="M353" s="31"/>
      <c r="N353" s="32"/>
      <c r="O353" s="32"/>
      <c r="P353" s="33"/>
      <c r="Q353" s="34"/>
      <c r="R353" s="34"/>
      <c r="S353" s="34"/>
      <c r="T353" s="34"/>
    </row>
    <row r="354" spans="2:20" ht="14.1" customHeight="1" x14ac:dyDescent="0.2">
      <c r="B354" s="30"/>
      <c r="C354" s="30"/>
      <c r="D354" s="30"/>
      <c r="E354" s="49"/>
      <c r="F354" s="31"/>
      <c r="G354" s="31"/>
      <c r="H354" s="31"/>
      <c r="I354" s="31"/>
      <c r="J354" s="31"/>
      <c r="K354" s="31"/>
      <c r="L354" s="31"/>
      <c r="M354" s="31"/>
      <c r="N354" s="32"/>
      <c r="O354" s="32"/>
      <c r="P354" s="33"/>
      <c r="Q354" s="34"/>
      <c r="R354" s="34"/>
      <c r="S354" s="34"/>
      <c r="T354" s="34"/>
    </row>
    <row r="355" spans="2:20" ht="14.1" customHeight="1" x14ac:dyDescent="0.2">
      <c r="B355" s="30"/>
      <c r="C355" s="30"/>
      <c r="D355" s="30"/>
      <c r="E355" s="49"/>
      <c r="F355" s="31"/>
      <c r="G355" s="31"/>
      <c r="H355" s="31"/>
      <c r="I355" s="31"/>
      <c r="J355" s="31"/>
      <c r="K355" s="31"/>
      <c r="L355" s="31"/>
      <c r="M355" s="31"/>
      <c r="N355" s="32"/>
      <c r="O355" s="32"/>
      <c r="P355" s="33"/>
      <c r="Q355" s="34"/>
      <c r="R355" s="34"/>
      <c r="S355" s="34"/>
      <c r="T355" s="34"/>
    </row>
    <row r="356" spans="2:20" ht="14.1" customHeight="1" x14ac:dyDescent="0.2">
      <c r="B356" s="30"/>
      <c r="C356" s="30"/>
      <c r="D356" s="30"/>
      <c r="E356" s="49"/>
      <c r="F356" s="31"/>
      <c r="G356" s="31"/>
      <c r="H356" s="31"/>
      <c r="I356" s="31"/>
      <c r="J356" s="31"/>
      <c r="K356" s="31"/>
      <c r="L356" s="31"/>
      <c r="M356" s="31"/>
      <c r="N356" s="32"/>
      <c r="O356" s="32"/>
      <c r="P356" s="33"/>
      <c r="Q356" s="34"/>
      <c r="R356" s="34"/>
      <c r="S356" s="34"/>
      <c r="T356" s="34"/>
    </row>
    <row r="357" spans="2:20" ht="14.1" customHeight="1" x14ac:dyDescent="0.2">
      <c r="B357" s="30"/>
      <c r="C357" s="30"/>
      <c r="D357" s="30"/>
      <c r="E357" s="49"/>
      <c r="F357" s="31"/>
      <c r="G357" s="31"/>
      <c r="H357" s="31"/>
      <c r="I357" s="31"/>
      <c r="J357" s="31"/>
      <c r="K357" s="31"/>
      <c r="L357" s="31"/>
      <c r="M357" s="31"/>
      <c r="N357" s="32"/>
      <c r="O357" s="32"/>
      <c r="P357" s="33"/>
      <c r="Q357" s="34"/>
      <c r="R357" s="34"/>
      <c r="S357" s="34"/>
      <c r="T357" s="34"/>
    </row>
    <row r="358" spans="2:20" ht="14.1" customHeight="1" x14ac:dyDescent="0.2">
      <c r="B358" s="30"/>
      <c r="C358" s="30"/>
      <c r="D358" s="30"/>
      <c r="E358" s="49"/>
      <c r="F358" s="31"/>
      <c r="G358" s="31"/>
      <c r="H358" s="31"/>
      <c r="I358" s="31"/>
      <c r="J358" s="31"/>
      <c r="K358" s="31"/>
      <c r="L358" s="31"/>
      <c r="M358" s="31"/>
      <c r="N358" s="32"/>
      <c r="O358" s="32"/>
      <c r="P358" s="33"/>
      <c r="Q358" s="34"/>
      <c r="R358" s="34"/>
      <c r="S358" s="34"/>
      <c r="T358" s="34"/>
    </row>
    <row r="359" spans="2:20" ht="14.1" customHeight="1" x14ac:dyDescent="0.2">
      <c r="B359" s="30"/>
      <c r="C359" s="30"/>
      <c r="D359" s="30"/>
      <c r="E359" s="49"/>
      <c r="F359" s="31"/>
      <c r="G359" s="31"/>
      <c r="H359" s="31"/>
      <c r="I359" s="31"/>
      <c r="J359" s="31"/>
      <c r="K359" s="31"/>
      <c r="L359" s="31"/>
      <c r="M359" s="31"/>
      <c r="N359" s="32"/>
      <c r="O359" s="32"/>
      <c r="P359" s="33"/>
      <c r="Q359" s="34"/>
      <c r="R359" s="34"/>
      <c r="S359" s="34"/>
      <c r="T359" s="34"/>
    </row>
    <row r="360" spans="2:20" ht="14.1" customHeight="1" x14ac:dyDescent="0.2">
      <c r="B360" s="30"/>
      <c r="C360" s="30"/>
      <c r="D360" s="30"/>
      <c r="E360" s="49"/>
      <c r="F360" s="31"/>
      <c r="G360" s="31"/>
      <c r="H360" s="31"/>
      <c r="I360" s="31"/>
      <c r="J360" s="31"/>
      <c r="K360" s="31"/>
      <c r="L360" s="31"/>
      <c r="M360" s="31"/>
      <c r="N360" s="32"/>
      <c r="O360" s="32"/>
      <c r="P360" s="33"/>
      <c r="Q360" s="34"/>
      <c r="R360" s="34"/>
      <c r="S360" s="34"/>
      <c r="T360" s="34"/>
    </row>
    <row r="361" spans="2:20" ht="14.1" customHeight="1" x14ac:dyDescent="0.2">
      <c r="B361" s="30"/>
      <c r="C361" s="30"/>
      <c r="D361" s="30"/>
      <c r="E361" s="49"/>
      <c r="F361" s="31"/>
      <c r="G361" s="31"/>
      <c r="H361" s="31"/>
      <c r="I361" s="31"/>
      <c r="J361" s="31"/>
      <c r="K361" s="31"/>
      <c r="L361" s="31"/>
      <c r="M361" s="31"/>
      <c r="N361" s="32"/>
      <c r="O361" s="32"/>
      <c r="P361" s="33"/>
      <c r="Q361" s="34"/>
      <c r="R361" s="34"/>
      <c r="S361" s="34"/>
      <c r="T361" s="34"/>
    </row>
    <row r="362" spans="2:20" ht="14.1" customHeight="1" x14ac:dyDescent="0.2">
      <c r="B362" s="30"/>
      <c r="C362" s="30"/>
      <c r="D362" s="30"/>
      <c r="E362" s="49"/>
      <c r="F362" s="31"/>
      <c r="G362" s="31"/>
      <c r="H362" s="31"/>
      <c r="I362" s="31"/>
      <c r="J362" s="31"/>
      <c r="K362" s="31"/>
      <c r="L362" s="31"/>
      <c r="M362" s="31"/>
      <c r="N362" s="32"/>
      <c r="O362" s="32"/>
      <c r="P362" s="33"/>
      <c r="Q362" s="34"/>
      <c r="R362" s="34"/>
      <c r="S362" s="34"/>
      <c r="T362" s="34"/>
    </row>
    <row r="363" spans="2:20" ht="14.1" customHeight="1" x14ac:dyDescent="0.2">
      <c r="B363" s="30"/>
      <c r="C363" s="30"/>
      <c r="D363" s="30"/>
      <c r="E363" s="49"/>
      <c r="F363" s="31"/>
      <c r="G363" s="31"/>
      <c r="H363" s="31"/>
      <c r="I363" s="31"/>
      <c r="J363" s="31"/>
      <c r="K363" s="31"/>
      <c r="L363" s="31"/>
      <c r="M363" s="31"/>
      <c r="N363" s="32"/>
      <c r="O363" s="32"/>
      <c r="P363" s="33"/>
      <c r="Q363" s="34"/>
      <c r="R363" s="34"/>
      <c r="S363" s="34"/>
      <c r="T363" s="34"/>
    </row>
    <row r="364" spans="2:20" ht="14.1" customHeight="1" x14ac:dyDescent="0.2">
      <c r="B364" s="30"/>
      <c r="C364" s="30"/>
      <c r="D364" s="30"/>
      <c r="E364" s="49"/>
      <c r="F364" s="31"/>
      <c r="G364" s="31"/>
      <c r="H364" s="31"/>
      <c r="I364" s="31"/>
      <c r="J364" s="31"/>
      <c r="K364" s="31"/>
      <c r="L364" s="31"/>
      <c r="M364" s="31"/>
      <c r="N364" s="32"/>
      <c r="O364" s="32"/>
      <c r="P364" s="33"/>
      <c r="Q364" s="34"/>
      <c r="R364" s="34"/>
      <c r="S364" s="34"/>
      <c r="T364" s="34"/>
    </row>
    <row r="365" spans="2:20" ht="14.1" customHeight="1" x14ac:dyDescent="0.2">
      <c r="B365" s="30"/>
      <c r="C365" s="30"/>
      <c r="D365" s="30"/>
      <c r="E365" s="49"/>
      <c r="F365" s="31"/>
      <c r="G365" s="31"/>
      <c r="H365" s="31"/>
      <c r="I365" s="31"/>
      <c r="J365" s="31"/>
      <c r="K365" s="31"/>
      <c r="L365" s="31"/>
      <c r="M365" s="31"/>
      <c r="N365" s="32"/>
      <c r="O365" s="32"/>
      <c r="P365" s="33"/>
      <c r="Q365" s="34"/>
      <c r="R365" s="34"/>
      <c r="S365" s="34"/>
      <c r="T365" s="34"/>
    </row>
    <row r="366" spans="2:20" ht="14.1" customHeight="1" x14ac:dyDescent="0.2">
      <c r="B366" s="30"/>
      <c r="C366" s="30"/>
      <c r="D366" s="30"/>
      <c r="E366" s="49"/>
      <c r="F366" s="31"/>
      <c r="G366" s="31"/>
      <c r="H366" s="31"/>
      <c r="I366" s="31"/>
      <c r="J366" s="31"/>
      <c r="K366" s="31"/>
      <c r="L366" s="31"/>
      <c r="M366" s="31"/>
      <c r="N366" s="32"/>
      <c r="O366" s="32"/>
      <c r="P366" s="33"/>
      <c r="Q366" s="34"/>
      <c r="R366" s="34"/>
      <c r="S366" s="34"/>
      <c r="T366" s="34"/>
    </row>
    <row r="367" spans="2:20" ht="14.1" customHeight="1" x14ac:dyDescent="0.2">
      <c r="B367" s="30"/>
      <c r="C367" s="30"/>
      <c r="D367" s="30"/>
      <c r="E367" s="49"/>
      <c r="F367" s="31"/>
      <c r="G367" s="31"/>
      <c r="H367" s="31"/>
      <c r="I367" s="31"/>
      <c r="J367" s="31"/>
      <c r="K367" s="31"/>
      <c r="L367" s="31"/>
      <c r="M367" s="31"/>
      <c r="N367" s="32"/>
      <c r="O367" s="32"/>
      <c r="P367" s="33"/>
      <c r="Q367" s="34"/>
      <c r="R367" s="34"/>
      <c r="S367" s="34"/>
      <c r="T367" s="34"/>
    </row>
    <row r="368" spans="2:20" ht="14.1" customHeight="1" x14ac:dyDescent="0.2">
      <c r="B368" s="30"/>
      <c r="C368" s="30"/>
      <c r="D368" s="30"/>
      <c r="E368" s="49"/>
      <c r="F368" s="31"/>
      <c r="G368" s="31"/>
      <c r="H368" s="31"/>
      <c r="I368" s="31"/>
      <c r="J368" s="31"/>
      <c r="K368" s="31"/>
      <c r="L368" s="31"/>
      <c r="M368" s="31"/>
      <c r="N368" s="32"/>
      <c r="O368" s="32"/>
      <c r="P368" s="33"/>
      <c r="Q368" s="34"/>
      <c r="R368" s="34"/>
      <c r="S368" s="34"/>
      <c r="T368" s="34"/>
    </row>
    <row r="369" spans="2:20" ht="14.1" customHeight="1" x14ac:dyDescent="0.2">
      <c r="B369" s="30"/>
      <c r="C369" s="30"/>
      <c r="D369" s="30"/>
      <c r="E369" s="49"/>
      <c r="F369" s="31"/>
      <c r="G369" s="31"/>
      <c r="H369" s="31"/>
      <c r="I369" s="31"/>
      <c r="J369" s="31"/>
      <c r="K369" s="31"/>
      <c r="L369" s="31"/>
      <c r="M369" s="31"/>
      <c r="N369" s="32"/>
      <c r="O369" s="32"/>
      <c r="P369" s="33"/>
      <c r="Q369" s="34"/>
      <c r="R369" s="34"/>
      <c r="S369" s="34"/>
      <c r="T369" s="34"/>
    </row>
    <row r="370" spans="2:20" ht="14.1" customHeight="1" x14ac:dyDescent="0.2">
      <c r="B370" s="30"/>
      <c r="C370" s="30"/>
      <c r="D370" s="30"/>
      <c r="E370" s="49"/>
      <c r="F370" s="31"/>
      <c r="G370" s="31"/>
      <c r="H370" s="31"/>
      <c r="I370" s="31"/>
      <c r="J370" s="31"/>
      <c r="K370" s="31"/>
      <c r="L370" s="31"/>
      <c r="M370" s="31"/>
      <c r="N370" s="32"/>
      <c r="O370" s="32"/>
      <c r="P370" s="33"/>
      <c r="Q370" s="34"/>
      <c r="R370" s="34"/>
      <c r="S370" s="34"/>
      <c r="T370" s="34"/>
    </row>
    <row r="371" spans="2:20" ht="14.1" customHeight="1" x14ac:dyDescent="0.2">
      <c r="B371" s="30"/>
      <c r="C371" s="30"/>
      <c r="D371" s="30"/>
      <c r="E371" s="49"/>
      <c r="F371" s="31"/>
      <c r="G371" s="31"/>
      <c r="H371" s="31"/>
      <c r="I371" s="31"/>
      <c r="J371" s="31"/>
      <c r="K371" s="31"/>
      <c r="L371" s="31"/>
      <c r="M371" s="31"/>
      <c r="N371" s="32"/>
      <c r="O371" s="32"/>
      <c r="P371" s="33"/>
      <c r="Q371" s="34"/>
      <c r="R371" s="34"/>
      <c r="S371" s="34"/>
      <c r="T371" s="34"/>
    </row>
    <row r="372" spans="2:20" ht="14.1" customHeight="1" x14ac:dyDescent="0.2">
      <c r="B372" s="30"/>
      <c r="C372" s="30"/>
      <c r="D372" s="30"/>
      <c r="E372" s="49"/>
      <c r="F372" s="31"/>
      <c r="G372" s="31"/>
      <c r="H372" s="31"/>
      <c r="I372" s="31"/>
      <c r="J372" s="31"/>
      <c r="K372" s="31"/>
      <c r="L372" s="31"/>
      <c r="M372" s="31"/>
      <c r="N372" s="32"/>
      <c r="O372" s="32"/>
      <c r="P372" s="33"/>
      <c r="Q372" s="34"/>
      <c r="R372" s="34"/>
      <c r="S372" s="34"/>
      <c r="T372" s="34"/>
    </row>
    <row r="373" spans="2:20" ht="14.1" customHeight="1" x14ac:dyDescent="0.2">
      <c r="B373" s="30"/>
      <c r="C373" s="30"/>
      <c r="D373" s="30"/>
      <c r="E373" s="49"/>
      <c r="F373" s="31"/>
      <c r="G373" s="31"/>
      <c r="H373" s="31"/>
      <c r="I373" s="31"/>
      <c r="J373" s="31"/>
      <c r="K373" s="31"/>
      <c r="L373" s="31"/>
      <c r="M373" s="31"/>
      <c r="N373" s="32"/>
      <c r="O373" s="32"/>
      <c r="P373" s="33"/>
      <c r="Q373" s="34"/>
      <c r="R373" s="34"/>
      <c r="S373" s="34"/>
      <c r="T373" s="34"/>
    </row>
    <row r="374" spans="2:20" ht="14.1" customHeight="1" x14ac:dyDescent="0.2">
      <c r="B374" s="30"/>
      <c r="C374" s="30"/>
      <c r="D374" s="30"/>
      <c r="E374" s="49"/>
      <c r="F374" s="31"/>
      <c r="G374" s="31"/>
      <c r="H374" s="31"/>
      <c r="I374" s="31"/>
      <c r="J374" s="31"/>
      <c r="K374" s="31"/>
      <c r="L374" s="31"/>
      <c r="M374" s="31"/>
      <c r="N374" s="32"/>
      <c r="O374" s="32"/>
      <c r="P374" s="33"/>
      <c r="Q374" s="34"/>
      <c r="R374" s="34"/>
      <c r="S374" s="34"/>
      <c r="T374" s="34"/>
    </row>
    <row r="375" spans="2:20" ht="14.1" customHeight="1" x14ac:dyDescent="0.2">
      <c r="B375" s="30"/>
      <c r="C375" s="30"/>
      <c r="D375" s="30"/>
      <c r="E375" s="49"/>
      <c r="F375" s="31"/>
      <c r="G375" s="31"/>
      <c r="H375" s="31"/>
      <c r="I375" s="31"/>
      <c r="J375" s="31"/>
      <c r="K375" s="31"/>
      <c r="L375" s="31"/>
      <c r="M375" s="31"/>
      <c r="N375" s="32"/>
      <c r="O375" s="32"/>
      <c r="P375" s="33"/>
      <c r="Q375" s="34"/>
      <c r="R375" s="34"/>
      <c r="S375" s="34"/>
      <c r="T375" s="34"/>
    </row>
    <row r="376" spans="2:20" ht="14.1" customHeight="1" x14ac:dyDescent="0.2">
      <c r="B376" s="30"/>
      <c r="C376" s="30"/>
      <c r="D376" s="30"/>
      <c r="E376" s="49"/>
      <c r="F376" s="31"/>
      <c r="G376" s="31"/>
      <c r="H376" s="31"/>
      <c r="I376" s="31"/>
      <c r="J376" s="31"/>
      <c r="K376" s="31"/>
      <c r="L376" s="31"/>
      <c r="M376" s="31"/>
      <c r="N376" s="32"/>
      <c r="O376" s="32"/>
      <c r="P376" s="33"/>
      <c r="Q376" s="34"/>
      <c r="R376" s="34"/>
      <c r="S376" s="34"/>
      <c r="T376" s="34"/>
    </row>
    <row r="377" spans="2:20" ht="14.1" customHeight="1" x14ac:dyDescent="0.2">
      <c r="B377" s="30"/>
      <c r="C377" s="30"/>
      <c r="D377" s="30"/>
      <c r="E377" s="49"/>
      <c r="F377" s="31"/>
      <c r="G377" s="31"/>
      <c r="H377" s="31"/>
      <c r="I377" s="31"/>
      <c r="J377" s="31"/>
      <c r="K377" s="31"/>
      <c r="L377" s="31"/>
      <c r="M377" s="31"/>
      <c r="N377" s="32"/>
      <c r="O377" s="32"/>
      <c r="P377" s="33"/>
      <c r="Q377" s="34"/>
      <c r="R377" s="34"/>
      <c r="S377" s="34"/>
      <c r="T377" s="34"/>
    </row>
    <row r="378" spans="2:20" ht="14.1" customHeight="1" x14ac:dyDescent="0.2">
      <c r="B378" s="30"/>
      <c r="C378" s="30"/>
      <c r="D378" s="30"/>
      <c r="E378" s="49"/>
      <c r="F378" s="31"/>
      <c r="G378" s="31"/>
      <c r="H378" s="31"/>
      <c r="I378" s="31"/>
      <c r="J378" s="31"/>
      <c r="K378" s="31"/>
      <c r="L378" s="31"/>
      <c r="M378" s="31"/>
      <c r="N378" s="32"/>
      <c r="O378" s="32"/>
      <c r="P378" s="33"/>
      <c r="Q378" s="34"/>
      <c r="R378" s="34"/>
      <c r="S378" s="34"/>
      <c r="T378" s="34"/>
    </row>
    <row r="379" spans="2:20" ht="14.1" customHeight="1" x14ac:dyDescent="0.2">
      <c r="B379" s="30"/>
      <c r="C379" s="30"/>
      <c r="D379" s="30"/>
      <c r="E379" s="49"/>
      <c r="F379" s="31"/>
      <c r="G379" s="31"/>
      <c r="H379" s="31"/>
      <c r="I379" s="31"/>
      <c r="J379" s="31"/>
      <c r="K379" s="31"/>
      <c r="L379" s="31"/>
      <c r="M379" s="31"/>
      <c r="N379" s="32"/>
      <c r="O379" s="32"/>
      <c r="P379" s="33"/>
      <c r="Q379" s="34"/>
      <c r="R379" s="34"/>
      <c r="S379" s="34"/>
      <c r="T379" s="34"/>
    </row>
    <row r="380" spans="2:20" ht="14.1" customHeight="1" x14ac:dyDescent="0.2">
      <c r="B380" s="30"/>
      <c r="C380" s="30"/>
      <c r="D380" s="30"/>
      <c r="E380" s="49"/>
      <c r="F380" s="31"/>
      <c r="G380" s="31"/>
      <c r="H380" s="31"/>
      <c r="I380" s="31"/>
      <c r="J380" s="31"/>
      <c r="K380" s="31"/>
      <c r="L380" s="31"/>
      <c r="M380" s="31"/>
      <c r="N380" s="32"/>
      <c r="O380" s="32"/>
      <c r="P380" s="33"/>
      <c r="Q380" s="34"/>
      <c r="R380" s="34"/>
      <c r="S380" s="34"/>
      <c r="T380" s="34"/>
    </row>
    <row r="381" spans="2:20" ht="14.1" customHeight="1" x14ac:dyDescent="0.2">
      <c r="B381" s="30"/>
      <c r="C381" s="30"/>
      <c r="D381" s="30"/>
      <c r="E381" s="49"/>
      <c r="F381" s="31"/>
      <c r="G381" s="31"/>
      <c r="H381" s="31"/>
      <c r="I381" s="31"/>
      <c r="J381" s="31"/>
      <c r="K381" s="31"/>
      <c r="L381" s="31"/>
      <c r="M381" s="31"/>
      <c r="N381" s="32"/>
      <c r="O381" s="32"/>
      <c r="P381" s="33"/>
      <c r="Q381" s="34"/>
      <c r="R381" s="34"/>
      <c r="S381" s="34"/>
      <c r="T381" s="34"/>
    </row>
    <row r="382" spans="2:20" ht="14.1" customHeight="1" x14ac:dyDescent="0.2">
      <c r="B382" s="30"/>
      <c r="C382" s="30"/>
      <c r="D382" s="30"/>
      <c r="E382" s="49"/>
      <c r="F382" s="31"/>
      <c r="G382" s="31"/>
      <c r="H382" s="31"/>
      <c r="I382" s="31"/>
      <c r="J382" s="31"/>
      <c r="K382" s="31"/>
      <c r="L382" s="31"/>
      <c r="M382" s="31"/>
      <c r="N382" s="32"/>
      <c r="O382" s="32"/>
      <c r="P382" s="33"/>
      <c r="Q382" s="34"/>
      <c r="R382" s="34"/>
      <c r="S382" s="34"/>
      <c r="T382" s="34"/>
    </row>
    <row r="383" spans="2:20" ht="14.1" customHeight="1" x14ac:dyDescent="0.2">
      <c r="B383" s="30"/>
      <c r="C383" s="30"/>
      <c r="D383" s="30"/>
      <c r="E383" s="49"/>
      <c r="F383" s="31"/>
      <c r="G383" s="31"/>
      <c r="H383" s="31"/>
      <c r="I383" s="31"/>
      <c r="J383" s="31"/>
      <c r="K383" s="31"/>
      <c r="L383" s="31"/>
      <c r="M383" s="31"/>
      <c r="N383" s="32"/>
      <c r="O383" s="32"/>
      <c r="P383" s="33"/>
      <c r="Q383" s="34"/>
      <c r="R383" s="34"/>
      <c r="S383" s="34"/>
      <c r="T383" s="34"/>
    </row>
    <row r="384" spans="2:20" ht="14.1" customHeight="1" x14ac:dyDescent="0.2">
      <c r="B384" s="30"/>
      <c r="C384" s="30"/>
      <c r="D384" s="30"/>
      <c r="E384" s="49"/>
      <c r="F384" s="31"/>
      <c r="G384" s="31"/>
      <c r="H384" s="31"/>
      <c r="I384" s="31"/>
      <c r="J384" s="31"/>
      <c r="K384" s="31"/>
      <c r="L384" s="31"/>
      <c r="M384" s="31"/>
      <c r="N384" s="32"/>
      <c r="O384" s="32"/>
      <c r="P384" s="33"/>
      <c r="Q384" s="34"/>
      <c r="R384" s="34"/>
      <c r="S384" s="34"/>
      <c r="T384" s="34"/>
    </row>
    <row r="385" spans="2:20" ht="14.1" customHeight="1" x14ac:dyDescent="0.2">
      <c r="B385" s="30"/>
      <c r="C385" s="30"/>
      <c r="D385" s="30"/>
      <c r="E385" s="49"/>
      <c r="F385" s="31"/>
      <c r="G385" s="31"/>
      <c r="H385" s="31"/>
      <c r="I385" s="31"/>
      <c r="J385" s="31"/>
      <c r="K385" s="31"/>
      <c r="L385" s="31"/>
      <c r="M385" s="31"/>
      <c r="N385" s="32"/>
      <c r="O385" s="32"/>
      <c r="P385" s="33"/>
      <c r="Q385" s="34"/>
      <c r="R385" s="34"/>
      <c r="S385" s="34"/>
      <c r="T385" s="34"/>
    </row>
    <row r="386" spans="2:20" ht="14.1" customHeight="1" x14ac:dyDescent="0.2">
      <c r="B386" s="30"/>
      <c r="C386" s="30"/>
      <c r="D386" s="30"/>
      <c r="E386" s="49"/>
      <c r="F386" s="31"/>
      <c r="G386" s="31"/>
      <c r="H386" s="31"/>
      <c r="I386" s="31"/>
      <c r="J386" s="31"/>
      <c r="K386" s="31"/>
      <c r="L386" s="31"/>
      <c r="M386" s="31"/>
      <c r="N386" s="32"/>
      <c r="O386" s="32"/>
      <c r="P386" s="33"/>
      <c r="Q386" s="34"/>
      <c r="R386" s="34"/>
      <c r="S386" s="34"/>
      <c r="T386" s="34"/>
    </row>
    <row r="387" spans="2:20" ht="14.1" customHeight="1" x14ac:dyDescent="0.2">
      <c r="B387" s="30"/>
      <c r="C387" s="30"/>
      <c r="D387" s="30"/>
      <c r="E387" s="49"/>
      <c r="F387" s="31"/>
      <c r="G387" s="31"/>
      <c r="H387" s="31"/>
      <c r="I387" s="31"/>
      <c r="J387" s="31"/>
      <c r="K387" s="31"/>
      <c r="L387" s="31"/>
      <c r="M387" s="31"/>
      <c r="N387" s="32"/>
      <c r="O387" s="32"/>
      <c r="P387" s="33"/>
      <c r="Q387" s="34"/>
      <c r="R387" s="34"/>
      <c r="S387" s="34"/>
      <c r="T387" s="34"/>
    </row>
    <row r="388" spans="2:20" ht="14.1" customHeight="1" x14ac:dyDescent="0.2">
      <c r="B388" s="30"/>
      <c r="C388" s="30"/>
      <c r="D388" s="30"/>
      <c r="E388" s="49"/>
      <c r="F388" s="31"/>
      <c r="G388" s="31"/>
      <c r="H388" s="31"/>
      <c r="I388" s="31"/>
      <c r="J388" s="31"/>
      <c r="K388" s="31"/>
      <c r="L388" s="31"/>
      <c r="M388" s="31"/>
      <c r="N388" s="32"/>
      <c r="O388" s="32"/>
      <c r="P388" s="33"/>
      <c r="Q388" s="34"/>
      <c r="R388" s="34"/>
      <c r="S388" s="34"/>
      <c r="T388" s="34"/>
    </row>
    <row r="389" spans="2:20" ht="14.1" customHeight="1" x14ac:dyDescent="0.2">
      <c r="B389" s="30"/>
      <c r="C389" s="30"/>
      <c r="D389" s="30"/>
      <c r="E389" s="49"/>
      <c r="F389" s="31"/>
      <c r="G389" s="31"/>
      <c r="H389" s="31"/>
      <c r="I389" s="31"/>
      <c r="J389" s="31"/>
      <c r="K389" s="31"/>
      <c r="L389" s="31"/>
      <c r="M389" s="31"/>
      <c r="N389" s="32"/>
      <c r="O389" s="32"/>
      <c r="P389" s="33"/>
      <c r="Q389" s="34"/>
      <c r="R389" s="34"/>
      <c r="S389" s="34"/>
      <c r="T389" s="34"/>
    </row>
    <row r="390" spans="2:20" ht="14.1" customHeight="1" x14ac:dyDescent="0.2">
      <c r="B390" s="30"/>
      <c r="C390" s="30"/>
      <c r="D390" s="30"/>
      <c r="E390" s="49"/>
      <c r="F390" s="31"/>
      <c r="G390" s="31"/>
      <c r="H390" s="31"/>
      <c r="I390" s="31"/>
      <c r="J390" s="31"/>
      <c r="K390" s="31"/>
      <c r="L390" s="31"/>
      <c r="M390" s="31"/>
      <c r="N390" s="32"/>
      <c r="O390" s="32"/>
      <c r="P390" s="33"/>
      <c r="Q390" s="34"/>
      <c r="R390" s="34"/>
      <c r="S390" s="34"/>
      <c r="T390" s="34"/>
    </row>
    <row r="391" spans="2:20" ht="14.1" customHeight="1" x14ac:dyDescent="0.2">
      <c r="B391" s="30"/>
      <c r="C391" s="30"/>
      <c r="D391" s="30"/>
      <c r="E391" s="49"/>
      <c r="F391" s="31"/>
      <c r="G391" s="31"/>
      <c r="H391" s="31"/>
      <c r="I391" s="31"/>
      <c r="J391" s="31"/>
      <c r="K391" s="31"/>
      <c r="L391" s="31"/>
      <c r="M391" s="31"/>
      <c r="N391" s="32"/>
      <c r="O391" s="32"/>
      <c r="P391" s="33"/>
      <c r="Q391" s="34"/>
      <c r="R391" s="34"/>
      <c r="S391" s="34"/>
      <c r="T391" s="34"/>
    </row>
    <row r="392" spans="2:20" ht="14.1" customHeight="1" x14ac:dyDescent="0.2">
      <c r="B392" s="30"/>
      <c r="C392" s="30"/>
      <c r="D392" s="30"/>
      <c r="E392" s="49"/>
      <c r="F392" s="31"/>
      <c r="G392" s="31"/>
      <c r="H392" s="31"/>
      <c r="I392" s="31"/>
      <c r="J392" s="31"/>
      <c r="K392" s="31"/>
      <c r="L392" s="31"/>
      <c r="M392" s="31"/>
      <c r="N392" s="32"/>
      <c r="O392" s="32"/>
      <c r="P392" s="33"/>
      <c r="Q392" s="34"/>
      <c r="R392" s="34"/>
      <c r="S392" s="34"/>
      <c r="T392" s="34"/>
    </row>
    <row r="393" spans="2:20" ht="14.1" customHeight="1" x14ac:dyDescent="0.2">
      <c r="B393" s="30"/>
      <c r="C393" s="30"/>
      <c r="D393" s="30"/>
      <c r="E393" s="49"/>
      <c r="F393" s="31"/>
      <c r="G393" s="31"/>
      <c r="H393" s="31"/>
      <c r="I393" s="31"/>
      <c r="J393" s="31"/>
      <c r="K393" s="31"/>
      <c r="L393" s="31"/>
      <c r="M393" s="31"/>
      <c r="N393" s="32"/>
      <c r="O393" s="32"/>
      <c r="P393" s="33"/>
      <c r="Q393" s="34"/>
      <c r="R393" s="34"/>
      <c r="S393" s="34"/>
      <c r="T393" s="34"/>
    </row>
    <row r="394" spans="2:20" ht="14.1" customHeight="1" x14ac:dyDescent="0.2">
      <c r="B394" s="30"/>
      <c r="C394" s="30"/>
      <c r="D394" s="30"/>
      <c r="E394" s="49"/>
      <c r="F394" s="31"/>
      <c r="G394" s="31"/>
      <c r="H394" s="31"/>
      <c r="I394" s="31"/>
      <c r="J394" s="31"/>
      <c r="K394" s="31"/>
      <c r="L394" s="31"/>
      <c r="M394" s="31"/>
      <c r="N394" s="32"/>
      <c r="O394" s="32"/>
      <c r="P394" s="33"/>
      <c r="Q394" s="34"/>
      <c r="R394" s="34"/>
      <c r="S394" s="34"/>
      <c r="T394" s="34"/>
    </row>
    <row r="395" spans="2:20" ht="14.1" customHeight="1" x14ac:dyDescent="0.2">
      <c r="B395" s="30"/>
      <c r="C395" s="30"/>
      <c r="D395" s="30"/>
      <c r="E395" s="49"/>
      <c r="F395" s="31"/>
      <c r="G395" s="31"/>
      <c r="H395" s="31"/>
      <c r="I395" s="31"/>
      <c r="J395" s="31"/>
      <c r="K395" s="31"/>
      <c r="L395" s="31"/>
      <c r="M395" s="31"/>
      <c r="N395" s="32"/>
      <c r="O395" s="32"/>
      <c r="P395" s="33"/>
      <c r="Q395" s="34"/>
      <c r="R395" s="34"/>
      <c r="S395" s="34"/>
      <c r="T395" s="34"/>
    </row>
    <row r="396" spans="2:20" ht="14.1" customHeight="1" x14ac:dyDescent="0.2">
      <c r="B396" s="30"/>
      <c r="C396" s="30"/>
      <c r="D396" s="30"/>
      <c r="E396" s="49"/>
      <c r="F396" s="31"/>
      <c r="G396" s="31"/>
      <c r="H396" s="31"/>
      <c r="I396" s="31"/>
      <c r="J396" s="31"/>
      <c r="K396" s="31"/>
      <c r="L396" s="31"/>
      <c r="M396" s="31"/>
      <c r="N396" s="32"/>
      <c r="O396" s="32"/>
      <c r="P396" s="33"/>
      <c r="Q396" s="34"/>
      <c r="R396" s="34"/>
      <c r="S396" s="34"/>
      <c r="T396" s="34"/>
    </row>
    <row r="397" spans="2:20" ht="14.1" customHeight="1" x14ac:dyDescent="0.2">
      <c r="B397" s="30"/>
      <c r="C397" s="30"/>
      <c r="D397" s="30"/>
      <c r="E397" s="49"/>
      <c r="F397" s="31"/>
      <c r="G397" s="31"/>
      <c r="H397" s="31"/>
      <c r="I397" s="31"/>
      <c r="J397" s="31"/>
      <c r="K397" s="31"/>
      <c r="L397" s="31"/>
      <c r="M397" s="31"/>
      <c r="N397" s="32"/>
      <c r="O397" s="32"/>
      <c r="P397" s="33"/>
      <c r="Q397" s="34"/>
      <c r="R397" s="34"/>
      <c r="S397" s="34"/>
      <c r="T397" s="34"/>
    </row>
    <row r="398" spans="2:20" ht="14.1" customHeight="1" x14ac:dyDescent="0.2">
      <c r="B398" s="30"/>
      <c r="C398" s="30"/>
      <c r="D398" s="30"/>
      <c r="E398" s="49"/>
      <c r="F398" s="31"/>
      <c r="G398" s="31"/>
      <c r="H398" s="31"/>
      <c r="I398" s="31"/>
      <c r="J398" s="31"/>
      <c r="K398" s="31"/>
      <c r="L398" s="31"/>
      <c r="M398" s="31"/>
      <c r="N398" s="32"/>
      <c r="O398" s="32"/>
      <c r="P398" s="33"/>
      <c r="Q398" s="34"/>
      <c r="R398" s="34"/>
      <c r="S398" s="34"/>
      <c r="T398" s="34"/>
    </row>
    <row r="399" spans="2:20" ht="14.1" customHeight="1" x14ac:dyDescent="0.2">
      <c r="B399" s="30"/>
      <c r="C399" s="30"/>
      <c r="D399" s="30"/>
      <c r="E399" s="49"/>
      <c r="F399" s="31"/>
      <c r="G399" s="31"/>
      <c r="H399" s="31"/>
      <c r="I399" s="31"/>
      <c r="J399" s="31"/>
      <c r="K399" s="31"/>
      <c r="L399" s="31"/>
      <c r="M399" s="31"/>
      <c r="N399" s="32"/>
      <c r="O399" s="32"/>
      <c r="P399" s="33"/>
      <c r="Q399" s="34"/>
      <c r="R399" s="34"/>
      <c r="S399" s="34"/>
      <c r="T399" s="34"/>
    </row>
    <row r="400" spans="2:20" ht="14.1" customHeight="1" x14ac:dyDescent="0.2">
      <c r="B400" s="30"/>
      <c r="C400" s="30"/>
      <c r="D400" s="30"/>
      <c r="E400" s="49"/>
      <c r="F400" s="31"/>
      <c r="G400" s="31"/>
      <c r="H400" s="31"/>
      <c r="I400" s="31"/>
      <c r="J400" s="31"/>
      <c r="K400" s="31"/>
      <c r="L400" s="31"/>
      <c r="M400" s="31"/>
      <c r="N400" s="32"/>
      <c r="O400" s="32"/>
      <c r="P400" s="33"/>
      <c r="Q400" s="34"/>
      <c r="R400" s="34"/>
      <c r="S400" s="34"/>
      <c r="T400" s="34"/>
    </row>
    <row r="401" spans="2:20" ht="14.1" customHeight="1" x14ac:dyDescent="0.2">
      <c r="B401" s="30"/>
      <c r="C401" s="30"/>
      <c r="D401" s="30"/>
      <c r="E401" s="49"/>
      <c r="F401" s="31"/>
      <c r="G401" s="31"/>
      <c r="H401" s="31"/>
      <c r="I401" s="31"/>
      <c r="J401" s="31"/>
      <c r="K401" s="31"/>
      <c r="L401" s="31"/>
      <c r="M401" s="31"/>
      <c r="N401" s="32"/>
      <c r="O401" s="32"/>
      <c r="P401" s="33"/>
      <c r="Q401" s="34"/>
      <c r="R401" s="34"/>
      <c r="S401" s="34"/>
      <c r="T401" s="34"/>
    </row>
    <row r="402" spans="2:20" ht="14.1" customHeight="1" x14ac:dyDescent="0.2">
      <c r="B402" s="30"/>
      <c r="C402" s="30"/>
      <c r="D402" s="30"/>
      <c r="E402" s="49"/>
      <c r="F402" s="31"/>
      <c r="G402" s="31"/>
      <c r="H402" s="31"/>
      <c r="I402" s="31"/>
      <c r="J402" s="31"/>
      <c r="K402" s="31"/>
      <c r="L402" s="31"/>
      <c r="M402" s="31"/>
      <c r="N402" s="32"/>
      <c r="O402" s="32"/>
      <c r="P402" s="33"/>
      <c r="Q402" s="34"/>
      <c r="R402" s="34"/>
      <c r="S402" s="34"/>
      <c r="T402" s="34"/>
    </row>
    <row r="403" spans="2:20" ht="14.1" customHeight="1" x14ac:dyDescent="0.2">
      <c r="B403" s="30"/>
      <c r="C403" s="30"/>
      <c r="D403" s="30"/>
      <c r="E403" s="49"/>
      <c r="F403" s="31"/>
      <c r="G403" s="31"/>
      <c r="H403" s="31"/>
      <c r="I403" s="31"/>
      <c r="J403" s="31"/>
      <c r="K403" s="31"/>
      <c r="L403" s="31"/>
      <c r="M403" s="31"/>
      <c r="N403" s="32"/>
      <c r="O403" s="32"/>
      <c r="P403" s="33"/>
      <c r="Q403" s="34"/>
      <c r="R403" s="34"/>
      <c r="S403" s="34"/>
      <c r="T403" s="34"/>
    </row>
    <row r="404" spans="2:20" ht="14.1" customHeight="1" x14ac:dyDescent="0.2">
      <c r="B404" s="30"/>
      <c r="C404" s="30"/>
      <c r="D404" s="30"/>
      <c r="E404" s="49"/>
      <c r="F404" s="31"/>
      <c r="G404" s="31"/>
      <c r="H404" s="31"/>
      <c r="I404" s="31"/>
      <c r="J404" s="31"/>
      <c r="K404" s="31"/>
      <c r="L404" s="31"/>
      <c r="M404" s="31"/>
      <c r="N404" s="32"/>
      <c r="O404" s="32"/>
      <c r="P404" s="33"/>
      <c r="Q404" s="34"/>
      <c r="R404" s="34"/>
      <c r="S404" s="34"/>
      <c r="T404" s="34"/>
    </row>
    <row r="405" spans="2:20" ht="14.1" customHeight="1" x14ac:dyDescent="0.2">
      <c r="B405" s="30"/>
      <c r="C405" s="30"/>
      <c r="D405" s="30"/>
      <c r="E405" s="49"/>
      <c r="F405" s="31"/>
      <c r="G405" s="31"/>
      <c r="H405" s="31"/>
      <c r="I405" s="31"/>
      <c r="J405" s="31"/>
      <c r="K405" s="31"/>
      <c r="L405" s="31"/>
      <c r="M405" s="31"/>
      <c r="N405" s="32"/>
      <c r="O405" s="32"/>
      <c r="P405" s="33"/>
      <c r="Q405" s="34"/>
      <c r="R405" s="34"/>
      <c r="S405" s="34"/>
      <c r="T405" s="34"/>
    </row>
    <row r="406" spans="2:20" ht="14.1" customHeight="1" x14ac:dyDescent="0.2">
      <c r="B406" s="30"/>
      <c r="C406" s="30"/>
      <c r="D406" s="30"/>
      <c r="E406" s="49"/>
      <c r="F406" s="31"/>
      <c r="G406" s="31"/>
      <c r="H406" s="31"/>
      <c r="I406" s="31"/>
      <c r="J406" s="31"/>
      <c r="K406" s="31"/>
      <c r="L406" s="31"/>
      <c r="M406" s="31"/>
      <c r="N406" s="32"/>
      <c r="O406" s="32"/>
      <c r="P406" s="33"/>
      <c r="Q406" s="34"/>
      <c r="R406" s="34"/>
      <c r="S406" s="34"/>
      <c r="T406" s="34"/>
    </row>
    <row r="407" spans="2:20" ht="14.1" customHeight="1" x14ac:dyDescent="0.2">
      <c r="B407" s="30"/>
      <c r="C407" s="30"/>
      <c r="D407" s="30"/>
      <c r="E407" s="49"/>
      <c r="F407" s="31"/>
      <c r="G407" s="31"/>
      <c r="H407" s="31"/>
      <c r="I407" s="31"/>
      <c r="J407" s="31"/>
      <c r="K407" s="31"/>
      <c r="L407" s="31"/>
      <c r="M407" s="31"/>
      <c r="N407" s="32"/>
      <c r="O407" s="32"/>
      <c r="P407" s="33"/>
      <c r="Q407" s="34"/>
      <c r="R407" s="34"/>
      <c r="S407" s="34"/>
      <c r="T407" s="34"/>
    </row>
    <row r="408" spans="2:20" ht="14.1" customHeight="1" x14ac:dyDescent="0.2">
      <c r="B408" s="30"/>
      <c r="C408" s="30"/>
      <c r="D408" s="30"/>
      <c r="E408" s="49"/>
      <c r="F408" s="31"/>
      <c r="G408" s="31"/>
      <c r="H408" s="31"/>
      <c r="I408" s="31"/>
      <c r="J408" s="31"/>
      <c r="K408" s="31"/>
      <c r="L408" s="31"/>
      <c r="M408" s="31"/>
      <c r="N408" s="32"/>
      <c r="O408" s="32"/>
      <c r="P408" s="33"/>
      <c r="Q408" s="34"/>
      <c r="R408" s="34"/>
      <c r="S408" s="34"/>
      <c r="T408" s="34"/>
    </row>
    <row r="409" spans="2:20" ht="14.1" customHeight="1" x14ac:dyDescent="0.2">
      <c r="B409" s="30"/>
      <c r="C409" s="30"/>
      <c r="D409" s="30"/>
      <c r="E409" s="49"/>
      <c r="F409" s="31"/>
      <c r="G409" s="31"/>
      <c r="H409" s="31"/>
      <c r="I409" s="31"/>
      <c r="J409" s="31"/>
      <c r="K409" s="31"/>
      <c r="L409" s="31"/>
      <c r="M409" s="31"/>
      <c r="N409" s="32"/>
      <c r="O409" s="32"/>
      <c r="P409" s="33"/>
      <c r="Q409" s="34"/>
      <c r="R409" s="34"/>
      <c r="S409" s="34"/>
      <c r="T409" s="34"/>
    </row>
    <row r="410" spans="2:20" ht="14.1" customHeight="1" x14ac:dyDescent="0.2">
      <c r="B410" s="30"/>
      <c r="C410" s="30"/>
      <c r="D410" s="30"/>
      <c r="E410" s="49"/>
      <c r="F410" s="31"/>
      <c r="G410" s="31"/>
      <c r="H410" s="31"/>
      <c r="I410" s="31"/>
      <c r="J410" s="31"/>
      <c r="K410" s="31"/>
      <c r="L410" s="31"/>
      <c r="M410" s="31"/>
      <c r="N410" s="32"/>
      <c r="O410" s="32"/>
      <c r="P410" s="33"/>
      <c r="Q410" s="34"/>
      <c r="R410" s="34"/>
      <c r="S410" s="34"/>
      <c r="T410" s="34"/>
    </row>
    <row r="411" spans="2:20" ht="14.1" customHeight="1" x14ac:dyDescent="0.2">
      <c r="B411" s="30"/>
      <c r="C411" s="30"/>
      <c r="D411" s="30"/>
      <c r="E411" s="49"/>
      <c r="F411" s="31"/>
      <c r="G411" s="31"/>
      <c r="H411" s="31"/>
      <c r="I411" s="31"/>
      <c r="J411" s="31"/>
      <c r="K411" s="31"/>
      <c r="L411" s="31"/>
      <c r="M411" s="31"/>
      <c r="N411" s="32"/>
      <c r="O411" s="32"/>
      <c r="P411" s="33"/>
      <c r="Q411" s="34"/>
      <c r="R411" s="34"/>
      <c r="S411" s="34"/>
      <c r="T411" s="34"/>
    </row>
    <row r="412" spans="2:20" ht="14.1" customHeight="1" x14ac:dyDescent="0.2">
      <c r="B412" s="30"/>
      <c r="C412" s="30"/>
      <c r="D412" s="30"/>
      <c r="E412" s="49"/>
      <c r="F412" s="31"/>
      <c r="G412" s="31"/>
      <c r="H412" s="31"/>
      <c r="I412" s="31"/>
      <c r="J412" s="31"/>
      <c r="K412" s="31"/>
      <c r="L412" s="31"/>
      <c r="M412" s="31"/>
      <c r="N412" s="32"/>
      <c r="O412" s="32"/>
      <c r="P412" s="33"/>
      <c r="Q412" s="34"/>
      <c r="R412" s="34"/>
      <c r="S412" s="34"/>
      <c r="T412" s="34"/>
    </row>
    <row r="413" spans="2:20" ht="14.1" customHeight="1" x14ac:dyDescent="0.2">
      <c r="B413" s="30"/>
      <c r="C413" s="30"/>
      <c r="D413" s="30"/>
      <c r="E413" s="49"/>
      <c r="F413" s="31"/>
      <c r="G413" s="31"/>
      <c r="H413" s="31"/>
      <c r="I413" s="31"/>
      <c r="J413" s="31"/>
      <c r="K413" s="31"/>
      <c r="L413" s="31"/>
      <c r="M413" s="31"/>
      <c r="N413" s="32"/>
      <c r="O413" s="32"/>
      <c r="P413" s="33"/>
      <c r="Q413" s="34"/>
      <c r="R413" s="34"/>
      <c r="S413" s="34"/>
      <c r="T413" s="34"/>
    </row>
    <row r="414" spans="2:20" ht="14.1" customHeight="1" x14ac:dyDescent="0.2">
      <c r="B414" s="30"/>
      <c r="C414" s="30"/>
      <c r="D414" s="30"/>
      <c r="E414" s="49"/>
      <c r="F414" s="31"/>
      <c r="G414" s="31"/>
      <c r="H414" s="31"/>
      <c r="I414" s="31"/>
      <c r="J414" s="31"/>
      <c r="K414" s="31"/>
      <c r="L414" s="31"/>
      <c r="M414" s="31"/>
      <c r="N414" s="32"/>
      <c r="O414" s="32"/>
      <c r="P414" s="33"/>
      <c r="Q414" s="34"/>
      <c r="R414" s="34"/>
      <c r="S414" s="34"/>
      <c r="T414" s="34"/>
    </row>
    <row r="415" spans="2:20" ht="14.1" customHeight="1" x14ac:dyDescent="0.2">
      <c r="B415" s="30"/>
      <c r="C415" s="30"/>
      <c r="D415" s="30"/>
      <c r="E415" s="49"/>
      <c r="F415" s="31"/>
      <c r="G415" s="31"/>
      <c r="H415" s="31"/>
      <c r="I415" s="31"/>
      <c r="J415" s="31"/>
      <c r="K415" s="31"/>
      <c r="L415" s="31"/>
      <c r="M415" s="31"/>
      <c r="N415" s="32"/>
      <c r="O415" s="32"/>
      <c r="P415" s="33"/>
      <c r="Q415" s="34"/>
      <c r="R415" s="34"/>
      <c r="S415" s="34"/>
      <c r="T415" s="34"/>
    </row>
    <row r="416" spans="2:20" ht="14.1" customHeight="1" x14ac:dyDescent="0.2">
      <c r="B416" s="30"/>
      <c r="C416" s="30"/>
      <c r="D416" s="30"/>
      <c r="E416" s="49"/>
      <c r="F416" s="31"/>
      <c r="G416" s="31"/>
      <c r="H416" s="31"/>
      <c r="I416" s="31"/>
      <c r="J416" s="31"/>
      <c r="K416" s="31"/>
      <c r="L416" s="31"/>
      <c r="M416" s="31"/>
      <c r="N416" s="32"/>
      <c r="O416" s="32"/>
      <c r="P416" s="33"/>
      <c r="Q416" s="34"/>
      <c r="R416" s="34"/>
      <c r="S416" s="34"/>
      <c r="T416" s="34"/>
    </row>
    <row r="417" spans="2:20" ht="14.1" customHeight="1" x14ac:dyDescent="0.2">
      <c r="B417" s="30"/>
      <c r="C417" s="30"/>
      <c r="D417" s="30"/>
      <c r="E417" s="49"/>
      <c r="F417" s="31"/>
      <c r="G417" s="31"/>
      <c r="H417" s="31"/>
      <c r="I417" s="31"/>
      <c r="J417" s="31"/>
      <c r="K417" s="31"/>
      <c r="L417" s="31"/>
      <c r="M417" s="31"/>
      <c r="N417" s="32"/>
      <c r="O417" s="32"/>
      <c r="P417" s="33"/>
      <c r="Q417" s="34"/>
      <c r="R417" s="34"/>
      <c r="S417" s="34"/>
      <c r="T417" s="34"/>
    </row>
    <row r="418" spans="2:20" ht="14.1" customHeight="1" x14ac:dyDescent="0.2">
      <c r="B418" s="30"/>
      <c r="C418" s="30"/>
      <c r="D418" s="30"/>
      <c r="E418" s="49"/>
      <c r="F418" s="31"/>
      <c r="G418" s="31"/>
      <c r="H418" s="31"/>
      <c r="I418" s="31"/>
      <c r="J418" s="31"/>
      <c r="K418" s="31"/>
      <c r="L418" s="31"/>
      <c r="M418" s="31"/>
      <c r="N418" s="32"/>
      <c r="O418" s="32"/>
      <c r="P418" s="33"/>
      <c r="Q418" s="34"/>
      <c r="R418" s="34"/>
      <c r="S418" s="34"/>
      <c r="T418" s="34"/>
    </row>
    <row r="419" spans="2:20" ht="14.1" customHeight="1" x14ac:dyDescent="0.2">
      <c r="B419" s="30"/>
      <c r="C419" s="30"/>
      <c r="D419" s="30"/>
      <c r="E419" s="49"/>
      <c r="F419" s="31"/>
      <c r="G419" s="31"/>
      <c r="H419" s="31"/>
      <c r="I419" s="31"/>
      <c r="J419" s="31"/>
      <c r="K419" s="31"/>
      <c r="L419" s="31"/>
      <c r="M419" s="31"/>
      <c r="N419" s="32"/>
      <c r="O419" s="32"/>
      <c r="P419" s="33"/>
      <c r="Q419" s="34"/>
      <c r="R419" s="34"/>
      <c r="S419" s="34"/>
      <c r="T419" s="34"/>
    </row>
    <row r="420" spans="2:20" ht="14.1" customHeight="1" x14ac:dyDescent="0.2">
      <c r="B420" s="30"/>
      <c r="C420" s="30"/>
      <c r="D420" s="30"/>
      <c r="E420" s="49"/>
      <c r="F420" s="31"/>
      <c r="G420" s="31"/>
      <c r="H420" s="31"/>
      <c r="I420" s="31"/>
      <c r="J420" s="31"/>
      <c r="K420" s="31"/>
      <c r="L420" s="31"/>
      <c r="M420" s="31"/>
      <c r="N420" s="32"/>
      <c r="O420" s="32"/>
      <c r="P420" s="33"/>
      <c r="Q420" s="34"/>
      <c r="R420" s="34"/>
      <c r="S420" s="34"/>
      <c r="T420" s="34"/>
    </row>
    <row r="421" spans="2:20" ht="14.1" customHeight="1" x14ac:dyDescent="0.2">
      <c r="B421" s="30"/>
      <c r="C421" s="30"/>
      <c r="D421" s="30"/>
      <c r="E421" s="49"/>
      <c r="F421" s="31"/>
      <c r="G421" s="31"/>
      <c r="H421" s="31"/>
      <c r="I421" s="31"/>
      <c r="J421" s="31"/>
      <c r="K421" s="31"/>
      <c r="L421" s="31"/>
      <c r="M421" s="31"/>
      <c r="N421" s="32"/>
      <c r="O421" s="32"/>
      <c r="P421" s="33"/>
      <c r="Q421" s="34"/>
      <c r="R421" s="34"/>
      <c r="S421" s="34"/>
      <c r="T421" s="34"/>
    </row>
    <row r="422" spans="2:20" ht="14.1" customHeight="1" x14ac:dyDescent="0.2">
      <c r="B422" s="30"/>
      <c r="C422" s="30"/>
      <c r="D422" s="30"/>
      <c r="E422" s="49"/>
      <c r="F422" s="31"/>
      <c r="G422" s="31"/>
      <c r="H422" s="31"/>
      <c r="I422" s="31"/>
      <c r="J422" s="31"/>
      <c r="K422" s="31"/>
      <c r="L422" s="31"/>
      <c r="M422" s="31"/>
      <c r="N422" s="32"/>
      <c r="O422" s="32"/>
      <c r="P422" s="33"/>
      <c r="Q422" s="34"/>
      <c r="R422" s="34"/>
      <c r="S422" s="34"/>
      <c r="T422" s="34"/>
    </row>
    <row r="423" spans="2:20" ht="14.1" customHeight="1" x14ac:dyDescent="0.2">
      <c r="B423" s="30"/>
      <c r="C423" s="30"/>
      <c r="D423" s="30"/>
      <c r="E423" s="49"/>
      <c r="F423" s="31"/>
      <c r="G423" s="31"/>
      <c r="H423" s="31"/>
      <c r="I423" s="31"/>
      <c r="J423" s="31"/>
      <c r="K423" s="31"/>
      <c r="L423" s="31"/>
      <c r="M423" s="31"/>
      <c r="N423" s="32"/>
      <c r="O423" s="32"/>
      <c r="P423" s="33"/>
      <c r="Q423" s="34"/>
      <c r="R423" s="34"/>
      <c r="S423" s="34"/>
      <c r="T423" s="34"/>
    </row>
    <row r="424" spans="2:20" ht="14.1" customHeight="1" x14ac:dyDescent="0.2">
      <c r="B424" s="30"/>
      <c r="C424" s="30"/>
      <c r="D424" s="30"/>
      <c r="E424" s="49"/>
      <c r="F424" s="31"/>
      <c r="G424" s="31"/>
      <c r="H424" s="31"/>
      <c r="I424" s="31"/>
      <c r="J424" s="31"/>
      <c r="K424" s="31"/>
      <c r="L424" s="31"/>
      <c r="M424" s="31"/>
      <c r="N424" s="32"/>
      <c r="O424" s="32"/>
      <c r="P424" s="33"/>
      <c r="Q424" s="34"/>
      <c r="R424" s="34"/>
      <c r="S424" s="34"/>
      <c r="T424" s="34"/>
    </row>
    <row r="425" spans="2:20" ht="14.1" customHeight="1" x14ac:dyDescent="0.2">
      <c r="B425" s="30"/>
      <c r="C425" s="30"/>
      <c r="D425" s="30"/>
      <c r="E425" s="49"/>
      <c r="F425" s="31"/>
      <c r="G425" s="31"/>
      <c r="H425" s="31"/>
      <c r="I425" s="31"/>
      <c r="J425" s="31"/>
      <c r="K425" s="31"/>
      <c r="L425" s="31"/>
      <c r="M425" s="31"/>
      <c r="N425" s="32"/>
      <c r="O425" s="32"/>
      <c r="P425" s="33"/>
      <c r="Q425" s="34"/>
      <c r="R425" s="34"/>
      <c r="S425" s="34"/>
      <c r="T425" s="34"/>
    </row>
    <row r="426" spans="2:20" ht="14.1" customHeight="1" x14ac:dyDescent="0.2">
      <c r="B426" s="30"/>
      <c r="C426" s="30"/>
      <c r="D426" s="30"/>
      <c r="E426" s="49"/>
      <c r="F426" s="31"/>
      <c r="G426" s="31"/>
      <c r="H426" s="31"/>
      <c r="I426" s="31"/>
      <c r="J426" s="31"/>
      <c r="K426" s="31"/>
      <c r="L426" s="31"/>
      <c r="M426" s="31"/>
      <c r="N426" s="32"/>
      <c r="O426" s="32"/>
      <c r="P426" s="33"/>
      <c r="Q426" s="34"/>
      <c r="R426" s="34"/>
      <c r="S426" s="34"/>
      <c r="T426" s="34"/>
    </row>
    <row r="427" spans="2:20" ht="14.1" customHeight="1" x14ac:dyDescent="0.2">
      <c r="B427" s="30"/>
      <c r="C427" s="30"/>
      <c r="D427" s="30"/>
      <c r="E427" s="49"/>
      <c r="F427" s="31"/>
      <c r="G427" s="31"/>
      <c r="H427" s="31"/>
      <c r="I427" s="31"/>
      <c r="J427" s="31"/>
      <c r="K427" s="31"/>
      <c r="L427" s="31"/>
      <c r="M427" s="31"/>
      <c r="N427" s="32"/>
      <c r="O427" s="32"/>
      <c r="P427" s="33"/>
      <c r="Q427" s="34"/>
      <c r="R427" s="34"/>
      <c r="S427" s="34"/>
      <c r="T427" s="34"/>
    </row>
    <row r="428" spans="2:20" ht="14.1" customHeight="1" x14ac:dyDescent="0.2">
      <c r="B428" s="30"/>
      <c r="C428" s="30"/>
      <c r="D428" s="30"/>
      <c r="E428" s="49"/>
      <c r="F428" s="31"/>
      <c r="G428" s="31"/>
      <c r="H428" s="31"/>
      <c r="I428" s="31"/>
      <c r="J428" s="31"/>
      <c r="K428" s="31"/>
      <c r="L428" s="31"/>
      <c r="M428" s="31"/>
      <c r="N428" s="32"/>
      <c r="O428" s="32"/>
      <c r="P428" s="33"/>
      <c r="Q428" s="34"/>
      <c r="R428" s="34"/>
      <c r="S428" s="34"/>
      <c r="T428" s="34"/>
    </row>
    <row r="429" spans="2:20" ht="14.1" customHeight="1" x14ac:dyDescent="0.2">
      <c r="B429" s="30"/>
      <c r="C429" s="30"/>
      <c r="D429" s="30"/>
      <c r="E429" s="49"/>
      <c r="F429" s="31"/>
      <c r="G429" s="31"/>
      <c r="H429" s="31"/>
      <c r="I429" s="31"/>
      <c r="J429" s="31"/>
      <c r="K429" s="31"/>
      <c r="L429" s="31"/>
      <c r="M429" s="31"/>
      <c r="N429" s="32"/>
      <c r="O429" s="32"/>
      <c r="P429" s="33"/>
      <c r="Q429" s="34"/>
      <c r="R429" s="34"/>
      <c r="S429" s="34"/>
      <c r="T429" s="34"/>
    </row>
    <row r="430" spans="2:20" ht="14.1" customHeight="1" x14ac:dyDescent="0.2">
      <c r="B430" s="30"/>
      <c r="C430" s="30"/>
      <c r="D430" s="30"/>
      <c r="E430" s="49"/>
      <c r="F430" s="31"/>
      <c r="G430" s="31"/>
      <c r="H430" s="31"/>
      <c r="I430" s="31"/>
      <c r="J430" s="31"/>
      <c r="K430" s="31"/>
      <c r="L430" s="31"/>
      <c r="M430" s="31"/>
      <c r="N430" s="32"/>
      <c r="O430" s="32"/>
      <c r="P430" s="33"/>
      <c r="Q430" s="34"/>
      <c r="R430" s="34"/>
      <c r="S430" s="34"/>
      <c r="T430" s="34"/>
    </row>
    <row r="431" spans="2:20" ht="14.1" customHeight="1" x14ac:dyDescent="0.2">
      <c r="B431" s="30"/>
      <c r="C431" s="30"/>
      <c r="D431" s="30"/>
      <c r="E431" s="49"/>
      <c r="F431" s="31"/>
      <c r="G431" s="31"/>
      <c r="H431" s="31"/>
      <c r="I431" s="31"/>
      <c r="J431" s="31"/>
      <c r="K431" s="31"/>
      <c r="L431" s="31"/>
      <c r="M431" s="31"/>
      <c r="N431" s="32"/>
      <c r="O431" s="32"/>
      <c r="P431" s="33"/>
      <c r="Q431" s="34"/>
      <c r="R431" s="34"/>
      <c r="S431" s="34"/>
      <c r="T431" s="34"/>
    </row>
    <row r="432" spans="2:20" ht="14.1" customHeight="1" x14ac:dyDescent="0.2">
      <c r="B432" s="30"/>
      <c r="C432" s="30"/>
      <c r="D432" s="30"/>
      <c r="E432" s="49"/>
      <c r="F432" s="31"/>
      <c r="G432" s="31"/>
      <c r="H432" s="31"/>
      <c r="I432" s="31"/>
      <c r="J432" s="31"/>
      <c r="K432" s="31"/>
      <c r="L432" s="31"/>
      <c r="M432" s="31"/>
      <c r="N432" s="32"/>
      <c r="O432" s="32"/>
      <c r="P432" s="33"/>
      <c r="Q432" s="34"/>
      <c r="R432" s="34"/>
      <c r="S432" s="34"/>
      <c r="T432" s="34"/>
    </row>
    <row r="433" spans="2:20" ht="14.1" customHeight="1" x14ac:dyDescent="0.2">
      <c r="B433" s="30"/>
      <c r="C433" s="30"/>
      <c r="D433" s="30"/>
      <c r="E433" s="49"/>
      <c r="F433" s="31"/>
      <c r="G433" s="31"/>
      <c r="H433" s="31"/>
      <c r="I433" s="31"/>
      <c r="J433" s="31"/>
      <c r="K433" s="31"/>
      <c r="L433" s="31"/>
      <c r="M433" s="31"/>
      <c r="N433" s="32"/>
      <c r="O433" s="32"/>
      <c r="P433" s="33"/>
      <c r="Q433" s="34"/>
      <c r="R433" s="34"/>
      <c r="S433" s="34"/>
      <c r="T433" s="34"/>
    </row>
    <row r="434" spans="2:20" ht="14.1" customHeight="1" x14ac:dyDescent="0.2">
      <c r="B434" s="30"/>
      <c r="C434" s="30"/>
      <c r="D434" s="30"/>
      <c r="E434" s="49"/>
      <c r="F434" s="31"/>
      <c r="G434" s="31"/>
      <c r="H434" s="31"/>
      <c r="I434" s="31"/>
      <c r="J434" s="31"/>
      <c r="K434" s="31"/>
      <c r="L434" s="31"/>
      <c r="M434" s="31"/>
      <c r="N434" s="32"/>
      <c r="O434" s="32"/>
      <c r="P434" s="33"/>
      <c r="Q434" s="34"/>
      <c r="R434" s="34"/>
      <c r="S434" s="34"/>
      <c r="T434" s="34"/>
    </row>
    <row r="435" spans="2:20" ht="14.1" customHeight="1" x14ac:dyDescent="0.2">
      <c r="B435" s="30"/>
      <c r="C435" s="30"/>
      <c r="D435" s="30"/>
      <c r="E435" s="49"/>
      <c r="F435" s="31"/>
      <c r="G435" s="31"/>
      <c r="H435" s="31"/>
      <c r="I435" s="31"/>
      <c r="J435" s="31"/>
      <c r="K435" s="31"/>
      <c r="L435" s="31"/>
      <c r="M435" s="31"/>
      <c r="N435" s="32"/>
      <c r="O435" s="32"/>
      <c r="P435" s="33"/>
      <c r="Q435" s="34"/>
      <c r="R435" s="34"/>
      <c r="S435" s="34"/>
      <c r="T435" s="34"/>
    </row>
    <row r="436" spans="2:20" ht="14.1" customHeight="1" x14ac:dyDescent="0.2">
      <c r="B436" s="30"/>
      <c r="C436" s="30"/>
      <c r="D436" s="30"/>
      <c r="E436" s="49"/>
      <c r="F436" s="31"/>
      <c r="G436" s="31"/>
      <c r="H436" s="31"/>
      <c r="I436" s="31"/>
      <c r="J436" s="31"/>
      <c r="K436" s="31"/>
      <c r="L436" s="31"/>
      <c r="M436" s="31"/>
      <c r="N436" s="32"/>
      <c r="O436" s="32"/>
      <c r="P436" s="33"/>
      <c r="Q436" s="34"/>
      <c r="R436" s="34"/>
      <c r="S436" s="34"/>
      <c r="T436" s="34"/>
    </row>
    <row r="437" spans="2:20" ht="14.1" customHeight="1" x14ac:dyDescent="0.2">
      <c r="B437" s="30"/>
      <c r="C437" s="30"/>
      <c r="D437" s="30"/>
      <c r="E437" s="49"/>
      <c r="F437" s="31"/>
      <c r="G437" s="31"/>
      <c r="H437" s="31"/>
      <c r="I437" s="31"/>
      <c r="J437" s="31"/>
      <c r="K437" s="31"/>
      <c r="L437" s="31"/>
      <c r="M437" s="31"/>
      <c r="N437" s="32"/>
      <c r="O437" s="32"/>
      <c r="P437" s="33"/>
      <c r="Q437" s="34"/>
      <c r="R437" s="34"/>
      <c r="S437" s="34"/>
      <c r="T437" s="34"/>
    </row>
    <row r="438" spans="2:20" ht="14.1" customHeight="1" x14ac:dyDescent="0.2">
      <c r="B438" s="30"/>
      <c r="C438" s="30"/>
      <c r="D438" s="30"/>
      <c r="E438" s="49"/>
      <c r="F438" s="31"/>
      <c r="G438" s="31"/>
      <c r="H438" s="31"/>
      <c r="I438" s="31"/>
      <c r="J438" s="31"/>
      <c r="K438" s="31"/>
      <c r="L438" s="31"/>
      <c r="M438" s="31"/>
      <c r="N438" s="32"/>
      <c r="O438" s="32"/>
      <c r="P438" s="33"/>
      <c r="Q438" s="34"/>
      <c r="R438" s="34"/>
      <c r="S438" s="34"/>
      <c r="T438" s="34"/>
    </row>
    <row r="439" spans="2:20" ht="14.1" customHeight="1" x14ac:dyDescent="0.2">
      <c r="B439" s="30"/>
      <c r="C439" s="30"/>
      <c r="D439" s="30"/>
      <c r="E439" s="49"/>
      <c r="F439" s="31"/>
      <c r="G439" s="31"/>
      <c r="H439" s="31"/>
      <c r="I439" s="31"/>
      <c r="J439" s="31"/>
      <c r="K439" s="31"/>
      <c r="L439" s="31"/>
      <c r="M439" s="31"/>
      <c r="N439" s="32"/>
      <c r="O439" s="32"/>
      <c r="P439" s="33"/>
      <c r="Q439" s="34"/>
      <c r="R439" s="34"/>
      <c r="S439" s="34"/>
      <c r="T439" s="34"/>
    </row>
    <row r="440" spans="2:20" ht="14.1" customHeight="1" x14ac:dyDescent="0.2">
      <c r="B440" s="30"/>
      <c r="C440" s="30"/>
      <c r="D440" s="30"/>
      <c r="E440" s="49"/>
      <c r="F440" s="31"/>
      <c r="G440" s="31"/>
      <c r="H440" s="31"/>
      <c r="I440" s="31"/>
      <c r="J440" s="31"/>
      <c r="K440" s="31"/>
      <c r="L440" s="31"/>
      <c r="M440" s="31"/>
      <c r="N440" s="32"/>
      <c r="O440" s="32"/>
      <c r="P440" s="33"/>
      <c r="Q440" s="34"/>
      <c r="R440" s="34"/>
      <c r="S440" s="34"/>
      <c r="T440" s="34"/>
    </row>
    <row r="441" spans="2:20" ht="14.1" customHeight="1" x14ac:dyDescent="0.2">
      <c r="B441" s="30"/>
      <c r="C441" s="30"/>
      <c r="D441" s="30"/>
      <c r="E441" s="49"/>
      <c r="F441" s="31"/>
      <c r="G441" s="31"/>
      <c r="H441" s="31"/>
      <c r="I441" s="31"/>
      <c r="J441" s="31"/>
      <c r="K441" s="31"/>
      <c r="L441" s="31"/>
      <c r="M441" s="31"/>
      <c r="N441" s="32"/>
      <c r="O441" s="32"/>
      <c r="P441" s="33"/>
      <c r="Q441" s="34"/>
      <c r="R441" s="34"/>
      <c r="S441" s="34"/>
      <c r="T441" s="34"/>
    </row>
    <row r="442" spans="2:20" ht="14.1" customHeight="1" x14ac:dyDescent="0.2">
      <c r="B442" s="30"/>
      <c r="C442" s="30"/>
      <c r="D442" s="30"/>
      <c r="E442" s="49"/>
      <c r="F442" s="31"/>
      <c r="G442" s="31"/>
      <c r="H442" s="31"/>
      <c r="I442" s="31"/>
      <c r="J442" s="31"/>
      <c r="K442" s="31"/>
      <c r="L442" s="31"/>
      <c r="M442" s="31"/>
      <c r="N442" s="32"/>
      <c r="O442" s="32"/>
      <c r="P442" s="33"/>
      <c r="Q442" s="34"/>
      <c r="R442" s="34"/>
      <c r="S442" s="34"/>
      <c r="T442" s="34"/>
    </row>
    <row r="443" spans="2:20" ht="14.1" customHeight="1" x14ac:dyDescent="0.2">
      <c r="B443" s="30"/>
      <c r="C443" s="30"/>
      <c r="D443" s="30"/>
      <c r="E443" s="49"/>
      <c r="F443" s="31"/>
      <c r="G443" s="31"/>
      <c r="H443" s="31"/>
      <c r="I443" s="31"/>
      <c r="J443" s="31"/>
      <c r="K443" s="31"/>
      <c r="L443" s="31"/>
      <c r="M443" s="31"/>
      <c r="N443" s="32"/>
      <c r="O443" s="32"/>
      <c r="P443" s="33"/>
      <c r="Q443" s="34"/>
      <c r="R443" s="34"/>
      <c r="S443" s="34"/>
      <c r="T443" s="34"/>
    </row>
    <row r="444" spans="2:20" ht="14.1" customHeight="1" x14ac:dyDescent="0.2">
      <c r="B444" s="30"/>
      <c r="C444" s="30"/>
      <c r="D444" s="30"/>
      <c r="E444" s="49"/>
      <c r="F444" s="31"/>
      <c r="G444" s="31"/>
      <c r="H444" s="31"/>
      <c r="I444" s="31"/>
      <c r="J444" s="31"/>
      <c r="K444" s="31"/>
      <c r="L444" s="31"/>
      <c r="M444" s="31"/>
      <c r="N444" s="32"/>
      <c r="O444" s="32"/>
      <c r="P444" s="33"/>
      <c r="Q444" s="34"/>
      <c r="R444" s="34"/>
      <c r="S444" s="34"/>
      <c r="T444" s="34"/>
    </row>
    <row r="445" spans="2:20" ht="14.1" customHeight="1" x14ac:dyDescent="0.2">
      <c r="B445" s="30"/>
      <c r="C445" s="30"/>
      <c r="D445" s="30"/>
      <c r="E445" s="49"/>
      <c r="F445" s="31"/>
      <c r="G445" s="31"/>
      <c r="H445" s="31"/>
      <c r="I445" s="31"/>
      <c r="J445" s="31"/>
      <c r="K445" s="31"/>
      <c r="L445" s="31"/>
      <c r="M445" s="31"/>
      <c r="N445" s="32"/>
      <c r="O445" s="32"/>
      <c r="P445" s="33"/>
      <c r="Q445" s="34"/>
      <c r="R445" s="34"/>
      <c r="S445" s="34"/>
      <c r="T445" s="34"/>
    </row>
    <row r="446" spans="2:20" ht="14.1" customHeight="1" x14ac:dyDescent="0.2">
      <c r="B446" s="30"/>
      <c r="C446" s="30"/>
      <c r="D446" s="30"/>
      <c r="E446" s="49"/>
      <c r="F446" s="31"/>
      <c r="G446" s="31"/>
      <c r="H446" s="31"/>
      <c r="I446" s="31"/>
      <c r="J446" s="31"/>
      <c r="K446" s="31"/>
      <c r="L446" s="31"/>
      <c r="M446" s="31"/>
      <c r="N446" s="32"/>
      <c r="O446" s="32"/>
      <c r="P446" s="33"/>
      <c r="Q446" s="34"/>
      <c r="R446" s="34"/>
      <c r="S446" s="34"/>
      <c r="T446" s="34"/>
    </row>
    <row r="447" spans="2:20" ht="14.1" customHeight="1" x14ac:dyDescent="0.2">
      <c r="B447" s="30"/>
      <c r="C447" s="30"/>
      <c r="D447" s="30"/>
      <c r="E447" s="49"/>
      <c r="F447" s="31"/>
      <c r="G447" s="31"/>
      <c r="H447" s="31"/>
      <c r="I447" s="31"/>
      <c r="J447" s="31"/>
      <c r="K447" s="31"/>
      <c r="L447" s="31"/>
      <c r="M447" s="31"/>
      <c r="N447" s="32"/>
      <c r="O447" s="32"/>
      <c r="P447" s="33"/>
      <c r="Q447" s="34"/>
      <c r="R447" s="34"/>
      <c r="S447" s="34"/>
      <c r="T447" s="34"/>
    </row>
    <row r="448" spans="2:20" ht="14.1" customHeight="1" x14ac:dyDescent="0.2">
      <c r="B448" s="30"/>
      <c r="C448" s="30"/>
      <c r="D448" s="30"/>
      <c r="E448" s="49"/>
      <c r="F448" s="31"/>
      <c r="G448" s="31"/>
      <c r="H448" s="31"/>
      <c r="I448" s="31"/>
      <c r="J448" s="31"/>
      <c r="K448" s="31"/>
      <c r="L448" s="31"/>
      <c r="M448" s="31"/>
      <c r="N448" s="32"/>
      <c r="O448" s="32"/>
      <c r="P448" s="33"/>
      <c r="Q448" s="34"/>
      <c r="R448" s="34"/>
      <c r="S448" s="34"/>
      <c r="T448" s="34"/>
    </row>
    <row r="449" spans="2:20" ht="14.1" customHeight="1" x14ac:dyDescent="0.2">
      <c r="B449" s="30"/>
      <c r="C449" s="30"/>
      <c r="D449" s="30"/>
      <c r="E449" s="49"/>
      <c r="F449" s="31"/>
      <c r="G449" s="31"/>
      <c r="H449" s="31"/>
      <c r="I449" s="31"/>
      <c r="J449" s="31"/>
      <c r="K449" s="31"/>
      <c r="L449" s="31"/>
      <c r="M449" s="31"/>
      <c r="N449" s="32"/>
      <c r="O449" s="32"/>
      <c r="P449" s="33"/>
      <c r="Q449" s="34"/>
      <c r="R449" s="34"/>
      <c r="S449" s="34"/>
      <c r="T449" s="34"/>
    </row>
    <row r="450" spans="2:20" ht="14.1" customHeight="1" x14ac:dyDescent="0.2">
      <c r="B450" s="30"/>
      <c r="C450" s="30"/>
      <c r="D450" s="30"/>
      <c r="E450" s="49"/>
      <c r="F450" s="31"/>
      <c r="G450" s="31"/>
      <c r="H450" s="31"/>
      <c r="I450" s="31"/>
      <c r="J450" s="31"/>
      <c r="K450" s="31"/>
      <c r="L450" s="31"/>
      <c r="M450" s="31"/>
      <c r="N450" s="32"/>
      <c r="O450" s="32"/>
      <c r="P450" s="33"/>
      <c r="Q450" s="34"/>
      <c r="R450" s="34"/>
      <c r="S450" s="34"/>
      <c r="T450" s="34"/>
    </row>
    <row r="451" spans="2:20" ht="14.1" customHeight="1" x14ac:dyDescent="0.2">
      <c r="B451" s="30"/>
      <c r="C451" s="30"/>
      <c r="D451" s="30"/>
      <c r="E451" s="49"/>
      <c r="F451" s="31"/>
      <c r="G451" s="31"/>
      <c r="H451" s="31"/>
      <c r="I451" s="31"/>
      <c r="J451" s="31"/>
      <c r="K451" s="31"/>
      <c r="L451" s="31"/>
      <c r="M451" s="31"/>
      <c r="N451" s="32"/>
      <c r="O451" s="32"/>
      <c r="P451" s="33"/>
      <c r="Q451" s="34"/>
      <c r="R451" s="34"/>
      <c r="S451" s="34"/>
      <c r="T451" s="34"/>
    </row>
    <row r="452" spans="2:20" ht="14.1" customHeight="1" x14ac:dyDescent="0.2">
      <c r="B452" s="30"/>
      <c r="C452" s="30"/>
      <c r="D452" s="30"/>
      <c r="E452" s="49"/>
      <c r="F452" s="31"/>
      <c r="G452" s="31"/>
      <c r="H452" s="31"/>
      <c r="I452" s="31"/>
      <c r="J452" s="31"/>
      <c r="K452" s="31"/>
      <c r="L452" s="31"/>
      <c r="M452" s="31"/>
      <c r="N452" s="32"/>
      <c r="O452" s="32"/>
      <c r="P452" s="33"/>
      <c r="Q452" s="34"/>
      <c r="R452" s="34"/>
      <c r="S452" s="34"/>
      <c r="T452" s="34"/>
    </row>
    <row r="453" spans="2:20" ht="14.1" customHeight="1" x14ac:dyDescent="0.2">
      <c r="B453" s="30"/>
      <c r="C453" s="30"/>
      <c r="D453" s="30"/>
      <c r="E453" s="49"/>
      <c r="F453" s="31"/>
      <c r="G453" s="31"/>
      <c r="H453" s="31"/>
      <c r="I453" s="31"/>
      <c r="J453" s="31"/>
      <c r="K453" s="31"/>
      <c r="L453" s="31"/>
      <c r="M453" s="31"/>
      <c r="N453" s="32"/>
      <c r="O453" s="32"/>
      <c r="P453" s="33"/>
      <c r="Q453" s="34"/>
      <c r="R453" s="34"/>
      <c r="S453" s="34"/>
      <c r="T453" s="34"/>
    </row>
    <row r="454" spans="2:20" ht="14.1" customHeight="1" x14ac:dyDescent="0.2">
      <c r="B454" s="30"/>
      <c r="C454" s="30"/>
      <c r="D454" s="30"/>
      <c r="E454" s="49"/>
      <c r="F454" s="31"/>
      <c r="G454" s="31"/>
      <c r="H454" s="31"/>
      <c r="I454" s="31"/>
      <c r="J454" s="31"/>
      <c r="K454" s="31"/>
      <c r="L454" s="31"/>
      <c r="M454" s="31"/>
      <c r="N454" s="32"/>
      <c r="O454" s="32"/>
      <c r="P454" s="33"/>
      <c r="Q454" s="34"/>
      <c r="R454" s="34"/>
      <c r="S454" s="34"/>
      <c r="T454" s="34"/>
    </row>
    <row r="455" spans="2:20" ht="14.1" customHeight="1" x14ac:dyDescent="0.2">
      <c r="B455" s="30"/>
      <c r="C455" s="30"/>
      <c r="D455" s="30"/>
      <c r="E455" s="49"/>
      <c r="F455" s="31"/>
      <c r="G455" s="31"/>
      <c r="H455" s="31"/>
      <c r="I455" s="31"/>
      <c r="J455" s="31"/>
      <c r="K455" s="31"/>
      <c r="L455" s="31"/>
      <c r="M455" s="31"/>
      <c r="N455" s="32"/>
      <c r="O455" s="32"/>
      <c r="P455" s="33"/>
      <c r="Q455" s="34"/>
      <c r="R455" s="34"/>
      <c r="S455" s="34"/>
      <c r="T455" s="34"/>
    </row>
    <row r="456" spans="2:20" ht="14.1" customHeight="1" x14ac:dyDescent="0.2">
      <c r="B456" s="30"/>
      <c r="C456" s="30"/>
      <c r="D456" s="30"/>
      <c r="E456" s="49"/>
      <c r="F456" s="31"/>
      <c r="G456" s="31"/>
      <c r="H456" s="31"/>
      <c r="I456" s="31"/>
      <c r="J456" s="31"/>
      <c r="K456" s="31"/>
      <c r="L456" s="31"/>
      <c r="M456" s="31"/>
      <c r="N456" s="32"/>
      <c r="O456" s="32"/>
      <c r="P456" s="33"/>
      <c r="Q456" s="34"/>
      <c r="R456" s="34"/>
      <c r="S456" s="34"/>
      <c r="T456" s="34"/>
    </row>
    <row r="457" spans="2:20" ht="14.1" customHeight="1" x14ac:dyDescent="0.2">
      <c r="B457" s="30"/>
      <c r="C457" s="30"/>
      <c r="D457" s="30"/>
      <c r="E457" s="49"/>
      <c r="F457" s="31"/>
      <c r="G457" s="31"/>
      <c r="H457" s="31"/>
      <c r="I457" s="31"/>
      <c r="J457" s="31"/>
      <c r="K457" s="31"/>
      <c r="L457" s="31"/>
      <c r="M457" s="31"/>
      <c r="N457" s="32"/>
      <c r="O457" s="32"/>
      <c r="P457" s="33"/>
      <c r="Q457" s="34"/>
      <c r="R457" s="34"/>
      <c r="S457" s="34"/>
      <c r="T457" s="34"/>
    </row>
    <row r="458" spans="2:20" ht="14.1" customHeight="1" x14ac:dyDescent="0.2">
      <c r="B458" s="30"/>
      <c r="C458" s="30"/>
      <c r="D458" s="30"/>
      <c r="E458" s="49"/>
      <c r="F458" s="31"/>
      <c r="G458" s="31"/>
      <c r="H458" s="31"/>
      <c r="I458" s="31"/>
      <c r="J458" s="31"/>
      <c r="K458" s="31"/>
      <c r="L458" s="31"/>
      <c r="M458" s="31"/>
      <c r="N458" s="32"/>
      <c r="O458" s="32"/>
      <c r="P458" s="33"/>
      <c r="Q458" s="34"/>
      <c r="R458" s="34"/>
      <c r="S458" s="34"/>
      <c r="T458" s="34"/>
    </row>
    <row r="459" spans="2:20" ht="14.1" customHeight="1" x14ac:dyDescent="0.2">
      <c r="B459" s="30"/>
      <c r="C459" s="30"/>
      <c r="D459" s="30"/>
      <c r="E459" s="49"/>
      <c r="F459" s="31"/>
      <c r="G459" s="31"/>
      <c r="H459" s="31"/>
      <c r="I459" s="31"/>
      <c r="J459" s="31"/>
      <c r="K459" s="31"/>
      <c r="L459" s="31"/>
      <c r="M459" s="31"/>
      <c r="N459" s="32"/>
      <c r="O459" s="32"/>
      <c r="P459" s="33"/>
      <c r="Q459" s="34"/>
      <c r="R459" s="34"/>
      <c r="S459" s="34"/>
      <c r="T459" s="34"/>
    </row>
    <row r="460" spans="2:20" ht="14.1" customHeight="1" x14ac:dyDescent="0.2">
      <c r="B460" s="30"/>
      <c r="C460" s="30"/>
      <c r="D460" s="30"/>
      <c r="E460" s="49"/>
      <c r="F460" s="31"/>
      <c r="G460" s="31"/>
      <c r="H460" s="31"/>
      <c r="I460" s="31"/>
      <c r="J460" s="31"/>
      <c r="K460" s="31"/>
      <c r="L460" s="31"/>
      <c r="M460" s="31"/>
      <c r="N460" s="32"/>
      <c r="O460" s="32"/>
      <c r="P460" s="33"/>
      <c r="Q460" s="34"/>
      <c r="R460" s="34"/>
      <c r="S460" s="34"/>
      <c r="T460" s="34"/>
    </row>
    <row r="461" spans="2:20" ht="14.1" customHeight="1" x14ac:dyDescent="0.2">
      <c r="B461" s="30"/>
      <c r="C461" s="30"/>
      <c r="D461" s="30"/>
      <c r="E461" s="49"/>
      <c r="F461" s="31"/>
      <c r="G461" s="31"/>
      <c r="H461" s="31"/>
      <c r="I461" s="31"/>
      <c r="J461" s="31"/>
      <c r="K461" s="31"/>
      <c r="L461" s="31"/>
      <c r="M461" s="31"/>
      <c r="N461" s="32"/>
      <c r="O461" s="32"/>
      <c r="P461" s="33"/>
      <c r="Q461" s="34"/>
      <c r="R461" s="34"/>
      <c r="S461" s="34"/>
      <c r="T461" s="34"/>
    </row>
    <row r="462" spans="2:20" ht="14.1" customHeight="1" x14ac:dyDescent="0.2">
      <c r="B462" s="30"/>
      <c r="C462" s="30"/>
      <c r="D462" s="30"/>
      <c r="E462" s="49"/>
      <c r="F462" s="31"/>
      <c r="G462" s="31"/>
      <c r="H462" s="31"/>
      <c r="I462" s="31"/>
      <c r="J462" s="31"/>
      <c r="K462" s="31"/>
      <c r="L462" s="31"/>
      <c r="M462" s="31"/>
      <c r="N462" s="32"/>
      <c r="O462" s="32"/>
      <c r="P462" s="33"/>
      <c r="Q462" s="34"/>
      <c r="R462" s="34"/>
      <c r="S462" s="34"/>
      <c r="T462" s="34"/>
    </row>
    <row r="463" spans="2:20" ht="14.1" customHeight="1" x14ac:dyDescent="0.2">
      <c r="B463" s="30"/>
      <c r="C463" s="30"/>
      <c r="D463" s="30"/>
      <c r="E463" s="49"/>
      <c r="F463" s="31"/>
      <c r="G463" s="31"/>
      <c r="H463" s="31"/>
      <c r="I463" s="31"/>
      <c r="J463" s="31"/>
      <c r="K463" s="31"/>
      <c r="L463" s="31"/>
      <c r="M463" s="31"/>
      <c r="N463" s="32"/>
      <c r="O463" s="32"/>
      <c r="P463" s="33"/>
      <c r="Q463" s="34"/>
      <c r="R463" s="34"/>
      <c r="S463" s="34"/>
      <c r="T463" s="34"/>
    </row>
    <row r="464" spans="2:20" ht="14.1" customHeight="1" x14ac:dyDescent="0.2">
      <c r="B464" s="30"/>
      <c r="C464" s="30"/>
      <c r="D464" s="30"/>
      <c r="E464" s="49"/>
      <c r="F464" s="31"/>
      <c r="G464" s="31"/>
      <c r="H464" s="31"/>
      <c r="I464" s="31"/>
      <c r="J464" s="31"/>
      <c r="K464" s="31"/>
      <c r="L464" s="31"/>
      <c r="M464" s="31"/>
      <c r="N464" s="32"/>
      <c r="O464" s="32"/>
      <c r="P464" s="33"/>
      <c r="Q464" s="34"/>
      <c r="R464" s="34"/>
      <c r="S464" s="34"/>
      <c r="T464" s="34"/>
    </row>
    <row r="465" spans="2:20" ht="14.1" customHeight="1" x14ac:dyDescent="0.2">
      <c r="B465" s="30"/>
      <c r="C465" s="30"/>
      <c r="D465" s="30"/>
      <c r="E465" s="49"/>
      <c r="F465" s="31"/>
      <c r="G465" s="31"/>
      <c r="H465" s="31"/>
      <c r="I465" s="31"/>
      <c r="J465" s="31"/>
      <c r="K465" s="31"/>
      <c r="L465" s="31"/>
      <c r="M465" s="31"/>
      <c r="N465" s="32"/>
      <c r="O465" s="32"/>
      <c r="P465" s="33"/>
      <c r="Q465" s="34"/>
      <c r="R465" s="34"/>
      <c r="S465" s="34"/>
      <c r="T465" s="34"/>
    </row>
    <row r="466" spans="2:20" ht="14.1" customHeight="1" x14ac:dyDescent="0.2">
      <c r="B466" s="30"/>
      <c r="C466" s="30"/>
      <c r="D466" s="30"/>
      <c r="E466" s="49"/>
      <c r="F466" s="31"/>
      <c r="G466" s="31"/>
      <c r="H466" s="31"/>
      <c r="I466" s="31"/>
      <c r="J466" s="31"/>
      <c r="K466" s="31"/>
      <c r="L466" s="31"/>
      <c r="M466" s="31"/>
      <c r="N466" s="32"/>
      <c r="O466" s="32"/>
      <c r="P466" s="33"/>
      <c r="Q466" s="34"/>
      <c r="R466" s="34"/>
      <c r="S466" s="34"/>
      <c r="T466" s="34"/>
    </row>
    <row r="467" spans="2:20" ht="14.1" customHeight="1" x14ac:dyDescent="0.2">
      <c r="B467" s="30"/>
      <c r="C467" s="30"/>
      <c r="D467" s="30"/>
      <c r="E467" s="49"/>
      <c r="F467" s="31"/>
      <c r="G467" s="31"/>
      <c r="H467" s="31"/>
      <c r="I467" s="31"/>
      <c r="J467" s="31"/>
      <c r="K467" s="31"/>
      <c r="L467" s="31"/>
      <c r="M467" s="31"/>
      <c r="N467" s="32"/>
      <c r="O467" s="32"/>
      <c r="P467" s="33"/>
      <c r="Q467" s="34"/>
      <c r="R467" s="34"/>
      <c r="S467" s="34"/>
      <c r="T467" s="34"/>
    </row>
    <row r="468" spans="2:20" ht="14.1" customHeight="1" x14ac:dyDescent="0.2">
      <c r="B468" s="30"/>
      <c r="C468" s="30"/>
      <c r="D468" s="30"/>
      <c r="E468" s="49"/>
      <c r="F468" s="31"/>
      <c r="G468" s="31"/>
      <c r="H468" s="31"/>
      <c r="I468" s="31"/>
      <c r="J468" s="31"/>
      <c r="K468" s="31"/>
      <c r="L468" s="31"/>
      <c r="M468" s="31"/>
      <c r="N468" s="32"/>
      <c r="O468" s="32"/>
      <c r="P468" s="33"/>
      <c r="Q468" s="34"/>
      <c r="R468" s="34"/>
      <c r="S468" s="34"/>
      <c r="T468" s="34"/>
    </row>
    <row r="469" spans="2:20" ht="14.1" customHeight="1" x14ac:dyDescent="0.2">
      <c r="B469" s="30"/>
      <c r="C469" s="30"/>
      <c r="D469" s="30"/>
      <c r="E469" s="49"/>
      <c r="F469" s="31"/>
      <c r="G469" s="31"/>
      <c r="H469" s="31"/>
      <c r="I469" s="31"/>
      <c r="J469" s="31"/>
      <c r="K469" s="31"/>
      <c r="L469" s="31"/>
      <c r="M469" s="31"/>
      <c r="N469" s="32"/>
      <c r="O469" s="32"/>
      <c r="P469" s="33"/>
      <c r="Q469" s="34"/>
      <c r="R469" s="34"/>
      <c r="S469" s="34"/>
      <c r="T469" s="34"/>
    </row>
    <row r="470" spans="2:20" ht="14.1" customHeight="1" x14ac:dyDescent="0.2">
      <c r="B470" s="30"/>
      <c r="C470" s="30"/>
      <c r="D470" s="30"/>
      <c r="E470" s="49"/>
      <c r="F470" s="31"/>
      <c r="G470" s="31"/>
      <c r="H470" s="31"/>
      <c r="I470" s="31"/>
      <c r="J470" s="31"/>
      <c r="K470" s="31"/>
      <c r="L470" s="31"/>
      <c r="M470" s="31"/>
      <c r="N470" s="32"/>
      <c r="O470" s="32"/>
      <c r="P470" s="33"/>
      <c r="Q470" s="34"/>
      <c r="R470" s="34"/>
      <c r="S470" s="34"/>
      <c r="T470" s="34"/>
    </row>
    <row r="471" spans="2:20" ht="14.1" customHeight="1" x14ac:dyDescent="0.2">
      <c r="B471" s="30"/>
      <c r="C471" s="30"/>
      <c r="D471" s="30"/>
      <c r="E471" s="49"/>
      <c r="F471" s="31"/>
      <c r="G471" s="31"/>
      <c r="H471" s="31"/>
      <c r="I471" s="31"/>
      <c r="J471" s="31"/>
      <c r="K471" s="31"/>
      <c r="L471" s="31"/>
      <c r="M471" s="31"/>
      <c r="N471" s="32"/>
      <c r="O471" s="32"/>
      <c r="P471" s="33"/>
      <c r="Q471" s="34"/>
      <c r="R471" s="34"/>
      <c r="S471" s="34"/>
      <c r="T471" s="34"/>
    </row>
    <row r="472" spans="2:20" ht="14.1" customHeight="1" x14ac:dyDescent="0.2">
      <c r="B472" s="30"/>
      <c r="C472" s="30"/>
      <c r="D472" s="30"/>
      <c r="E472" s="49"/>
      <c r="F472" s="31"/>
      <c r="G472" s="31"/>
      <c r="H472" s="31"/>
      <c r="I472" s="31"/>
      <c r="J472" s="31"/>
      <c r="K472" s="31"/>
      <c r="L472" s="31"/>
      <c r="M472" s="31"/>
      <c r="N472" s="32"/>
      <c r="O472" s="32"/>
      <c r="P472" s="33"/>
      <c r="Q472" s="34"/>
      <c r="R472" s="34"/>
      <c r="S472" s="34"/>
      <c r="T472" s="34"/>
    </row>
    <row r="473" spans="2:20" ht="14.1" customHeight="1" x14ac:dyDescent="0.2">
      <c r="B473" s="30"/>
      <c r="C473" s="30"/>
      <c r="D473" s="30"/>
      <c r="E473" s="49"/>
      <c r="F473" s="31"/>
      <c r="G473" s="31"/>
      <c r="H473" s="31"/>
      <c r="I473" s="31"/>
      <c r="J473" s="31"/>
      <c r="K473" s="31"/>
      <c r="L473" s="31"/>
      <c r="M473" s="31"/>
      <c r="N473" s="32"/>
      <c r="O473" s="32"/>
      <c r="P473" s="33"/>
      <c r="Q473" s="34"/>
      <c r="R473" s="34"/>
      <c r="S473" s="34"/>
      <c r="T473" s="34"/>
    </row>
    <row r="474" spans="2:20" ht="14.1" customHeight="1" x14ac:dyDescent="0.2">
      <c r="B474" s="30"/>
      <c r="C474" s="30"/>
      <c r="D474" s="30"/>
      <c r="E474" s="49"/>
      <c r="F474" s="31"/>
      <c r="G474" s="31"/>
      <c r="H474" s="31"/>
      <c r="I474" s="31"/>
      <c r="J474" s="31"/>
      <c r="K474" s="31"/>
      <c r="L474" s="31"/>
      <c r="M474" s="31"/>
      <c r="N474" s="32"/>
      <c r="O474" s="32"/>
      <c r="P474" s="33"/>
      <c r="Q474" s="34"/>
      <c r="R474" s="34"/>
      <c r="S474" s="34"/>
      <c r="T474" s="34"/>
    </row>
    <row r="475" spans="2:20" ht="14.1" customHeight="1" x14ac:dyDescent="0.2">
      <c r="B475" s="30"/>
      <c r="C475" s="30"/>
      <c r="D475" s="30"/>
      <c r="E475" s="49"/>
      <c r="F475" s="31"/>
      <c r="G475" s="31"/>
      <c r="H475" s="31"/>
      <c r="I475" s="31"/>
      <c r="J475" s="31"/>
      <c r="K475" s="31"/>
      <c r="L475" s="31"/>
      <c r="M475" s="31"/>
      <c r="N475" s="32"/>
      <c r="O475" s="32"/>
      <c r="P475" s="33"/>
      <c r="Q475" s="34"/>
      <c r="R475" s="34"/>
      <c r="S475" s="34"/>
      <c r="T475" s="34"/>
    </row>
    <row r="476" spans="2:20" ht="14.1" customHeight="1" x14ac:dyDescent="0.2">
      <c r="B476" s="30"/>
      <c r="C476" s="30"/>
      <c r="D476" s="30"/>
      <c r="E476" s="49"/>
      <c r="F476" s="31"/>
      <c r="G476" s="31"/>
      <c r="H476" s="31"/>
      <c r="I476" s="31"/>
      <c r="J476" s="31"/>
      <c r="K476" s="31"/>
      <c r="L476" s="31"/>
      <c r="M476" s="31"/>
      <c r="N476" s="32"/>
      <c r="O476" s="32"/>
      <c r="P476" s="33"/>
      <c r="Q476" s="34"/>
      <c r="R476" s="34"/>
      <c r="S476" s="34"/>
      <c r="T476" s="34"/>
    </row>
    <row r="477" spans="2:20" ht="14.1" customHeight="1" x14ac:dyDescent="0.2">
      <c r="B477" s="30"/>
      <c r="C477" s="30"/>
      <c r="D477" s="30"/>
      <c r="E477" s="49"/>
      <c r="F477" s="31"/>
      <c r="G477" s="31"/>
      <c r="H477" s="31"/>
      <c r="I477" s="31"/>
      <c r="J477" s="31"/>
      <c r="K477" s="31"/>
      <c r="L477" s="31"/>
      <c r="M477" s="31"/>
      <c r="N477" s="32"/>
      <c r="O477" s="32"/>
      <c r="P477" s="33"/>
      <c r="Q477" s="34"/>
      <c r="R477" s="34"/>
      <c r="S477" s="34"/>
      <c r="T477" s="34"/>
    </row>
    <row r="478" spans="2:20" ht="14.1" customHeight="1" x14ac:dyDescent="0.2">
      <c r="B478" s="30"/>
      <c r="C478" s="30"/>
      <c r="D478" s="30"/>
      <c r="E478" s="49"/>
      <c r="F478" s="31"/>
      <c r="G478" s="31"/>
      <c r="H478" s="31"/>
      <c r="I478" s="31"/>
      <c r="J478" s="31"/>
      <c r="K478" s="31"/>
      <c r="L478" s="31"/>
      <c r="M478" s="31"/>
      <c r="N478" s="32"/>
      <c r="O478" s="32"/>
      <c r="P478" s="33"/>
      <c r="Q478" s="34"/>
      <c r="R478" s="34"/>
      <c r="S478" s="34"/>
      <c r="T478" s="34"/>
    </row>
    <row r="479" spans="2:20" ht="14.1" customHeight="1" x14ac:dyDescent="0.2">
      <c r="B479" s="30"/>
      <c r="C479" s="30"/>
      <c r="D479" s="30"/>
      <c r="E479" s="49"/>
      <c r="F479" s="31"/>
      <c r="G479" s="31"/>
      <c r="H479" s="31"/>
      <c r="I479" s="31"/>
      <c r="J479" s="31"/>
      <c r="K479" s="31"/>
      <c r="L479" s="31"/>
      <c r="M479" s="31"/>
      <c r="N479" s="32"/>
      <c r="O479" s="32"/>
      <c r="P479" s="33"/>
      <c r="Q479" s="34"/>
      <c r="R479" s="34"/>
      <c r="S479" s="34"/>
      <c r="T479" s="34"/>
    </row>
    <row r="480" spans="2:20" ht="14.1" customHeight="1" x14ac:dyDescent="0.2">
      <c r="B480" s="30"/>
      <c r="C480" s="30"/>
      <c r="D480" s="30"/>
      <c r="E480" s="49"/>
      <c r="F480" s="31"/>
      <c r="G480" s="31"/>
      <c r="H480" s="31"/>
      <c r="I480" s="31"/>
      <c r="J480" s="31"/>
      <c r="K480" s="31"/>
      <c r="L480" s="31"/>
      <c r="M480" s="31"/>
      <c r="N480" s="32"/>
      <c r="O480" s="32"/>
      <c r="P480" s="33"/>
      <c r="Q480" s="34"/>
      <c r="R480" s="34"/>
      <c r="S480" s="34"/>
      <c r="T480" s="34"/>
    </row>
    <row r="481" spans="2:20" ht="14.1" customHeight="1" x14ac:dyDescent="0.2">
      <c r="B481" s="30"/>
      <c r="C481" s="30"/>
      <c r="D481" s="30"/>
      <c r="E481" s="49"/>
      <c r="F481" s="31"/>
      <c r="G481" s="31"/>
      <c r="H481" s="31"/>
      <c r="I481" s="31"/>
      <c r="J481" s="31"/>
      <c r="K481" s="31"/>
      <c r="L481" s="31"/>
      <c r="M481" s="31"/>
      <c r="N481" s="32"/>
      <c r="O481" s="32"/>
      <c r="P481" s="33"/>
      <c r="Q481" s="34"/>
      <c r="R481" s="34"/>
      <c r="S481" s="34"/>
      <c r="T481" s="34"/>
    </row>
    <row r="482" spans="2:20" ht="14.1" customHeight="1" x14ac:dyDescent="0.2">
      <c r="B482" s="30"/>
      <c r="C482" s="30"/>
      <c r="D482" s="30"/>
      <c r="E482" s="49"/>
      <c r="F482" s="31"/>
      <c r="G482" s="31"/>
      <c r="H482" s="31"/>
      <c r="I482" s="31"/>
      <c r="J482" s="31"/>
      <c r="K482" s="31"/>
      <c r="L482" s="31"/>
      <c r="M482" s="31"/>
      <c r="N482" s="32"/>
      <c r="O482" s="32"/>
      <c r="P482" s="33"/>
      <c r="Q482" s="34"/>
      <c r="R482" s="34"/>
      <c r="S482" s="34"/>
      <c r="T482" s="34"/>
    </row>
    <row r="483" spans="2:20" ht="14.1" customHeight="1" x14ac:dyDescent="0.2">
      <c r="B483" s="30"/>
      <c r="C483" s="30"/>
      <c r="D483" s="30"/>
      <c r="E483" s="49"/>
      <c r="F483" s="31"/>
      <c r="G483" s="31"/>
      <c r="H483" s="31"/>
      <c r="I483" s="31"/>
      <c r="J483" s="31"/>
      <c r="K483" s="31"/>
      <c r="L483" s="31"/>
      <c r="M483" s="31"/>
      <c r="N483" s="32"/>
      <c r="O483" s="32"/>
      <c r="P483" s="33"/>
      <c r="Q483" s="34"/>
      <c r="R483" s="34"/>
      <c r="S483" s="34"/>
      <c r="T483" s="34"/>
    </row>
    <row r="484" spans="2:20" ht="14.1" customHeight="1" x14ac:dyDescent="0.2">
      <c r="B484" s="30"/>
      <c r="C484" s="30"/>
      <c r="D484" s="30"/>
      <c r="E484" s="49"/>
      <c r="F484" s="31"/>
      <c r="G484" s="31"/>
      <c r="H484" s="31"/>
      <c r="I484" s="31"/>
      <c r="J484" s="31"/>
      <c r="K484" s="31"/>
      <c r="L484" s="31"/>
      <c r="M484" s="31"/>
      <c r="N484" s="32"/>
      <c r="O484" s="32"/>
      <c r="P484" s="33"/>
      <c r="Q484" s="34"/>
      <c r="R484" s="34"/>
      <c r="S484" s="34"/>
      <c r="T484" s="34"/>
    </row>
    <row r="485" spans="2:20" ht="14.1" customHeight="1" x14ac:dyDescent="0.2">
      <c r="B485" s="30"/>
      <c r="C485" s="30"/>
      <c r="D485" s="30"/>
      <c r="E485" s="49"/>
      <c r="F485" s="31"/>
      <c r="G485" s="31"/>
      <c r="H485" s="31"/>
      <c r="I485" s="31"/>
      <c r="J485" s="31"/>
      <c r="K485" s="31"/>
      <c r="L485" s="31"/>
      <c r="M485" s="31"/>
      <c r="N485" s="32"/>
      <c r="O485" s="32"/>
      <c r="P485" s="33"/>
      <c r="Q485" s="34"/>
      <c r="R485" s="34"/>
      <c r="S485" s="34"/>
      <c r="T485" s="34"/>
    </row>
    <row r="486" spans="2:20" ht="14.1" customHeight="1" x14ac:dyDescent="0.2">
      <c r="B486" s="30"/>
      <c r="C486" s="30"/>
      <c r="D486" s="30"/>
      <c r="E486" s="49"/>
      <c r="F486" s="31"/>
      <c r="G486" s="31"/>
      <c r="H486" s="31"/>
      <c r="I486" s="31"/>
      <c r="J486" s="31"/>
      <c r="K486" s="31"/>
      <c r="L486" s="31"/>
      <c r="M486" s="31"/>
      <c r="N486" s="32"/>
      <c r="O486" s="32"/>
      <c r="P486" s="33"/>
      <c r="Q486" s="34"/>
      <c r="R486" s="34"/>
      <c r="S486" s="34"/>
      <c r="T486" s="34"/>
    </row>
    <row r="487" spans="2:20" ht="14.1" customHeight="1" x14ac:dyDescent="0.2">
      <c r="B487" s="30"/>
      <c r="C487" s="30"/>
      <c r="D487" s="30"/>
      <c r="E487" s="49"/>
      <c r="F487" s="31"/>
      <c r="G487" s="31"/>
      <c r="H487" s="31"/>
      <c r="I487" s="31"/>
      <c r="J487" s="31"/>
      <c r="K487" s="31"/>
      <c r="L487" s="31"/>
      <c r="M487" s="31"/>
      <c r="N487" s="32"/>
      <c r="O487" s="32"/>
      <c r="P487" s="33"/>
      <c r="Q487" s="34"/>
      <c r="R487" s="34"/>
      <c r="S487" s="34"/>
      <c r="T487" s="34"/>
    </row>
    <row r="488" spans="2:20" ht="14.1" customHeight="1" x14ac:dyDescent="0.2">
      <c r="B488" s="30"/>
      <c r="C488" s="30"/>
      <c r="D488" s="30"/>
      <c r="E488" s="49"/>
      <c r="F488" s="31"/>
      <c r="G488" s="31"/>
      <c r="H488" s="31"/>
      <c r="I488" s="31"/>
      <c r="J488" s="31"/>
      <c r="K488" s="31"/>
      <c r="L488" s="31"/>
      <c r="M488" s="31"/>
      <c r="N488" s="32"/>
      <c r="O488" s="32"/>
      <c r="P488" s="33"/>
      <c r="Q488" s="34"/>
      <c r="R488" s="34"/>
      <c r="S488" s="34"/>
      <c r="T488" s="34"/>
    </row>
    <row r="489" spans="2:20" ht="14.1" customHeight="1" x14ac:dyDescent="0.2">
      <c r="B489" s="30"/>
      <c r="C489" s="30"/>
      <c r="D489" s="30"/>
      <c r="E489" s="49"/>
      <c r="F489" s="31"/>
      <c r="G489" s="31"/>
      <c r="H489" s="31"/>
      <c r="I489" s="31"/>
      <c r="J489" s="31"/>
      <c r="K489" s="31"/>
      <c r="L489" s="31"/>
      <c r="M489" s="31"/>
      <c r="N489" s="32"/>
      <c r="O489" s="32"/>
      <c r="P489" s="33"/>
      <c r="Q489" s="34"/>
      <c r="R489" s="34"/>
      <c r="S489" s="34"/>
      <c r="T489" s="34"/>
    </row>
    <row r="490" spans="2:20" ht="14.1" customHeight="1" x14ac:dyDescent="0.2">
      <c r="B490" s="30"/>
      <c r="C490" s="30"/>
      <c r="D490" s="30"/>
      <c r="E490" s="49"/>
      <c r="F490" s="31"/>
      <c r="G490" s="31"/>
      <c r="H490" s="31"/>
      <c r="I490" s="31"/>
      <c r="J490" s="31"/>
      <c r="K490" s="31"/>
      <c r="L490" s="31"/>
      <c r="M490" s="31"/>
      <c r="N490" s="32"/>
      <c r="O490" s="32"/>
      <c r="P490" s="33"/>
      <c r="Q490" s="34"/>
      <c r="R490" s="34"/>
      <c r="S490" s="34"/>
      <c r="T490" s="34"/>
    </row>
    <row r="491" spans="2:20" ht="14.1" customHeight="1" x14ac:dyDescent="0.2">
      <c r="B491" s="30"/>
      <c r="C491" s="30"/>
      <c r="D491" s="30"/>
      <c r="E491" s="49"/>
      <c r="F491" s="31"/>
      <c r="G491" s="31"/>
      <c r="H491" s="31"/>
      <c r="I491" s="31"/>
      <c r="J491" s="31"/>
      <c r="K491" s="31"/>
      <c r="L491" s="31"/>
      <c r="M491" s="31"/>
      <c r="N491" s="32"/>
      <c r="O491" s="32"/>
      <c r="P491" s="33"/>
      <c r="Q491" s="34"/>
      <c r="R491" s="34"/>
      <c r="S491" s="34"/>
      <c r="T491" s="34"/>
    </row>
    <row r="492" spans="2:20" ht="14.1" customHeight="1" x14ac:dyDescent="0.2">
      <c r="B492" s="30"/>
      <c r="C492" s="30"/>
      <c r="D492" s="30"/>
      <c r="E492" s="49"/>
      <c r="F492" s="31"/>
      <c r="G492" s="31"/>
      <c r="H492" s="31"/>
      <c r="I492" s="31"/>
      <c r="J492" s="31"/>
      <c r="K492" s="31"/>
      <c r="L492" s="31"/>
      <c r="M492" s="31"/>
      <c r="N492" s="32"/>
      <c r="O492" s="32"/>
      <c r="P492" s="33"/>
      <c r="Q492" s="34"/>
      <c r="R492" s="34"/>
      <c r="S492" s="34"/>
      <c r="T492" s="34"/>
    </row>
    <row r="493" spans="2:20" ht="14.1" customHeight="1" x14ac:dyDescent="0.2">
      <c r="B493" s="30"/>
      <c r="C493" s="30"/>
      <c r="D493" s="30"/>
      <c r="E493" s="49"/>
      <c r="F493" s="31"/>
      <c r="G493" s="31"/>
      <c r="H493" s="31"/>
      <c r="I493" s="31"/>
      <c r="J493" s="31"/>
      <c r="K493" s="31"/>
      <c r="L493" s="31"/>
      <c r="M493" s="31"/>
      <c r="N493" s="32"/>
      <c r="O493" s="32"/>
      <c r="P493" s="33"/>
      <c r="Q493" s="34"/>
      <c r="R493" s="34"/>
      <c r="S493" s="34"/>
      <c r="T493" s="34"/>
    </row>
    <row r="494" spans="2:20" ht="14.1" customHeight="1" x14ac:dyDescent="0.2">
      <c r="B494" s="30"/>
      <c r="C494" s="30"/>
      <c r="D494" s="30"/>
      <c r="E494" s="49"/>
      <c r="F494" s="31"/>
      <c r="G494" s="31"/>
      <c r="H494" s="31"/>
      <c r="I494" s="31"/>
      <c r="J494" s="31"/>
      <c r="K494" s="31"/>
      <c r="L494" s="31"/>
      <c r="M494" s="31"/>
      <c r="N494" s="32"/>
      <c r="O494" s="32"/>
      <c r="P494" s="33"/>
      <c r="Q494" s="34"/>
      <c r="R494" s="34"/>
      <c r="S494" s="34"/>
      <c r="T494" s="34"/>
    </row>
    <row r="495" spans="2:20" ht="14.1" customHeight="1" x14ac:dyDescent="0.2">
      <c r="B495" s="30"/>
      <c r="C495" s="30"/>
      <c r="D495" s="30"/>
      <c r="E495" s="49"/>
      <c r="F495" s="31"/>
      <c r="G495" s="31"/>
      <c r="H495" s="31"/>
      <c r="I495" s="31"/>
      <c r="J495" s="31"/>
      <c r="K495" s="31"/>
      <c r="L495" s="31"/>
      <c r="M495" s="31"/>
      <c r="N495" s="32"/>
      <c r="O495" s="32"/>
      <c r="P495" s="33"/>
      <c r="Q495" s="34"/>
      <c r="R495" s="34"/>
      <c r="S495" s="34"/>
      <c r="T495" s="34"/>
    </row>
    <row r="496" spans="2:20" ht="14.1" customHeight="1" x14ac:dyDescent="0.2">
      <c r="B496" s="30"/>
      <c r="C496" s="30"/>
      <c r="D496" s="30"/>
      <c r="E496" s="49"/>
      <c r="F496" s="31"/>
      <c r="G496" s="31"/>
      <c r="H496" s="31"/>
      <c r="I496" s="31"/>
      <c r="J496" s="31"/>
      <c r="K496" s="31"/>
      <c r="L496" s="31"/>
      <c r="M496" s="31"/>
      <c r="N496" s="32"/>
      <c r="O496" s="32"/>
      <c r="P496" s="33"/>
      <c r="Q496" s="34"/>
      <c r="R496" s="34"/>
      <c r="S496" s="34"/>
      <c r="T496" s="34"/>
    </row>
    <row r="497" spans="2:20" ht="14.1" customHeight="1" x14ac:dyDescent="0.2">
      <c r="B497" s="30"/>
      <c r="C497" s="30"/>
      <c r="D497" s="30"/>
      <c r="E497" s="49"/>
      <c r="F497" s="31"/>
      <c r="G497" s="31"/>
      <c r="H497" s="31"/>
      <c r="I497" s="31"/>
      <c r="J497" s="31"/>
      <c r="K497" s="31"/>
      <c r="L497" s="31"/>
      <c r="M497" s="31"/>
      <c r="N497" s="32"/>
      <c r="O497" s="32"/>
      <c r="P497" s="33"/>
      <c r="Q497" s="34"/>
      <c r="R497" s="34"/>
      <c r="S497" s="34"/>
      <c r="T497" s="34"/>
    </row>
    <row r="498" spans="2:20" ht="14.1" customHeight="1" x14ac:dyDescent="0.2">
      <c r="B498" s="30"/>
      <c r="C498" s="30"/>
      <c r="D498" s="30"/>
      <c r="E498" s="49"/>
      <c r="F498" s="31"/>
      <c r="G498" s="31"/>
      <c r="H498" s="31"/>
      <c r="I498" s="31"/>
      <c r="J498" s="31"/>
      <c r="K498" s="31"/>
      <c r="L498" s="31"/>
      <c r="M498" s="31"/>
      <c r="N498" s="32"/>
      <c r="O498" s="32"/>
      <c r="P498" s="33"/>
      <c r="Q498" s="34"/>
      <c r="R498" s="34"/>
      <c r="S498" s="34"/>
      <c r="T498" s="34"/>
    </row>
    <row r="499" spans="2:20" ht="14.1" customHeight="1" x14ac:dyDescent="0.2">
      <c r="B499" s="30"/>
      <c r="C499" s="30"/>
      <c r="D499" s="30"/>
      <c r="E499" s="49"/>
      <c r="F499" s="31"/>
      <c r="G499" s="31"/>
      <c r="H499" s="31"/>
      <c r="I499" s="31"/>
      <c r="J499" s="31"/>
      <c r="K499" s="31"/>
      <c r="L499" s="31"/>
      <c r="M499" s="31"/>
      <c r="N499" s="32"/>
      <c r="O499" s="32"/>
      <c r="P499" s="33"/>
      <c r="Q499" s="34"/>
      <c r="R499" s="34"/>
      <c r="S499" s="34"/>
      <c r="T499" s="34"/>
    </row>
    <row r="500" spans="2:20" ht="14.1" customHeight="1" x14ac:dyDescent="0.2">
      <c r="B500" s="30"/>
      <c r="C500" s="30"/>
      <c r="D500" s="30"/>
      <c r="E500" s="49"/>
      <c r="F500" s="31"/>
      <c r="G500" s="31"/>
      <c r="H500" s="31"/>
      <c r="I500" s="31"/>
      <c r="J500" s="31"/>
      <c r="K500" s="31"/>
      <c r="L500" s="31"/>
      <c r="M500" s="31"/>
      <c r="N500" s="32"/>
      <c r="O500" s="32"/>
      <c r="P500" s="33"/>
      <c r="Q500" s="34"/>
      <c r="R500" s="34"/>
      <c r="S500" s="34"/>
      <c r="T500" s="34"/>
    </row>
    <row r="501" spans="2:20" ht="14.1" customHeight="1" x14ac:dyDescent="0.2">
      <c r="B501" s="30"/>
      <c r="C501" s="30"/>
      <c r="D501" s="30"/>
      <c r="E501" s="49"/>
      <c r="F501" s="31"/>
      <c r="G501" s="31"/>
      <c r="H501" s="31"/>
      <c r="I501" s="31"/>
      <c r="J501" s="31"/>
      <c r="K501" s="31"/>
      <c r="L501" s="31"/>
      <c r="M501" s="31"/>
      <c r="N501" s="32"/>
      <c r="O501" s="32"/>
      <c r="P501" s="33"/>
      <c r="Q501" s="34"/>
      <c r="R501" s="34"/>
      <c r="S501" s="34"/>
      <c r="T501" s="34"/>
    </row>
    <row r="502" spans="2:20" ht="14.1" customHeight="1" x14ac:dyDescent="0.2">
      <c r="B502" s="30"/>
      <c r="C502" s="30"/>
      <c r="D502" s="30"/>
      <c r="E502" s="49"/>
      <c r="F502" s="31"/>
      <c r="G502" s="31"/>
      <c r="H502" s="31"/>
      <c r="I502" s="31"/>
      <c r="J502" s="31"/>
      <c r="K502" s="31"/>
      <c r="L502" s="31"/>
      <c r="M502" s="31"/>
      <c r="N502" s="32"/>
      <c r="O502" s="32"/>
      <c r="P502" s="33"/>
      <c r="Q502" s="34"/>
      <c r="R502" s="34"/>
      <c r="S502" s="34"/>
      <c r="T502" s="34"/>
    </row>
    <row r="503" spans="2:20" ht="14.1" customHeight="1" x14ac:dyDescent="0.2">
      <c r="B503" s="30"/>
      <c r="C503" s="30"/>
      <c r="D503" s="30"/>
      <c r="E503" s="49"/>
      <c r="F503" s="31"/>
      <c r="G503" s="31"/>
      <c r="H503" s="31"/>
      <c r="I503" s="31"/>
      <c r="J503" s="31"/>
      <c r="K503" s="31"/>
      <c r="L503" s="31"/>
      <c r="M503" s="31"/>
      <c r="N503" s="32"/>
      <c r="O503" s="32"/>
      <c r="P503" s="33"/>
      <c r="Q503" s="34"/>
      <c r="R503" s="34"/>
      <c r="S503" s="34"/>
      <c r="T503" s="34"/>
    </row>
    <row r="504" spans="2:20" ht="14.1" customHeight="1" x14ac:dyDescent="0.2">
      <c r="B504" s="30"/>
      <c r="C504" s="30"/>
      <c r="D504" s="30"/>
      <c r="E504" s="49"/>
      <c r="F504" s="31"/>
      <c r="G504" s="31"/>
      <c r="H504" s="31"/>
      <c r="I504" s="31"/>
      <c r="J504" s="31"/>
      <c r="K504" s="31"/>
      <c r="L504" s="31"/>
      <c r="M504" s="31"/>
      <c r="N504" s="32"/>
      <c r="O504" s="32"/>
      <c r="P504" s="33"/>
      <c r="Q504" s="34"/>
      <c r="R504" s="34"/>
      <c r="S504" s="34"/>
      <c r="T504" s="34"/>
    </row>
    <row r="505" spans="2:20" ht="14.1" customHeight="1" x14ac:dyDescent="0.2">
      <c r="B505" s="30"/>
      <c r="C505" s="30"/>
      <c r="D505" s="30"/>
      <c r="E505" s="49"/>
      <c r="F505" s="31"/>
      <c r="G505" s="31"/>
      <c r="H505" s="31"/>
      <c r="I505" s="31"/>
      <c r="J505" s="31"/>
      <c r="K505" s="31"/>
      <c r="L505" s="31"/>
      <c r="M505" s="31"/>
      <c r="N505" s="32"/>
      <c r="O505" s="32"/>
      <c r="P505" s="33"/>
      <c r="Q505" s="34"/>
      <c r="R505" s="34"/>
      <c r="S505" s="34"/>
      <c r="T505" s="34"/>
    </row>
    <row r="506" spans="2:20" ht="14.1" customHeight="1" x14ac:dyDescent="0.2">
      <c r="B506" s="30"/>
      <c r="C506" s="30"/>
      <c r="D506" s="30"/>
      <c r="E506" s="49"/>
      <c r="F506" s="31"/>
      <c r="G506" s="31"/>
      <c r="H506" s="31"/>
      <c r="I506" s="31"/>
      <c r="J506" s="31"/>
      <c r="K506" s="31"/>
      <c r="L506" s="31"/>
      <c r="M506" s="31"/>
      <c r="N506" s="32"/>
      <c r="O506" s="32"/>
      <c r="P506" s="33"/>
      <c r="Q506" s="34"/>
      <c r="R506" s="34"/>
      <c r="S506" s="34"/>
      <c r="T506" s="34"/>
    </row>
    <row r="507" spans="2:20" ht="14.1" customHeight="1" x14ac:dyDescent="0.2">
      <c r="B507" s="30"/>
      <c r="C507" s="30"/>
      <c r="D507" s="30"/>
      <c r="E507" s="49"/>
      <c r="F507" s="31"/>
      <c r="G507" s="31"/>
      <c r="H507" s="31"/>
      <c r="I507" s="31"/>
      <c r="J507" s="31"/>
      <c r="K507" s="31"/>
      <c r="L507" s="31"/>
      <c r="M507" s="31"/>
      <c r="N507" s="32"/>
      <c r="O507" s="32"/>
      <c r="P507" s="33"/>
      <c r="Q507" s="34"/>
      <c r="R507" s="34"/>
      <c r="S507" s="34"/>
      <c r="T507" s="34"/>
    </row>
    <row r="508" spans="2:20" ht="14.1" customHeight="1" x14ac:dyDescent="0.2">
      <c r="B508" s="30"/>
      <c r="C508" s="30"/>
      <c r="D508" s="30"/>
      <c r="E508" s="49"/>
      <c r="F508" s="31"/>
      <c r="G508" s="31"/>
      <c r="H508" s="31"/>
      <c r="I508" s="31"/>
      <c r="J508" s="31"/>
      <c r="K508" s="31"/>
      <c r="L508" s="31"/>
      <c r="M508" s="31"/>
      <c r="N508" s="32"/>
      <c r="O508" s="32"/>
      <c r="P508" s="33"/>
      <c r="Q508" s="34"/>
      <c r="R508" s="34"/>
      <c r="S508" s="34"/>
      <c r="T508" s="34"/>
    </row>
    <row r="509" spans="2:20" ht="14.1" customHeight="1" x14ac:dyDescent="0.2">
      <c r="B509" s="30"/>
      <c r="C509" s="30"/>
      <c r="D509" s="30"/>
      <c r="E509" s="49"/>
      <c r="F509" s="31"/>
      <c r="G509" s="31"/>
      <c r="H509" s="31"/>
      <c r="I509" s="31"/>
      <c r="J509" s="31"/>
      <c r="K509" s="31"/>
      <c r="L509" s="31"/>
      <c r="M509" s="31"/>
      <c r="N509" s="32"/>
      <c r="O509" s="32"/>
      <c r="P509" s="33"/>
      <c r="Q509" s="34"/>
      <c r="R509" s="34"/>
      <c r="S509" s="34"/>
      <c r="T509" s="34"/>
    </row>
    <row r="510" spans="2:20" ht="14.1" customHeight="1" x14ac:dyDescent="0.2">
      <c r="B510" s="30"/>
      <c r="C510" s="30"/>
      <c r="D510" s="30"/>
      <c r="E510" s="49"/>
      <c r="F510" s="31"/>
      <c r="G510" s="31"/>
      <c r="H510" s="31"/>
      <c r="I510" s="31"/>
      <c r="J510" s="31"/>
      <c r="K510" s="31"/>
      <c r="L510" s="31"/>
      <c r="M510" s="31"/>
      <c r="N510" s="32"/>
      <c r="O510" s="32"/>
      <c r="P510" s="33"/>
      <c r="Q510" s="34"/>
      <c r="R510" s="34"/>
      <c r="S510" s="34"/>
      <c r="T510" s="34"/>
    </row>
    <row r="511" spans="2:20" ht="14.1" customHeight="1" x14ac:dyDescent="0.2">
      <c r="B511" s="30"/>
      <c r="C511" s="30"/>
      <c r="D511" s="30"/>
      <c r="E511" s="49"/>
      <c r="F511" s="31"/>
      <c r="G511" s="31"/>
      <c r="H511" s="31"/>
      <c r="I511" s="31"/>
      <c r="J511" s="31"/>
      <c r="K511" s="31"/>
      <c r="L511" s="31"/>
      <c r="M511" s="31"/>
      <c r="N511" s="32"/>
      <c r="O511" s="32"/>
      <c r="P511" s="33"/>
      <c r="Q511" s="34"/>
      <c r="R511" s="34"/>
      <c r="S511" s="34"/>
      <c r="T511" s="34"/>
    </row>
    <row r="512" spans="2:20" ht="14.1" customHeight="1" x14ac:dyDescent="0.2">
      <c r="B512" s="30"/>
      <c r="C512" s="30"/>
      <c r="D512" s="30"/>
      <c r="E512" s="49"/>
      <c r="F512" s="31"/>
      <c r="G512" s="31"/>
      <c r="H512" s="31"/>
      <c r="I512" s="31"/>
      <c r="J512" s="31"/>
      <c r="K512" s="31"/>
      <c r="L512" s="31"/>
      <c r="M512" s="31"/>
      <c r="N512" s="32"/>
      <c r="O512" s="32"/>
      <c r="P512" s="33"/>
      <c r="Q512" s="34"/>
      <c r="R512" s="34"/>
      <c r="S512" s="34"/>
      <c r="T512" s="34"/>
    </row>
    <row r="513" spans="2:20" ht="14.1" customHeight="1" x14ac:dyDescent="0.2">
      <c r="B513" s="30"/>
      <c r="C513" s="30"/>
      <c r="D513" s="30"/>
      <c r="E513" s="49"/>
      <c r="F513" s="31"/>
      <c r="G513" s="31"/>
      <c r="H513" s="31"/>
      <c r="I513" s="31"/>
      <c r="J513" s="31"/>
      <c r="K513" s="31"/>
      <c r="L513" s="31"/>
      <c r="M513" s="31"/>
      <c r="N513" s="32"/>
      <c r="O513" s="32"/>
      <c r="P513" s="33"/>
      <c r="Q513" s="34"/>
      <c r="R513" s="34"/>
      <c r="S513" s="34"/>
      <c r="T513" s="34"/>
    </row>
    <row r="514" spans="2:20" ht="14.1" customHeight="1" x14ac:dyDescent="0.2">
      <c r="B514" s="30"/>
      <c r="C514" s="30"/>
      <c r="D514" s="30"/>
      <c r="E514" s="49"/>
      <c r="F514" s="31"/>
      <c r="G514" s="31"/>
      <c r="H514" s="31"/>
      <c r="I514" s="31"/>
      <c r="J514" s="31"/>
      <c r="K514" s="31"/>
      <c r="L514" s="31"/>
      <c r="M514" s="31"/>
      <c r="N514" s="32"/>
      <c r="O514" s="32"/>
      <c r="P514" s="33"/>
      <c r="Q514" s="34"/>
      <c r="R514" s="34"/>
      <c r="S514" s="34"/>
      <c r="T514" s="34"/>
    </row>
    <row r="515" spans="2:20" ht="14.1" customHeight="1" x14ac:dyDescent="0.2">
      <c r="B515" s="30"/>
      <c r="C515" s="30"/>
      <c r="D515" s="30"/>
      <c r="E515" s="49"/>
      <c r="F515" s="31"/>
      <c r="G515" s="31"/>
      <c r="H515" s="31"/>
      <c r="I515" s="31"/>
      <c r="J515" s="31"/>
      <c r="K515" s="31"/>
      <c r="L515" s="31"/>
      <c r="M515" s="31"/>
      <c r="N515" s="32"/>
      <c r="O515" s="32"/>
      <c r="P515" s="33"/>
      <c r="Q515" s="34"/>
      <c r="R515" s="34"/>
      <c r="S515" s="34"/>
      <c r="T515" s="34"/>
    </row>
    <row r="516" spans="2:20" ht="14.1" customHeight="1" x14ac:dyDescent="0.2">
      <c r="B516" s="30"/>
      <c r="C516" s="30"/>
      <c r="D516" s="30"/>
      <c r="E516" s="49"/>
      <c r="F516" s="31"/>
      <c r="G516" s="31"/>
      <c r="H516" s="31"/>
      <c r="I516" s="31"/>
      <c r="J516" s="31"/>
      <c r="K516" s="31"/>
      <c r="L516" s="31"/>
      <c r="M516" s="31"/>
      <c r="N516" s="32"/>
      <c r="O516" s="32"/>
      <c r="P516" s="33"/>
      <c r="Q516" s="34"/>
      <c r="R516" s="34"/>
      <c r="S516" s="34"/>
      <c r="T516" s="34"/>
    </row>
    <row r="517" spans="2:20" ht="14.1" customHeight="1" x14ac:dyDescent="0.2">
      <c r="B517" s="30"/>
      <c r="C517" s="30"/>
      <c r="D517" s="30"/>
      <c r="E517" s="49"/>
      <c r="F517" s="31"/>
      <c r="G517" s="31"/>
      <c r="H517" s="31"/>
      <c r="I517" s="31"/>
      <c r="J517" s="31"/>
      <c r="K517" s="31"/>
      <c r="L517" s="31"/>
      <c r="M517" s="31"/>
      <c r="N517" s="32"/>
      <c r="O517" s="32"/>
      <c r="P517" s="33"/>
      <c r="Q517" s="34"/>
      <c r="R517" s="34"/>
      <c r="S517" s="34"/>
      <c r="T517" s="34"/>
    </row>
    <row r="518" spans="2:20" ht="14.1" customHeight="1" x14ac:dyDescent="0.2">
      <c r="B518" s="30"/>
      <c r="C518" s="30"/>
      <c r="D518" s="30"/>
      <c r="E518" s="49"/>
      <c r="F518" s="31"/>
      <c r="G518" s="31"/>
      <c r="H518" s="31"/>
      <c r="I518" s="31"/>
      <c r="J518" s="31"/>
      <c r="K518" s="31"/>
      <c r="L518" s="31"/>
      <c r="M518" s="31"/>
      <c r="N518" s="32"/>
      <c r="O518" s="32"/>
      <c r="P518" s="33"/>
      <c r="Q518" s="34"/>
      <c r="R518" s="34"/>
      <c r="S518" s="34"/>
      <c r="T518" s="34"/>
    </row>
    <row r="519" spans="2:20" ht="14.1" customHeight="1" x14ac:dyDescent="0.2">
      <c r="B519" s="30"/>
      <c r="C519" s="30"/>
      <c r="D519" s="30"/>
      <c r="E519" s="49"/>
      <c r="F519" s="31"/>
      <c r="G519" s="31"/>
      <c r="H519" s="31"/>
      <c r="I519" s="31"/>
      <c r="J519" s="31"/>
      <c r="K519" s="31"/>
      <c r="L519" s="31"/>
      <c r="M519" s="31"/>
      <c r="N519" s="32"/>
      <c r="O519" s="32"/>
      <c r="P519" s="33"/>
      <c r="Q519" s="34"/>
      <c r="R519" s="34"/>
      <c r="S519" s="34"/>
      <c r="T519" s="34"/>
    </row>
    <row r="520" spans="2:20" ht="14.1" customHeight="1" x14ac:dyDescent="0.2">
      <c r="B520" s="30"/>
      <c r="C520" s="30"/>
      <c r="D520" s="30"/>
      <c r="E520" s="49"/>
      <c r="F520" s="31"/>
      <c r="G520" s="31"/>
      <c r="H520" s="31"/>
      <c r="I520" s="31"/>
      <c r="J520" s="31"/>
      <c r="K520" s="31"/>
      <c r="L520" s="31"/>
      <c r="M520" s="31"/>
      <c r="N520" s="32"/>
      <c r="O520" s="32"/>
      <c r="P520" s="33"/>
      <c r="Q520" s="34"/>
      <c r="R520" s="34"/>
      <c r="S520" s="34"/>
      <c r="T520" s="34"/>
    </row>
    <row r="521" spans="2:20" ht="14.1" customHeight="1" x14ac:dyDescent="0.2">
      <c r="B521" s="30"/>
      <c r="C521" s="30"/>
      <c r="D521" s="30"/>
      <c r="E521" s="49"/>
      <c r="F521" s="31"/>
      <c r="G521" s="31"/>
      <c r="H521" s="31"/>
      <c r="I521" s="31"/>
      <c r="J521" s="31"/>
      <c r="K521" s="31"/>
      <c r="L521" s="31"/>
      <c r="M521" s="31"/>
      <c r="N521" s="32"/>
      <c r="O521" s="32"/>
      <c r="P521" s="33"/>
      <c r="Q521" s="34"/>
      <c r="R521" s="34"/>
      <c r="S521" s="34"/>
      <c r="T521" s="34"/>
    </row>
    <row r="522" spans="2:20" ht="14.1" customHeight="1" x14ac:dyDescent="0.2">
      <c r="B522" s="30"/>
      <c r="C522" s="30"/>
      <c r="D522" s="30"/>
      <c r="E522" s="49"/>
      <c r="F522" s="31"/>
      <c r="G522" s="31"/>
      <c r="H522" s="31"/>
      <c r="I522" s="31"/>
      <c r="J522" s="31"/>
      <c r="K522" s="31"/>
      <c r="L522" s="31"/>
      <c r="M522" s="31"/>
      <c r="N522" s="32"/>
      <c r="O522" s="32"/>
      <c r="P522" s="33"/>
      <c r="Q522" s="34"/>
      <c r="R522" s="34"/>
      <c r="S522" s="34"/>
      <c r="T522" s="34"/>
    </row>
    <row r="523" spans="2:20" ht="14.1" customHeight="1" x14ac:dyDescent="0.2">
      <c r="B523" s="30"/>
      <c r="C523" s="30"/>
      <c r="D523" s="30"/>
      <c r="E523" s="49"/>
      <c r="F523" s="31"/>
      <c r="G523" s="31"/>
      <c r="H523" s="31"/>
      <c r="I523" s="31"/>
      <c r="J523" s="31"/>
      <c r="K523" s="31"/>
      <c r="L523" s="31"/>
      <c r="M523" s="31"/>
      <c r="N523" s="32"/>
      <c r="O523" s="32"/>
      <c r="P523" s="33"/>
      <c r="Q523" s="34"/>
      <c r="R523" s="34"/>
      <c r="S523" s="34"/>
      <c r="T523" s="34"/>
    </row>
    <row r="524" spans="2:20" ht="14.1" customHeight="1" x14ac:dyDescent="0.2">
      <c r="B524" s="30"/>
      <c r="C524" s="30"/>
      <c r="D524" s="30"/>
      <c r="E524" s="49"/>
      <c r="F524" s="31"/>
      <c r="G524" s="31"/>
      <c r="H524" s="31"/>
      <c r="I524" s="31"/>
      <c r="J524" s="31"/>
      <c r="K524" s="31"/>
      <c r="L524" s="31"/>
      <c r="M524" s="31"/>
      <c r="N524" s="32"/>
      <c r="O524" s="32"/>
      <c r="P524" s="33"/>
      <c r="Q524" s="34"/>
      <c r="R524" s="34"/>
      <c r="S524" s="34"/>
      <c r="T524" s="34"/>
    </row>
    <row r="525" spans="2:20" ht="14.1" customHeight="1" x14ac:dyDescent="0.2">
      <c r="B525" s="30"/>
      <c r="C525" s="30"/>
      <c r="D525" s="30"/>
      <c r="E525" s="49"/>
      <c r="F525" s="31"/>
      <c r="G525" s="31"/>
      <c r="H525" s="31"/>
      <c r="I525" s="31"/>
      <c r="J525" s="31"/>
      <c r="K525" s="31"/>
      <c r="L525" s="31"/>
      <c r="M525" s="31"/>
      <c r="N525" s="32"/>
      <c r="O525" s="32"/>
      <c r="P525" s="33"/>
      <c r="Q525" s="34"/>
      <c r="R525" s="34"/>
      <c r="S525" s="34"/>
      <c r="T525" s="34"/>
    </row>
    <row r="526" spans="2:20" ht="14.1" customHeight="1" x14ac:dyDescent="0.2">
      <c r="B526" s="30"/>
      <c r="C526" s="30"/>
      <c r="D526" s="30"/>
      <c r="E526" s="49"/>
      <c r="F526" s="31"/>
      <c r="G526" s="31"/>
      <c r="H526" s="31"/>
      <c r="I526" s="31"/>
      <c r="J526" s="31"/>
      <c r="K526" s="31"/>
      <c r="L526" s="31"/>
      <c r="M526" s="31"/>
      <c r="N526" s="32"/>
      <c r="O526" s="32"/>
      <c r="P526" s="33"/>
      <c r="Q526" s="34"/>
      <c r="R526" s="34"/>
      <c r="S526" s="34"/>
      <c r="T526" s="34"/>
    </row>
    <row r="527" spans="2:20" ht="14.1" customHeight="1" x14ac:dyDescent="0.2">
      <c r="B527" s="30"/>
      <c r="C527" s="30"/>
      <c r="D527" s="30"/>
      <c r="E527" s="49"/>
      <c r="F527" s="31"/>
      <c r="G527" s="31"/>
      <c r="H527" s="31"/>
      <c r="I527" s="31"/>
      <c r="J527" s="31"/>
      <c r="K527" s="31"/>
      <c r="L527" s="31"/>
      <c r="M527" s="31"/>
      <c r="N527" s="32"/>
      <c r="O527" s="32"/>
      <c r="P527" s="33"/>
      <c r="Q527" s="34"/>
      <c r="R527" s="34"/>
      <c r="S527" s="34"/>
      <c r="T527" s="34"/>
    </row>
    <row r="528" spans="2:20" ht="14.1" customHeight="1" x14ac:dyDescent="0.2">
      <c r="B528" s="30"/>
      <c r="C528" s="30"/>
      <c r="D528" s="30"/>
      <c r="E528" s="49"/>
      <c r="F528" s="31"/>
      <c r="G528" s="31"/>
      <c r="H528" s="31"/>
      <c r="I528" s="31"/>
      <c r="J528" s="31"/>
      <c r="K528" s="31"/>
      <c r="L528" s="31"/>
      <c r="M528" s="31"/>
      <c r="N528" s="32"/>
      <c r="O528" s="32"/>
      <c r="P528" s="33"/>
      <c r="Q528" s="34"/>
      <c r="R528" s="34"/>
      <c r="S528" s="34"/>
      <c r="T528" s="34"/>
    </row>
    <row r="529" spans="2:20" ht="14.1" customHeight="1" x14ac:dyDescent="0.2">
      <c r="B529" s="30"/>
      <c r="C529" s="30"/>
      <c r="D529" s="30"/>
      <c r="E529" s="49"/>
      <c r="F529" s="31"/>
      <c r="G529" s="31"/>
      <c r="H529" s="31"/>
      <c r="I529" s="31"/>
      <c r="J529" s="31"/>
      <c r="K529" s="31"/>
      <c r="L529" s="31"/>
      <c r="M529" s="31"/>
      <c r="N529" s="32"/>
      <c r="O529" s="32"/>
      <c r="P529" s="33"/>
      <c r="Q529" s="34"/>
      <c r="R529" s="34"/>
      <c r="S529" s="34"/>
      <c r="T529" s="34"/>
    </row>
    <row r="530" spans="2:20" ht="14.1" customHeight="1" x14ac:dyDescent="0.2">
      <c r="B530" s="30"/>
      <c r="C530" s="30"/>
      <c r="D530" s="30"/>
      <c r="E530" s="49"/>
      <c r="F530" s="31"/>
      <c r="G530" s="31"/>
      <c r="H530" s="31"/>
      <c r="I530" s="31"/>
      <c r="J530" s="31"/>
      <c r="K530" s="31"/>
      <c r="L530" s="31"/>
      <c r="M530" s="31"/>
      <c r="N530" s="32"/>
      <c r="O530" s="32"/>
      <c r="P530" s="33"/>
      <c r="Q530" s="34"/>
      <c r="R530" s="34"/>
      <c r="S530" s="34"/>
      <c r="T530" s="34"/>
    </row>
    <row r="531" spans="2:20" ht="14.1" customHeight="1" x14ac:dyDescent="0.2">
      <c r="B531" s="30"/>
      <c r="C531" s="30"/>
      <c r="D531" s="30"/>
      <c r="E531" s="49"/>
      <c r="F531" s="31"/>
      <c r="G531" s="31"/>
      <c r="H531" s="31"/>
      <c r="I531" s="31"/>
      <c r="J531" s="31"/>
      <c r="K531" s="31"/>
      <c r="L531" s="31"/>
      <c r="M531" s="31"/>
      <c r="N531" s="32"/>
      <c r="O531" s="32"/>
      <c r="P531" s="33"/>
      <c r="Q531" s="34"/>
      <c r="R531" s="34"/>
      <c r="S531" s="34"/>
      <c r="T531" s="34"/>
    </row>
    <row r="532" spans="2:20" ht="14.1" customHeight="1" x14ac:dyDescent="0.2">
      <c r="B532" s="30"/>
      <c r="C532" s="30"/>
      <c r="D532" s="30"/>
      <c r="E532" s="49"/>
      <c r="F532" s="31"/>
      <c r="G532" s="31"/>
      <c r="H532" s="31"/>
      <c r="I532" s="31"/>
      <c r="J532" s="31"/>
      <c r="K532" s="31"/>
      <c r="L532" s="31"/>
      <c r="M532" s="31"/>
      <c r="N532" s="32"/>
      <c r="O532" s="32"/>
      <c r="P532" s="33"/>
      <c r="Q532" s="34"/>
      <c r="R532" s="34"/>
      <c r="S532" s="34"/>
      <c r="T532" s="34"/>
    </row>
    <row r="533" spans="2:20" ht="14.1" customHeight="1" x14ac:dyDescent="0.2">
      <c r="B533" s="30"/>
      <c r="C533" s="30"/>
      <c r="D533" s="30"/>
      <c r="E533" s="49"/>
      <c r="F533" s="31"/>
      <c r="G533" s="31"/>
      <c r="H533" s="31"/>
      <c r="I533" s="31"/>
      <c r="J533" s="31"/>
      <c r="K533" s="31"/>
      <c r="L533" s="31"/>
      <c r="M533" s="31"/>
      <c r="N533" s="32"/>
      <c r="O533" s="32"/>
      <c r="P533" s="33"/>
      <c r="Q533" s="34"/>
      <c r="R533" s="34"/>
      <c r="S533" s="34"/>
      <c r="T533" s="34"/>
    </row>
    <row r="534" spans="2:20" ht="14.1" customHeight="1" x14ac:dyDescent="0.2">
      <c r="B534" s="30"/>
      <c r="C534" s="30"/>
      <c r="D534" s="30"/>
      <c r="E534" s="49"/>
      <c r="F534" s="31"/>
      <c r="G534" s="31"/>
      <c r="H534" s="31"/>
      <c r="I534" s="31"/>
      <c r="J534" s="31"/>
      <c r="K534" s="31"/>
      <c r="L534" s="31"/>
      <c r="M534" s="31"/>
      <c r="N534" s="32"/>
      <c r="O534" s="32"/>
      <c r="P534" s="33"/>
      <c r="Q534" s="34"/>
      <c r="R534" s="34"/>
      <c r="S534" s="34"/>
      <c r="T534" s="34"/>
    </row>
    <row r="535" spans="2:20" ht="14.1" customHeight="1" x14ac:dyDescent="0.2">
      <c r="B535" s="30"/>
      <c r="C535" s="30"/>
      <c r="D535" s="30"/>
      <c r="E535" s="49"/>
      <c r="F535" s="31"/>
      <c r="G535" s="31"/>
      <c r="H535" s="31"/>
      <c r="I535" s="31"/>
      <c r="J535" s="31"/>
      <c r="K535" s="31"/>
      <c r="L535" s="31"/>
      <c r="M535" s="31"/>
      <c r="N535" s="32"/>
      <c r="O535" s="32"/>
      <c r="P535" s="33"/>
      <c r="Q535" s="34"/>
      <c r="R535" s="34"/>
      <c r="S535" s="34"/>
      <c r="T535" s="34"/>
    </row>
    <row r="536" spans="2:20" ht="14.1" customHeight="1" x14ac:dyDescent="0.2">
      <c r="B536" s="30"/>
      <c r="C536" s="30"/>
      <c r="D536" s="30"/>
      <c r="E536" s="49"/>
      <c r="F536" s="31"/>
      <c r="G536" s="31"/>
      <c r="H536" s="31"/>
      <c r="I536" s="31"/>
      <c r="J536" s="31"/>
      <c r="K536" s="31"/>
      <c r="L536" s="31"/>
      <c r="M536" s="31"/>
      <c r="N536" s="32"/>
      <c r="O536" s="32"/>
      <c r="P536" s="33"/>
      <c r="Q536" s="34"/>
      <c r="R536" s="34"/>
      <c r="S536" s="34"/>
      <c r="T536" s="34"/>
    </row>
    <row r="537" spans="2:20" ht="14.1" customHeight="1" x14ac:dyDescent="0.2">
      <c r="B537" s="30"/>
      <c r="C537" s="30"/>
      <c r="D537" s="30"/>
      <c r="E537" s="49"/>
      <c r="F537" s="31"/>
      <c r="G537" s="31"/>
      <c r="H537" s="31"/>
      <c r="I537" s="31"/>
      <c r="J537" s="31"/>
      <c r="K537" s="31"/>
      <c r="L537" s="31"/>
      <c r="M537" s="31"/>
      <c r="N537" s="32"/>
      <c r="O537" s="32"/>
      <c r="P537" s="33"/>
      <c r="Q537" s="34"/>
      <c r="R537" s="34"/>
      <c r="S537" s="34"/>
      <c r="T537" s="34"/>
    </row>
    <row r="538" spans="2:20" ht="14.1" customHeight="1" x14ac:dyDescent="0.2">
      <c r="B538" s="30"/>
      <c r="C538" s="30"/>
      <c r="D538" s="30"/>
      <c r="E538" s="49"/>
      <c r="F538" s="31"/>
      <c r="G538" s="31"/>
      <c r="H538" s="31"/>
      <c r="I538" s="31"/>
      <c r="J538" s="31"/>
      <c r="K538" s="31"/>
      <c r="L538" s="31"/>
      <c r="M538" s="31"/>
      <c r="N538" s="32"/>
      <c r="O538" s="32"/>
      <c r="P538" s="33"/>
      <c r="Q538" s="34"/>
      <c r="R538" s="34"/>
      <c r="S538" s="34"/>
      <c r="T538" s="34"/>
    </row>
    <row r="539" spans="2:20" ht="14.1" customHeight="1" x14ac:dyDescent="0.2">
      <c r="B539" s="30"/>
      <c r="C539" s="30"/>
      <c r="D539" s="30"/>
      <c r="E539" s="49"/>
      <c r="F539" s="31"/>
      <c r="G539" s="31"/>
      <c r="H539" s="31"/>
      <c r="I539" s="31"/>
      <c r="J539" s="31"/>
      <c r="K539" s="31"/>
      <c r="L539" s="31"/>
      <c r="M539" s="31"/>
      <c r="N539" s="32"/>
      <c r="O539" s="32"/>
      <c r="P539" s="33"/>
      <c r="Q539" s="34"/>
      <c r="R539" s="34"/>
      <c r="S539" s="34"/>
      <c r="T539" s="34"/>
    </row>
    <row r="540" spans="2:20" ht="14.1" customHeight="1" x14ac:dyDescent="0.2">
      <c r="B540" s="30"/>
      <c r="C540" s="30"/>
      <c r="D540" s="30"/>
      <c r="E540" s="49"/>
      <c r="F540" s="31"/>
      <c r="G540" s="31"/>
      <c r="H540" s="31"/>
      <c r="I540" s="31"/>
      <c r="J540" s="31"/>
      <c r="K540" s="31"/>
      <c r="L540" s="31"/>
      <c r="M540" s="31"/>
      <c r="N540" s="32"/>
      <c r="O540" s="32"/>
      <c r="P540" s="33"/>
      <c r="Q540" s="34"/>
      <c r="R540" s="34"/>
      <c r="S540" s="34"/>
      <c r="T540" s="34"/>
    </row>
    <row r="541" spans="2:20" ht="14.1" customHeight="1" x14ac:dyDescent="0.2">
      <c r="B541" s="30"/>
      <c r="C541" s="30"/>
      <c r="D541" s="30"/>
      <c r="E541" s="49"/>
      <c r="F541" s="31"/>
      <c r="G541" s="31"/>
      <c r="H541" s="31"/>
      <c r="I541" s="31"/>
      <c r="J541" s="31"/>
      <c r="K541" s="31"/>
      <c r="L541" s="31"/>
      <c r="M541" s="31"/>
      <c r="N541" s="32"/>
      <c r="O541" s="32"/>
      <c r="P541" s="33"/>
      <c r="Q541" s="34"/>
      <c r="R541" s="34"/>
      <c r="S541" s="34"/>
      <c r="T541" s="34"/>
    </row>
    <row r="542" spans="2:20" ht="14.1" customHeight="1" x14ac:dyDescent="0.2">
      <c r="B542" s="30"/>
      <c r="C542" s="30"/>
      <c r="D542" s="30"/>
      <c r="E542" s="49"/>
      <c r="F542" s="31"/>
      <c r="G542" s="31"/>
      <c r="H542" s="31"/>
      <c r="I542" s="31"/>
      <c r="J542" s="31"/>
      <c r="K542" s="31"/>
      <c r="L542" s="31"/>
      <c r="M542" s="31"/>
      <c r="N542" s="32"/>
      <c r="O542" s="32"/>
      <c r="P542" s="33"/>
      <c r="Q542" s="34"/>
      <c r="R542" s="34"/>
      <c r="S542" s="34"/>
      <c r="T542" s="34"/>
    </row>
    <row r="543" spans="2:20" ht="14.1" customHeight="1" x14ac:dyDescent="0.2">
      <c r="B543" s="30"/>
      <c r="C543" s="30"/>
      <c r="D543" s="30"/>
      <c r="E543" s="49"/>
      <c r="F543" s="31"/>
      <c r="G543" s="31"/>
      <c r="H543" s="31"/>
      <c r="I543" s="31"/>
      <c r="J543" s="31"/>
      <c r="K543" s="31"/>
      <c r="L543" s="31"/>
      <c r="M543" s="31"/>
      <c r="N543" s="32"/>
      <c r="O543" s="32"/>
      <c r="P543" s="33"/>
      <c r="Q543" s="34"/>
      <c r="R543" s="34"/>
      <c r="S543" s="34"/>
      <c r="T543" s="34"/>
    </row>
    <row r="544" spans="2:20" ht="14.1" customHeight="1" x14ac:dyDescent="0.2">
      <c r="B544" s="30"/>
      <c r="C544" s="30"/>
      <c r="D544" s="30"/>
      <c r="E544" s="49"/>
      <c r="F544" s="31"/>
      <c r="G544" s="31"/>
      <c r="H544" s="31"/>
      <c r="I544" s="31"/>
      <c r="J544" s="31"/>
      <c r="K544" s="31"/>
      <c r="L544" s="31"/>
      <c r="M544" s="31"/>
      <c r="N544" s="32"/>
      <c r="O544" s="32"/>
      <c r="P544" s="33"/>
      <c r="Q544" s="34"/>
      <c r="R544" s="34"/>
      <c r="S544" s="34"/>
      <c r="T544" s="34"/>
    </row>
    <row r="545" spans="2:20" ht="14.1" customHeight="1" x14ac:dyDescent="0.2">
      <c r="B545" s="30"/>
      <c r="C545" s="30"/>
      <c r="D545" s="30"/>
      <c r="E545" s="49"/>
      <c r="F545" s="31"/>
      <c r="G545" s="31"/>
      <c r="H545" s="31"/>
      <c r="I545" s="31"/>
      <c r="J545" s="31"/>
      <c r="K545" s="31"/>
      <c r="L545" s="31"/>
      <c r="M545" s="31"/>
      <c r="N545" s="32"/>
      <c r="O545" s="32"/>
      <c r="P545" s="33"/>
      <c r="Q545" s="34"/>
      <c r="R545" s="34"/>
      <c r="S545" s="34"/>
      <c r="T545" s="34"/>
    </row>
    <row r="546" spans="2:20" ht="14.1" customHeight="1" x14ac:dyDescent="0.2">
      <c r="B546" s="30"/>
      <c r="C546" s="30"/>
      <c r="D546" s="30"/>
      <c r="E546" s="49"/>
      <c r="F546" s="31"/>
      <c r="G546" s="31"/>
      <c r="H546" s="31"/>
      <c r="I546" s="31"/>
      <c r="J546" s="31"/>
      <c r="K546" s="31"/>
      <c r="L546" s="31"/>
      <c r="M546" s="31"/>
      <c r="N546" s="32"/>
      <c r="O546" s="32"/>
      <c r="P546" s="33"/>
      <c r="Q546" s="34"/>
      <c r="R546" s="34"/>
      <c r="S546" s="34"/>
      <c r="T546" s="34"/>
    </row>
    <row r="547" spans="2:20" ht="14.1" customHeight="1" x14ac:dyDescent="0.2">
      <c r="B547" s="30"/>
      <c r="C547" s="30"/>
      <c r="D547" s="30"/>
      <c r="E547" s="49"/>
      <c r="F547" s="31"/>
      <c r="G547" s="31"/>
      <c r="H547" s="31"/>
      <c r="I547" s="31"/>
      <c r="J547" s="31"/>
      <c r="K547" s="31"/>
      <c r="L547" s="31"/>
      <c r="M547" s="31"/>
      <c r="N547" s="32"/>
      <c r="O547" s="32"/>
      <c r="P547" s="33"/>
      <c r="Q547" s="34"/>
      <c r="R547" s="34"/>
      <c r="S547" s="34"/>
      <c r="T547" s="34"/>
    </row>
    <row r="548" spans="2:20" ht="14.1" customHeight="1" x14ac:dyDescent="0.2">
      <c r="B548" s="30"/>
      <c r="C548" s="30"/>
      <c r="D548" s="30"/>
      <c r="E548" s="49"/>
      <c r="F548" s="31"/>
      <c r="G548" s="31"/>
      <c r="H548" s="31"/>
      <c r="I548" s="31"/>
      <c r="J548" s="31"/>
      <c r="K548" s="31"/>
      <c r="L548" s="31"/>
      <c r="M548" s="31"/>
      <c r="N548" s="32"/>
      <c r="O548" s="32"/>
      <c r="P548" s="33"/>
      <c r="Q548" s="34"/>
      <c r="R548" s="34"/>
      <c r="S548" s="34"/>
      <c r="T548" s="34"/>
    </row>
    <row r="549" spans="2:20" ht="14.1" customHeight="1" x14ac:dyDescent="0.2">
      <c r="B549" s="30"/>
      <c r="C549" s="30"/>
      <c r="D549" s="30"/>
      <c r="E549" s="49"/>
      <c r="F549" s="31"/>
      <c r="G549" s="31"/>
      <c r="H549" s="31"/>
      <c r="I549" s="31"/>
      <c r="J549" s="31"/>
      <c r="K549" s="31"/>
      <c r="L549" s="31"/>
      <c r="M549" s="31"/>
      <c r="N549" s="32"/>
      <c r="O549" s="32"/>
      <c r="P549" s="33"/>
      <c r="Q549" s="34"/>
      <c r="R549" s="34"/>
      <c r="S549" s="34"/>
      <c r="T549" s="34"/>
    </row>
    <row r="550" spans="2:20" ht="14.1" customHeight="1" x14ac:dyDescent="0.2">
      <c r="B550" s="30"/>
      <c r="C550" s="30"/>
      <c r="D550" s="30"/>
      <c r="E550" s="49"/>
      <c r="F550" s="31"/>
      <c r="G550" s="31"/>
      <c r="H550" s="31"/>
      <c r="I550" s="31"/>
      <c r="J550" s="31"/>
      <c r="K550" s="31"/>
      <c r="L550" s="31"/>
      <c r="M550" s="31"/>
      <c r="N550" s="32"/>
      <c r="O550" s="32"/>
      <c r="P550" s="33"/>
      <c r="Q550" s="34"/>
      <c r="R550" s="34"/>
      <c r="S550" s="34"/>
      <c r="T550" s="34"/>
    </row>
    <row r="551" spans="2:20" ht="14.1" customHeight="1" x14ac:dyDescent="0.2">
      <c r="B551" s="30"/>
      <c r="C551" s="30"/>
      <c r="D551" s="30"/>
      <c r="E551" s="49"/>
      <c r="F551" s="31"/>
      <c r="G551" s="31"/>
      <c r="H551" s="31"/>
      <c r="I551" s="31"/>
      <c r="J551" s="31"/>
      <c r="K551" s="31"/>
      <c r="L551" s="31"/>
      <c r="M551" s="31"/>
      <c r="N551" s="32"/>
      <c r="O551" s="32"/>
      <c r="P551" s="33"/>
      <c r="Q551" s="34"/>
      <c r="R551" s="34"/>
      <c r="S551" s="34"/>
      <c r="T551" s="34"/>
    </row>
    <row r="552" spans="2:20" ht="14.1" customHeight="1" x14ac:dyDescent="0.2">
      <c r="B552" s="30"/>
      <c r="C552" s="30"/>
      <c r="D552" s="30"/>
      <c r="E552" s="49"/>
      <c r="F552" s="31"/>
      <c r="G552" s="31"/>
      <c r="H552" s="31"/>
      <c r="I552" s="31"/>
      <c r="J552" s="31"/>
      <c r="K552" s="31"/>
      <c r="L552" s="31"/>
      <c r="M552" s="31"/>
      <c r="N552" s="32"/>
      <c r="O552" s="32"/>
      <c r="P552" s="33"/>
      <c r="Q552" s="34"/>
      <c r="R552" s="34"/>
      <c r="S552" s="34"/>
      <c r="T552" s="34"/>
    </row>
    <row r="553" spans="2:20" ht="14.1" customHeight="1" x14ac:dyDescent="0.2">
      <c r="B553" s="30"/>
      <c r="C553" s="30"/>
      <c r="D553" s="30"/>
      <c r="E553" s="49"/>
      <c r="F553" s="31"/>
      <c r="G553" s="31"/>
      <c r="H553" s="31"/>
      <c r="I553" s="31"/>
      <c r="J553" s="31"/>
      <c r="K553" s="31"/>
      <c r="L553" s="31"/>
      <c r="M553" s="31"/>
      <c r="N553" s="32"/>
      <c r="O553" s="32"/>
      <c r="P553" s="33"/>
      <c r="Q553" s="34"/>
      <c r="R553" s="34"/>
      <c r="S553" s="34"/>
      <c r="T553" s="34"/>
    </row>
    <row r="554" spans="2:20" ht="14.1" customHeight="1" x14ac:dyDescent="0.2">
      <c r="B554" s="30"/>
      <c r="C554" s="30"/>
      <c r="D554" s="30"/>
      <c r="E554" s="49"/>
      <c r="F554" s="31"/>
      <c r="G554" s="31"/>
      <c r="H554" s="31"/>
      <c r="I554" s="31"/>
      <c r="J554" s="31"/>
      <c r="K554" s="31"/>
      <c r="L554" s="31"/>
      <c r="M554" s="31"/>
      <c r="N554" s="32"/>
      <c r="O554" s="32"/>
      <c r="P554" s="33"/>
      <c r="Q554" s="34"/>
      <c r="R554" s="34"/>
      <c r="S554" s="34"/>
      <c r="T554" s="34"/>
    </row>
    <row r="555" spans="2:20" ht="14.1" customHeight="1" x14ac:dyDescent="0.2">
      <c r="B555" s="30"/>
      <c r="C555" s="30"/>
      <c r="D555" s="30"/>
      <c r="E555" s="49"/>
      <c r="F555" s="31"/>
      <c r="G555" s="31"/>
      <c r="H555" s="31"/>
      <c r="I555" s="31"/>
      <c r="J555" s="31"/>
      <c r="K555" s="31"/>
      <c r="L555" s="31"/>
      <c r="M555" s="31"/>
      <c r="N555" s="32"/>
      <c r="O555" s="32"/>
      <c r="P555" s="33"/>
      <c r="Q555" s="34"/>
      <c r="R555" s="34"/>
      <c r="S555" s="34"/>
      <c r="T555" s="34"/>
    </row>
    <row r="556" spans="2:20" ht="14.1" customHeight="1" x14ac:dyDescent="0.2">
      <c r="B556" s="30"/>
      <c r="C556" s="30"/>
      <c r="D556" s="30"/>
      <c r="E556" s="49"/>
      <c r="F556" s="31"/>
      <c r="G556" s="31"/>
      <c r="H556" s="31"/>
      <c r="I556" s="31"/>
      <c r="J556" s="31"/>
      <c r="K556" s="31"/>
      <c r="L556" s="31"/>
      <c r="M556" s="31"/>
      <c r="N556" s="32"/>
      <c r="O556" s="32"/>
      <c r="P556" s="33"/>
      <c r="Q556" s="34"/>
      <c r="R556" s="34"/>
      <c r="S556" s="34"/>
      <c r="T556" s="34"/>
    </row>
    <row r="557" spans="2:20" ht="14.1" customHeight="1" x14ac:dyDescent="0.2">
      <c r="B557" s="30"/>
      <c r="C557" s="30"/>
      <c r="D557" s="30"/>
      <c r="E557" s="49"/>
      <c r="F557" s="31"/>
      <c r="G557" s="31"/>
      <c r="H557" s="31"/>
      <c r="I557" s="31"/>
      <c r="J557" s="31"/>
      <c r="K557" s="31"/>
      <c r="L557" s="31"/>
      <c r="M557" s="31"/>
      <c r="N557" s="32"/>
      <c r="O557" s="32"/>
      <c r="P557" s="33"/>
      <c r="Q557" s="34"/>
      <c r="R557" s="34"/>
      <c r="S557" s="34"/>
      <c r="T557" s="34"/>
    </row>
    <row r="558" spans="2:20" ht="14.1" customHeight="1" x14ac:dyDescent="0.2">
      <c r="B558" s="30"/>
      <c r="C558" s="30"/>
      <c r="D558" s="30"/>
      <c r="E558" s="49"/>
      <c r="F558" s="31"/>
      <c r="G558" s="31"/>
      <c r="H558" s="31"/>
      <c r="I558" s="31"/>
      <c r="J558" s="31"/>
      <c r="K558" s="31"/>
      <c r="L558" s="31"/>
      <c r="M558" s="31"/>
      <c r="N558" s="32"/>
      <c r="O558" s="32"/>
      <c r="P558" s="33"/>
      <c r="Q558" s="34"/>
      <c r="R558" s="34"/>
      <c r="S558" s="34"/>
      <c r="T558" s="34"/>
    </row>
    <row r="559" spans="2:20" ht="14.1" customHeight="1" x14ac:dyDescent="0.2">
      <c r="B559" s="30"/>
      <c r="C559" s="30"/>
      <c r="D559" s="30"/>
      <c r="E559" s="49"/>
      <c r="F559" s="31"/>
      <c r="G559" s="31"/>
      <c r="H559" s="31"/>
      <c r="I559" s="31"/>
      <c r="J559" s="31"/>
      <c r="K559" s="31"/>
      <c r="L559" s="31"/>
      <c r="M559" s="31"/>
      <c r="N559" s="32"/>
      <c r="O559" s="32"/>
      <c r="P559" s="33"/>
      <c r="Q559" s="34"/>
      <c r="R559" s="34"/>
      <c r="S559" s="34"/>
      <c r="T559" s="34"/>
    </row>
    <row r="560" spans="2:20" ht="14.1" customHeight="1" x14ac:dyDescent="0.2">
      <c r="B560" s="30"/>
      <c r="C560" s="30"/>
      <c r="D560" s="30"/>
      <c r="E560" s="49"/>
      <c r="F560" s="31"/>
      <c r="G560" s="31"/>
      <c r="H560" s="31"/>
      <c r="I560" s="31"/>
      <c r="J560" s="31"/>
      <c r="K560" s="31"/>
      <c r="L560" s="31"/>
      <c r="M560" s="31"/>
      <c r="N560" s="32"/>
      <c r="O560" s="32"/>
      <c r="P560" s="33"/>
      <c r="Q560" s="34"/>
      <c r="R560" s="34"/>
      <c r="S560" s="34"/>
      <c r="T560" s="34"/>
    </row>
    <row r="561" spans="2:20" ht="14.1" customHeight="1" x14ac:dyDescent="0.2">
      <c r="B561" s="30"/>
      <c r="C561" s="30"/>
      <c r="D561" s="30"/>
      <c r="E561" s="49"/>
      <c r="F561" s="31"/>
      <c r="G561" s="31"/>
      <c r="H561" s="31"/>
      <c r="I561" s="31"/>
      <c r="J561" s="31"/>
      <c r="K561" s="31"/>
      <c r="L561" s="31"/>
      <c r="M561" s="31"/>
      <c r="N561" s="32"/>
      <c r="O561" s="32"/>
      <c r="P561" s="33"/>
      <c r="Q561" s="34"/>
      <c r="R561" s="34"/>
      <c r="S561" s="34"/>
      <c r="T561" s="34"/>
    </row>
    <row r="562" spans="2:20" ht="14.1" customHeight="1" x14ac:dyDescent="0.2">
      <c r="B562" s="30"/>
      <c r="C562" s="30"/>
      <c r="D562" s="30"/>
      <c r="E562" s="49"/>
      <c r="F562" s="31"/>
      <c r="G562" s="31"/>
      <c r="H562" s="31"/>
      <c r="I562" s="31"/>
      <c r="J562" s="31"/>
      <c r="K562" s="31"/>
      <c r="L562" s="31"/>
      <c r="M562" s="31"/>
      <c r="N562" s="32"/>
      <c r="O562" s="32"/>
      <c r="P562" s="33"/>
      <c r="Q562" s="34"/>
      <c r="R562" s="34"/>
      <c r="S562" s="34"/>
      <c r="T562" s="34"/>
    </row>
    <row r="563" spans="2:20" ht="14.1" customHeight="1" x14ac:dyDescent="0.2">
      <c r="B563" s="30"/>
      <c r="C563" s="30"/>
      <c r="D563" s="30"/>
      <c r="E563" s="49"/>
      <c r="F563" s="31"/>
      <c r="G563" s="31"/>
      <c r="H563" s="31"/>
      <c r="I563" s="31"/>
      <c r="J563" s="31"/>
      <c r="K563" s="31"/>
      <c r="L563" s="31"/>
      <c r="M563" s="31"/>
      <c r="N563" s="32"/>
      <c r="O563" s="32"/>
      <c r="P563" s="33"/>
      <c r="Q563" s="34"/>
      <c r="R563" s="34"/>
      <c r="S563" s="34"/>
      <c r="T563" s="34"/>
    </row>
    <row r="564" spans="2:20" ht="14.1" customHeight="1" x14ac:dyDescent="0.2">
      <c r="B564" s="30"/>
      <c r="C564" s="30"/>
      <c r="D564" s="30"/>
      <c r="E564" s="49"/>
      <c r="F564" s="31"/>
      <c r="G564" s="31"/>
      <c r="H564" s="31"/>
      <c r="I564" s="31"/>
      <c r="J564" s="31"/>
      <c r="K564" s="31"/>
      <c r="L564" s="31"/>
      <c r="M564" s="31"/>
      <c r="N564" s="32"/>
      <c r="O564" s="32"/>
      <c r="P564" s="33"/>
      <c r="Q564" s="34"/>
      <c r="R564" s="34"/>
      <c r="S564" s="34"/>
      <c r="T564" s="34"/>
    </row>
    <row r="565" spans="2:20" ht="14.1" customHeight="1" x14ac:dyDescent="0.2">
      <c r="B565" s="30"/>
      <c r="C565" s="30"/>
      <c r="D565" s="30"/>
      <c r="E565" s="49"/>
      <c r="F565" s="31"/>
      <c r="G565" s="31"/>
      <c r="H565" s="31"/>
      <c r="I565" s="31"/>
      <c r="J565" s="31"/>
      <c r="K565" s="31"/>
      <c r="L565" s="31"/>
      <c r="M565" s="31"/>
      <c r="N565" s="32"/>
      <c r="O565" s="32"/>
      <c r="P565" s="33"/>
      <c r="Q565" s="34"/>
      <c r="R565" s="34"/>
      <c r="S565" s="34"/>
      <c r="T565" s="34"/>
    </row>
    <row r="566" spans="2:20" ht="14.1" customHeight="1" x14ac:dyDescent="0.2">
      <c r="B566" s="30"/>
      <c r="C566" s="30"/>
      <c r="D566" s="30"/>
      <c r="E566" s="49"/>
      <c r="F566" s="31"/>
      <c r="G566" s="31"/>
      <c r="H566" s="31"/>
      <c r="I566" s="31"/>
      <c r="J566" s="31"/>
      <c r="K566" s="31"/>
      <c r="L566" s="31"/>
      <c r="M566" s="31"/>
      <c r="N566" s="32"/>
      <c r="O566" s="32"/>
      <c r="P566" s="33"/>
      <c r="Q566" s="34"/>
      <c r="R566" s="34"/>
      <c r="S566" s="34"/>
      <c r="T566" s="34"/>
    </row>
    <row r="567" spans="2:20" ht="14.1" customHeight="1" x14ac:dyDescent="0.2">
      <c r="B567" s="30"/>
      <c r="C567" s="30"/>
      <c r="D567" s="30"/>
      <c r="E567" s="49"/>
      <c r="F567" s="31"/>
      <c r="G567" s="31"/>
      <c r="H567" s="31"/>
      <c r="I567" s="31"/>
      <c r="J567" s="31"/>
      <c r="K567" s="31"/>
      <c r="L567" s="31"/>
      <c r="M567" s="31"/>
      <c r="N567" s="32"/>
      <c r="O567" s="32"/>
      <c r="P567" s="33"/>
      <c r="Q567" s="34"/>
      <c r="R567" s="34"/>
      <c r="S567" s="34"/>
      <c r="T567" s="34"/>
    </row>
    <row r="568" spans="2:20" ht="14.1" customHeight="1" x14ac:dyDescent="0.2">
      <c r="B568" s="30"/>
      <c r="C568" s="30"/>
      <c r="D568" s="30"/>
      <c r="E568" s="49"/>
      <c r="F568" s="31"/>
      <c r="G568" s="31"/>
      <c r="H568" s="31"/>
      <c r="I568" s="31"/>
      <c r="J568" s="31"/>
      <c r="K568" s="31"/>
      <c r="L568" s="31"/>
      <c r="M568" s="31"/>
      <c r="N568" s="32"/>
      <c r="O568" s="32"/>
      <c r="P568" s="33"/>
      <c r="Q568" s="34"/>
      <c r="R568" s="34"/>
      <c r="S568" s="34"/>
      <c r="T568" s="34"/>
    </row>
    <row r="569" spans="2:20" ht="14.1" customHeight="1" x14ac:dyDescent="0.2">
      <c r="B569" s="30"/>
      <c r="C569" s="30"/>
      <c r="D569" s="30"/>
      <c r="E569" s="49"/>
      <c r="F569" s="31"/>
      <c r="G569" s="31"/>
      <c r="H569" s="31"/>
      <c r="I569" s="31"/>
      <c r="J569" s="31"/>
      <c r="K569" s="31"/>
      <c r="L569" s="31"/>
      <c r="M569" s="31"/>
      <c r="N569" s="32"/>
      <c r="O569" s="32"/>
      <c r="P569" s="33"/>
      <c r="Q569" s="34"/>
      <c r="R569" s="34"/>
      <c r="S569" s="34"/>
      <c r="T569" s="34"/>
    </row>
    <row r="570" spans="2:20" ht="14.1" customHeight="1" x14ac:dyDescent="0.2">
      <c r="B570" s="30"/>
      <c r="C570" s="30"/>
      <c r="D570" s="30"/>
      <c r="E570" s="49"/>
      <c r="F570" s="31"/>
      <c r="G570" s="31"/>
      <c r="H570" s="31"/>
      <c r="I570" s="31"/>
      <c r="J570" s="31"/>
      <c r="K570" s="31"/>
      <c r="L570" s="31"/>
      <c r="M570" s="31"/>
      <c r="N570" s="32"/>
      <c r="O570" s="32"/>
      <c r="P570" s="33"/>
      <c r="Q570" s="34"/>
      <c r="R570" s="34"/>
      <c r="S570" s="34"/>
      <c r="T570" s="34"/>
    </row>
    <row r="571" spans="2:20" ht="14.1" customHeight="1" x14ac:dyDescent="0.2">
      <c r="B571" s="30"/>
      <c r="C571" s="30"/>
      <c r="D571" s="30"/>
      <c r="E571" s="49"/>
      <c r="F571" s="31"/>
      <c r="G571" s="31"/>
      <c r="H571" s="31"/>
      <c r="I571" s="31"/>
      <c r="J571" s="31"/>
      <c r="K571" s="31"/>
      <c r="L571" s="31"/>
      <c r="M571" s="31"/>
      <c r="N571" s="32"/>
      <c r="O571" s="32"/>
      <c r="P571" s="33"/>
      <c r="Q571" s="34"/>
      <c r="R571" s="34"/>
      <c r="S571" s="34"/>
      <c r="T571" s="34"/>
    </row>
    <row r="572" spans="2:20" ht="14.1" customHeight="1" x14ac:dyDescent="0.2">
      <c r="B572" s="30"/>
      <c r="C572" s="30"/>
      <c r="D572" s="30"/>
      <c r="E572" s="49"/>
      <c r="F572" s="31"/>
      <c r="G572" s="31"/>
      <c r="H572" s="31"/>
      <c r="I572" s="31"/>
      <c r="J572" s="31"/>
      <c r="K572" s="31"/>
      <c r="L572" s="31"/>
      <c r="M572" s="31"/>
      <c r="N572" s="32"/>
      <c r="O572" s="32"/>
      <c r="P572" s="33"/>
      <c r="Q572" s="34"/>
      <c r="R572" s="34"/>
      <c r="S572" s="34"/>
      <c r="T572" s="34"/>
    </row>
    <row r="573" spans="2:20" ht="14.1" customHeight="1" x14ac:dyDescent="0.2">
      <c r="B573" s="30"/>
      <c r="C573" s="30"/>
      <c r="D573" s="30"/>
      <c r="E573" s="49"/>
      <c r="F573" s="31"/>
      <c r="G573" s="31"/>
      <c r="H573" s="31"/>
      <c r="I573" s="31"/>
      <c r="J573" s="31"/>
      <c r="K573" s="31"/>
      <c r="L573" s="31"/>
      <c r="M573" s="31"/>
      <c r="N573" s="32"/>
      <c r="O573" s="32"/>
      <c r="P573" s="33"/>
      <c r="Q573" s="34"/>
      <c r="R573" s="34"/>
      <c r="S573" s="34"/>
      <c r="T573" s="34"/>
    </row>
    <row r="574" spans="2:20" ht="14.1" customHeight="1" x14ac:dyDescent="0.2">
      <c r="B574" s="30"/>
      <c r="C574" s="30"/>
      <c r="D574" s="30"/>
      <c r="E574" s="49"/>
      <c r="F574" s="31"/>
      <c r="G574" s="31"/>
      <c r="H574" s="31"/>
      <c r="I574" s="31"/>
      <c r="J574" s="31"/>
      <c r="K574" s="31"/>
      <c r="L574" s="31"/>
      <c r="M574" s="31"/>
      <c r="N574" s="32"/>
      <c r="O574" s="32"/>
      <c r="P574" s="33"/>
      <c r="Q574" s="34"/>
      <c r="R574" s="34"/>
      <c r="S574" s="34"/>
      <c r="T574" s="34"/>
    </row>
    <row r="575" spans="2:20" ht="14.1" customHeight="1" x14ac:dyDescent="0.2">
      <c r="B575" s="30"/>
      <c r="C575" s="30"/>
      <c r="D575" s="30"/>
      <c r="E575" s="49"/>
      <c r="F575" s="31"/>
      <c r="G575" s="31"/>
      <c r="H575" s="31"/>
      <c r="I575" s="31"/>
      <c r="J575" s="31"/>
      <c r="K575" s="31"/>
      <c r="L575" s="31"/>
      <c r="M575" s="31"/>
      <c r="N575" s="32"/>
      <c r="O575" s="32"/>
      <c r="P575" s="33"/>
      <c r="Q575" s="34"/>
      <c r="R575" s="34"/>
      <c r="S575" s="34"/>
      <c r="T575" s="34"/>
    </row>
    <row r="576" spans="2:20" ht="14.1" customHeight="1" x14ac:dyDescent="0.2">
      <c r="B576" s="30"/>
      <c r="C576" s="30"/>
      <c r="D576" s="30"/>
      <c r="E576" s="49"/>
      <c r="F576" s="31"/>
      <c r="G576" s="31"/>
      <c r="H576" s="31"/>
      <c r="I576" s="31"/>
      <c r="J576" s="31"/>
      <c r="K576" s="31"/>
      <c r="L576" s="31"/>
      <c r="M576" s="31"/>
      <c r="N576" s="32"/>
      <c r="O576" s="32"/>
      <c r="P576" s="33"/>
      <c r="Q576" s="34"/>
      <c r="R576" s="34"/>
      <c r="S576" s="34"/>
      <c r="T576" s="34"/>
    </row>
    <row r="577" spans="1:89" ht="14.1" customHeight="1" x14ac:dyDescent="0.2">
      <c r="B577" s="30"/>
      <c r="C577" s="30"/>
      <c r="D577" s="30"/>
      <c r="E577" s="49"/>
      <c r="F577" s="31"/>
      <c r="G577" s="31"/>
      <c r="H577" s="31"/>
      <c r="I577" s="31"/>
      <c r="J577" s="31"/>
      <c r="K577" s="31"/>
      <c r="L577" s="31"/>
      <c r="M577" s="31"/>
      <c r="N577" s="32"/>
      <c r="O577" s="32"/>
      <c r="P577" s="33"/>
      <c r="Q577" s="34"/>
      <c r="R577" s="34"/>
      <c r="S577" s="34"/>
      <c r="T577" s="34"/>
    </row>
    <row r="578" spans="1:89" ht="14.1" customHeight="1" x14ac:dyDescent="0.2">
      <c r="B578" s="30"/>
      <c r="C578" s="30"/>
      <c r="D578" s="30"/>
      <c r="E578" s="49"/>
      <c r="F578" s="31"/>
      <c r="G578" s="31"/>
      <c r="H578" s="31"/>
      <c r="I578" s="31"/>
      <c r="J578" s="31"/>
      <c r="K578" s="31"/>
      <c r="L578" s="31"/>
      <c r="M578" s="31"/>
      <c r="N578" s="32"/>
      <c r="O578" s="32"/>
      <c r="P578" s="33"/>
      <c r="Q578" s="34"/>
      <c r="R578" s="34"/>
      <c r="S578" s="34"/>
      <c r="T578" s="34"/>
    </row>
    <row r="579" spans="1:89" ht="14.1" customHeight="1" x14ac:dyDescent="0.2">
      <c r="B579" s="30"/>
      <c r="C579" s="30"/>
      <c r="D579" s="30"/>
      <c r="E579" s="49"/>
      <c r="F579" s="31"/>
      <c r="G579" s="31"/>
      <c r="H579" s="31"/>
      <c r="I579" s="31"/>
      <c r="J579" s="31"/>
      <c r="K579" s="31"/>
      <c r="L579" s="31"/>
      <c r="M579" s="31"/>
      <c r="N579" s="32"/>
      <c r="O579" s="32"/>
      <c r="P579" s="33"/>
      <c r="Q579" s="34"/>
      <c r="R579" s="34"/>
      <c r="S579" s="34"/>
      <c r="T579" s="34"/>
    </row>
    <row r="580" spans="1:89" ht="14.1" customHeight="1" x14ac:dyDescent="0.2">
      <c r="B580" s="30"/>
      <c r="C580" s="30"/>
      <c r="D580" s="30"/>
      <c r="E580" s="49"/>
      <c r="F580" s="31"/>
      <c r="G580" s="31"/>
      <c r="H580" s="31"/>
      <c r="I580" s="31"/>
      <c r="J580" s="31"/>
      <c r="K580" s="31"/>
      <c r="L580" s="31"/>
      <c r="M580" s="31"/>
      <c r="N580" s="32"/>
      <c r="O580" s="32"/>
      <c r="P580" s="33"/>
      <c r="Q580" s="34"/>
      <c r="R580" s="34"/>
      <c r="S580" s="34"/>
      <c r="T580" s="34"/>
    </row>
    <row r="581" spans="1:89" ht="14.1" customHeight="1" x14ac:dyDescent="0.2">
      <c r="B581" s="30"/>
      <c r="C581" s="30"/>
      <c r="D581" s="30"/>
      <c r="E581" s="49"/>
      <c r="F581" s="31"/>
      <c r="G581" s="31"/>
      <c r="H581" s="31"/>
      <c r="I581" s="31"/>
      <c r="J581" s="31"/>
      <c r="K581" s="31"/>
      <c r="L581" s="31"/>
      <c r="M581" s="31"/>
      <c r="N581" s="32"/>
      <c r="O581" s="32"/>
      <c r="P581" s="33"/>
      <c r="Q581" s="34"/>
      <c r="R581" s="34"/>
      <c r="S581" s="34"/>
      <c r="T581" s="34"/>
    </row>
    <row r="582" spans="1:89" ht="14.1" customHeight="1" x14ac:dyDescent="0.2">
      <c r="B582" s="30"/>
      <c r="C582" s="30"/>
      <c r="D582" s="30"/>
      <c r="E582" s="49"/>
      <c r="F582" s="31"/>
      <c r="G582" s="31"/>
      <c r="H582" s="31"/>
      <c r="I582" s="31"/>
      <c r="J582" s="31"/>
      <c r="K582" s="31"/>
      <c r="L582" s="31"/>
      <c r="M582" s="31"/>
      <c r="N582" s="32"/>
      <c r="O582" s="32"/>
      <c r="P582" s="33"/>
      <c r="Q582" s="34"/>
      <c r="R582" s="34"/>
      <c r="S582" s="34"/>
      <c r="T582" s="34"/>
    </row>
    <row r="583" spans="1:89" ht="14.1" customHeight="1" x14ac:dyDescent="0.2">
      <c r="B583" s="30"/>
      <c r="C583" s="30"/>
      <c r="D583" s="30"/>
      <c r="E583" s="49"/>
      <c r="F583" s="31"/>
      <c r="G583" s="31"/>
      <c r="H583" s="31"/>
      <c r="I583" s="31"/>
      <c r="J583" s="31"/>
      <c r="K583" s="31"/>
      <c r="L583" s="31"/>
      <c r="M583" s="31"/>
      <c r="N583" s="32"/>
      <c r="O583" s="32"/>
      <c r="P583" s="33"/>
      <c r="Q583" s="34"/>
      <c r="R583" s="34"/>
      <c r="S583" s="34"/>
      <c r="T583" s="34"/>
    </row>
    <row r="584" spans="1:89" ht="14.1" customHeight="1" x14ac:dyDescent="0.2">
      <c r="B584" s="30"/>
      <c r="C584" s="30"/>
      <c r="D584" s="30"/>
      <c r="E584" s="49"/>
      <c r="F584" s="31"/>
      <c r="G584" s="31"/>
      <c r="H584" s="31"/>
      <c r="I584" s="31"/>
      <c r="J584" s="31"/>
      <c r="K584" s="31"/>
      <c r="L584" s="31"/>
      <c r="M584" s="31"/>
      <c r="N584" s="32"/>
      <c r="O584" s="32"/>
      <c r="P584" s="33"/>
      <c r="Q584" s="34"/>
      <c r="R584" s="34"/>
      <c r="S584" s="34"/>
      <c r="T584" s="34"/>
    </row>
    <row r="585" spans="1:89" ht="14.1" customHeight="1" x14ac:dyDescent="0.2">
      <c r="B585" s="30"/>
      <c r="C585" s="30"/>
      <c r="D585" s="30"/>
      <c r="E585" s="49"/>
      <c r="F585" s="31"/>
      <c r="G585" s="31"/>
      <c r="H585" s="31"/>
      <c r="I585" s="31"/>
      <c r="J585" s="31"/>
      <c r="K585" s="31"/>
      <c r="L585" s="31"/>
      <c r="M585" s="31"/>
      <c r="N585" s="32"/>
      <c r="O585" s="32"/>
      <c r="P585" s="33"/>
      <c r="Q585" s="34"/>
      <c r="R585" s="34"/>
      <c r="S585" s="34"/>
      <c r="T585" s="34"/>
    </row>
    <row r="586" spans="1:89" ht="14.1" customHeight="1" x14ac:dyDescent="0.2">
      <c r="B586" s="30"/>
      <c r="C586" s="30"/>
      <c r="D586" s="30"/>
      <c r="E586" s="49"/>
      <c r="F586" s="31"/>
      <c r="G586" s="31"/>
      <c r="H586" s="31"/>
      <c r="I586" s="31"/>
      <c r="J586" s="31"/>
      <c r="K586" s="31"/>
      <c r="L586" s="31"/>
      <c r="M586" s="31"/>
      <c r="N586" s="32"/>
      <c r="O586" s="32"/>
      <c r="P586" s="33"/>
      <c r="Q586" s="34"/>
      <c r="R586" s="34"/>
      <c r="S586" s="34"/>
      <c r="T586" s="34"/>
    </row>
    <row r="587" spans="1:89" ht="14.1" customHeight="1" x14ac:dyDescent="0.2">
      <c r="B587" s="30"/>
      <c r="C587" s="30"/>
      <c r="D587" s="30"/>
      <c r="E587" s="49"/>
      <c r="F587" s="31"/>
      <c r="G587" s="31"/>
      <c r="H587" s="31"/>
      <c r="I587" s="31"/>
      <c r="J587" s="31"/>
      <c r="K587" s="31"/>
      <c r="L587" s="31"/>
      <c r="M587" s="31"/>
      <c r="N587" s="32"/>
      <c r="O587" s="32"/>
      <c r="P587" s="33"/>
      <c r="Q587" s="34"/>
      <c r="R587" s="34"/>
      <c r="S587" s="34"/>
      <c r="T587" s="34"/>
    </row>
    <row r="588" spans="1:89" ht="14.1" customHeight="1" x14ac:dyDescent="0.2">
      <c r="B588" s="30"/>
      <c r="C588" s="30"/>
      <c r="D588" s="30"/>
      <c r="E588" s="49"/>
      <c r="F588" s="31"/>
      <c r="G588" s="31"/>
      <c r="H588" s="31"/>
      <c r="I588" s="31"/>
      <c r="J588" s="31"/>
      <c r="K588" s="31"/>
      <c r="L588" s="31"/>
      <c r="M588" s="31"/>
      <c r="N588" s="32"/>
      <c r="O588" s="32"/>
      <c r="P588" s="33"/>
      <c r="Q588" s="34"/>
      <c r="R588" s="34"/>
      <c r="S588" s="34"/>
      <c r="T588" s="34"/>
    </row>
    <row r="589" spans="1:89" ht="14.1" customHeight="1" x14ac:dyDescent="0.2">
      <c r="B589" s="30"/>
      <c r="C589" s="30"/>
      <c r="D589" s="30"/>
      <c r="E589" s="49"/>
      <c r="F589" s="31"/>
      <c r="G589" s="31"/>
      <c r="H589" s="31"/>
      <c r="I589" s="31"/>
      <c r="J589" s="31"/>
      <c r="K589" s="31"/>
      <c r="L589" s="31"/>
      <c r="M589" s="31"/>
      <c r="N589" s="32"/>
      <c r="O589" s="32"/>
      <c r="P589" s="33"/>
      <c r="Q589" s="34"/>
      <c r="R589" s="34"/>
      <c r="S589" s="34"/>
      <c r="T589" s="34"/>
    </row>
    <row r="590" spans="1:89" s="20" customFormat="1" ht="14.1" customHeight="1" x14ac:dyDescent="0.2">
      <c r="B590" s="21"/>
      <c r="C590" s="21"/>
      <c r="D590" s="21"/>
      <c r="E590" s="49"/>
      <c r="F590" s="19"/>
      <c r="G590" s="22"/>
      <c r="H590" s="22"/>
      <c r="I590" s="22"/>
      <c r="J590" s="23"/>
      <c r="K590" s="24"/>
      <c r="L590" s="25"/>
      <c r="M590" s="22"/>
      <c r="N590" s="23"/>
      <c r="O590" s="23"/>
      <c r="P590" s="23"/>
      <c r="Q590" s="23"/>
      <c r="R590" s="23"/>
      <c r="S590" s="23"/>
      <c r="T590" s="23"/>
      <c r="CK590" s="10"/>
    </row>
    <row r="591" spans="1:89" s="20" customFormat="1" ht="14.1" customHeight="1" x14ac:dyDescent="0.2">
      <c r="B591" s="21"/>
      <c r="C591" s="21"/>
      <c r="D591" s="21"/>
      <c r="E591" s="49"/>
      <c r="F591" s="19"/>
      <c r="G591" s="22"/>
      <c r="H591" s="22"/>
      <c r="I591" s="22"/>
      <c r="J591" s="23"/>
      <c r="K591" s="24"/>
      <c r="L591" s="25"/>
      <c r="M591" s="22"/>
      <c r="N591" s="23"/>
      <c r="O591" s="23"/>
      <c r="P591" s="23"/>
      <c r="Q591" s="23"/>
      <c r="R591" s="23"/>
      <c r="S591" s="23"/>
      <c r="T591" s="23"/>
    </row>
    <row r="592" spans="1:89" s="20" customFormat="1" ht="14.1" customHeight="1" x14ac:dyDescent="0.2">
      <c r="A592" s="10"/>
      <c r="B592" s="21"/>
      <c r="C592" s="21"/>
      <c r="D592" s="21"/>
      <c r="E592" s="49"/>
      <c r="F592" s="19"/>
      <c r="G592" s="22"/>
      <c r="H592" s="22"/>
      <c r="I592" s="22"/>
      <c r="J592" s="23"/>
      <c r="K592" s="24"/>
      <c r="L592" s="25"/>
      <c r="M592" s="22"/>
      <c r="N592" s="23"/>
      <c r="O592" s="23"/>
      <c r="P592" s="23"/>
      <c r="Q592" s="23"/>
      <c r="R592" s="23"/>
      <c r="S592" s="23"/>
      <c r="T592" s="23"/>
    </row>
    <row r="593" spans="5:89" ht="14.1" customHeight="1" x14ac:dyDescent="0.2">
      <c r="E593" s="49"/>
      <c r="CK593" s="20"/>
    </row>
    <row r="594" spans="5:89" ht="14.1" customHeight="1" x14ac:dyDescent="0.2">
      <c r="E594" s="49"/>
    </row>
    <row r="595" spans="5:89" ht="14.1" customHeight="1" x14ac:dyDescent="0.2">
      <c r="E595" s="49"/>
    </row>
    <row r="596" spans="5:89" ht="14.1" customHeight="1" x14ac:dyDescent="0.2">
      <c r="E596" s="49"/>
    </row>
    <row r="597" spans="5:89" ht="14.1" customHeight="1" x14ac:dyDescent="0.2">
      <c r="E597" s="49"/>
    </row>
    <row r="598" spans="5:89" ht="14.1" customHeight="1" x14ac:dyDescent="0.2">
      <c r="E598" s="49"/>
    </row>
    <row r="599" spans="5:89" ht="14.1" customHeight="1" x14ac:dyDescent="0.2">
      <c r="E599" s="49"/>
    </row>
    <row r="600" spans="5:89" ht="14.1" customHeight="1" x14ac:dyDescent="0.2">
      <c r="E600" s="49"/>
    </row>
    <row r="601" spans="5:89" ht="14.1" customHeight="1" x14ac:dyDescent="0.2">
      <c r="E601" s="49"/>
    </row>
    <row r="602" spans="5:89" ht="14.1" customHeight="1" x14ac:dyDescent="0.2">
      <c r="E602" s="49"/>
    </row>
    <row r="603" spans="5:89" ht="14.1" customHeight="1" x14ac:dyDescent="0.2">
      <c r="E603" s="49"/>
    </row>
    <row r="604" spans="5:89" ht="14.1" customHeight="1" x14ac:dyDescent="0.2">
      <c r="E604" s="49"/>
    </row>
    <row r="605" spans="5:89" ht="14.1" customHeight="1" x14ac:dyDescent="0.2">
      <c r="E605" s="49"/>
    </row>
    <row r="606" spans="5:89" ht="14.1" customHeight="1" x14ac:dyDescent="0.2">
      <c r="E606" s="49"/>
    </row>
    <row r="607" spans="5:89" ht="14.1" customHeight="1" x14ac:dyDescent="0.2">
      <c r="E607" s="49"/>
    </row>
    <row r="608" spans="5:89" ht="14.1" customHeight="1" x14ac:dyDescent="0.2">
      <c r="E608" s="49"/>
    </row>
    <row r="609" spans="5:5" x14ac:dyDescent="0.2">
      <c r="E609" s="49"/>
    </row>
    <row r="610" spans="5:5" x14ac:dyDescent="0.2">
      <c r="E610" s="49"/>
    </row>
    <row r="611" spans="5:5" x14ac:dyDescent="0.2">
      <c r="E611" s="49"/>
    </row>
    <row r="612" spans="5:5" x14ac:dyDescent="0.2">
      <c r="E612" s="49"/>
    </row>
    <row r="613" spans="5:5" x14ac:dyDescent="0.2">
      <c r="E613" s="49"/>
    </row>
    <row r="614" spans="5:5" x14ac:dyDescent="0.2">
      <c r="E614" s="49"/>
    </row>
    <row r="615" spans="5:5" x14ac:dyDescent="0.2">
      <c r="E615" s="49"/>
    </row>
    <row r="616" spans="5:5" x14ac:dyDescent="0.2">
      <c r="E616" s="49"/>
    </row>
    <row r="617" spans="5:5" x14ac:dyDescent="0.2">
      <c r="E617" s="49"/>
    </row>
    <row r="618" spans="5:5" x14ac:dyDescent="0.2">
      <c r="E618" s="49"/>
    </row>
    <row r="619" spans="5:5" x14ac:dyDescent="0.2">
      <c r="E619" s="49"/>
    </row>
    <row r="620" spans="5:5" x14ac:dyDescent="0.2">
      <c r="E620" s="49"/>
    </row>
    <row r="621" spans="5:5" x14ac:dyDescent="0.2">
      <c r="E621" s="49"/>
    </row>
    <row r="622" spans="5:5" x14ac:dyDescent="0.2">
      <c r="E622" s="49"/>
    </row>
    <row r="623" spans="5:5" x14ac:dyDescent="0.2">
      <c r="E623" s="49"/>
    </row>
    <row r="624" spans="5:5" x14ac:dyDescent="0.2">
      <c r="E624" s="49"/>
    </row>
    <row r="625" spans="5:5" x14ac:dyDescent="0.2">
      <c r="E625" s="49"/>
    </row>
    <row r="626" spans="5:5" x14ac:dyDescent="0.2">
      <c r="E626" s="49"/>
    </row>
    <row r="627" spans="5:5" x14ac:dyDescent="0.2">
      <c r="E627" s="49"/>
    </row>
    <row r="628" spans="5:5" x14ac:dyDescent="0.2">
      <c r="E628" s="49"/>
    </row>
    <row r="629" spans="5:5" x14ac:dyDescent="0.2">
      <c r="E629" s="49"/>
    </row>
    <row r="630" spans="5:5" x14ac:dyDescent="0.2">
      <c r="E630" s="49"/>
    </row>
    <row r="631" spans="5:5" x14ac:dyDescent="0.2">
      <c r="E631" s="49"/>
    </row>
    <row r="632" spans="5:5" x14ac:dyDescent="0.2">
      <c r="E632" s="49"/>
    </row>
    <row r="633" spans="5:5" x14ac:dyDescent="0.2">
      <c r="E633" s="49"/>
    </row>
    <row r="634" spans="5:5" x14ac:dyDescent="0.2">
      <c r="E634" s="49"/>
    </row>
    <row r="635" spans="5:5" x14ac:dyDescent="0.2">
      <c r="E635" s="49"/>
    </row>
    <row r="636" spans="5:5" x14ac:dyDescent="0.2">
      <c r="E636" s="49"/>
    </row>
    <row r="637" spans="5:5" x14ac:dyDescent="0.2">
      <c r="E637" s="49"/>
    </row>
    <row r="638" spans="5:5" x14ac:dyDescent="0.2">
      <c r="E638" s="49"/>
    </row>
    <row r="639" spans="5:5" x14ac:dyDescent="0.2">
      <c r="E639" s="49"/>
    </row>
    <row r="640" spans="5:5" x14ac:dyDescent="0.2">
      <c r="E640" s="49"/>
    </row>
    <row r="641" spans="5:5" x14ac:dyDescent="0.2">
      <c r="E641" s="49"/>
    </row>
    <row r="642" spans="5:5" x14ac:dyDescent="0.2">
      <c r="E642" s="49"/>
    </row>
    <row r="643" spans="5:5" x14ac:dyDescent="0.2">
      <c r="E643" s="49"/>
    </row>
    <row r="644" spans="5:5" x14ac:dyDescent="0.2">
      <c r="E644" s="49"/>
    </row>
    <row r="645" spans="5:5" x14ac:dyDescent="0.2">
      <c r="E645" s="49"/>
    </row>
    <row r="646" spans="5:5" x14ac:dyDescent="0.2">
      <c r="E646" s="49"/>
    </row>
    <row r="647" spans="5:5" x14ac:dyDescent="0.2">
      <c r="E647" s="49"/>
    </row>
    <row r="648" spans="5:5" x14ac:dyDescent="0.2">
      <c r="E648" s="49"/>
    </row>
    <row r="649" spans="5:5" x14ac:dyDescent="0.2">
      <c r="E649" s="49"/>
    </row>
    <row r="650" spans="5:5" x14ac:dyDescent="0.2">
      <c r="E650" s="49"/>
    </row>
    <row r="651" spans="5:5" x14ac:dyDescent="0.2">
      <c r="E651" s="49"/>
    </row>
    <row r="652" spans="5:5" x14ac:dyDescent="0.2">
      <c r="E652" s="49"/>
    </row>
    <row r="653" spans="5:5" x14ac:dyDescent="0.2">
      <c r="E653" s="49"/>
    </row>
    <row r="654" spans="5:5" x14ac:dyDescent="0.2">
      <c r="E654" s="49"/>
    </row>
    <row r="655" spans="5:5" x14ac:dyDescent="0.2">
      <c r="E655" s="49"/>
    </row>
    <row r="656" spans="5:5" x14ac:dyDescent="0.2">
      <c r="E656" s="49"/>
    </row>
    <row r="657" spans="5:5" x14ac:dyDescent="0.2">
      <c r="E657" s="49"/>
    </row>
    <row r="658" spans="5:5" x14ac:dyDescent="0.2">
      <c r="E658" s="49"/>
    </row>
    <row r="659" spans="5:5" x14ac:dyDescent="0.2">
      <c r="E659" s="49"/>
    </row>
    <row r="660" spans="5:5" x14ac:dyDescent="0.2">
      <c r="E660" s="49"/>
    </row>
    <row r="661" spans="5:5" x14ac:dyDescent="0.2">
      <c r="E661" s="49"/>
    </row>
    <row r="662" spans="5:5" x14ac:dyDescent="0.2">
      <c r="E662" s="49"/>
    </row>
    <row r="663" spans="5:5" x14ac:dyDescent="0.2">
      <c r="E663" s="49"/>
    </row>
    <row r="664" spans="5:5" x14ac:dyDescent="0.2">
      <c r="E664" s="49"/>
    </row>
    <row r="665" spans="5:5" x14ac:dyDescent="0.2">
      <c r="E665" s="49"/>
    </row>
    <row r="666" spans="5:5" x14ac:dyDescent="0.2">
      <c r="E666" s="49"/>
    </row>
    <row r="667" spans="5:5" x14ac:dyDescent="0.2">
      <c r="E667" s="49"/>
    </row>
    <row r="668" spans="5:5" x14ac:dyDescent="0.2">
      <c r="E668" s="49"/>
    </row>
    <row r="669" spans="5:5" x14ac:dyDescent="0.2">
      <c r="E669" s="49"/>
    </row>
    <row r="670" spans="5:5" x14ac:dyDescent="0.2">
      <c r="E670" s="49"/>
    </row>
    <row r="671" spans="5:5" x14ac:dyDescent="0.2">
      <c r="E671" s="49"/>
    </row>
    <row r="672" spans="5:5" x14ac:dyDescent="0.2">
      <c r="E672" s="49"/>
    </row>
    <row r="673" spans="5:5" x14ac:dyDescent="0.2">
      <c r="E673" s="49"/>
    </row>
    <row r="674" spans="5:5" x14ac:dyDescent="0.2">
      <c r="E674" s="49"/>
    </row>
    <row r="675" spans="5:5" x14ac:dyDescent="0.2">
      <c r="E675" s="49"/>
    </row>
    <row r="676" spans="5:5" x14ac:dyDescent="0.2">
      <c r="E676" s="49"/>
    </row>
    <row r="677" spans="5:5" x14ac:dyDescent="0.2">
      <c r="E677" s="49"/>
    </row>
    <row r="678" spans="5:5" x14ac:dyDescent="0.2">
      <c r="E678" s="49"/>
    </row>
    <row r="679" spans="5:5" x14ac:dyDescent="0.2">
      <c r="E679" s="49"/>
    </row>
    <row r="680" spans="5:5" x14ac:dyDescent="0.2">
      <c r="E680" s="49"/>
    </row>
    <row r="681" spans="5:5" x14ac:dyDescent="0.2">
      <c r="E681" s="49"/>
    </row>
    <row r="682" spans="5:5" x14ac:dyDescent="0.2">
      <c r="E682" s="49"/>
    </row>
    <row r="683" spans="5:5" x14ac:dyDescent="0.2">
      <c r="E683" s="49"/>
    </row>
    <row r="684" spans="5:5" x14ac:dyDescent="0.2">
      <c r="E684" s="49"/>
    </row>
    <row r="685" spans="5:5" x14ac:dyDescent="0.2">
      <c r="E685" s="49"/>
    </row>
    <row r="686" spans="5:5" x14ac:dyDescent="0.2">
      <c r="E686" s="49"/>
    </row>
    <row r="687" spans="5:5" x14ac:dyDescent="0.2">
      <c r="E687" s="49"/>
    </row>
    <row r="688" spans="5:5" x14ac:dyDescent="0.2">
      <c r="E688" s="49"/>
    </row>
    <row r="689" spans="5:5" x14ac:dyDescent="0.2">
      <c r="E689" s="49"/>
    </row>
    <row r="690" spans="5:5" x14ac:dyDescent="0.2">
      <c r="E690" s="49"/>
    </row>
    <row r="691" spans="5:5" x14ac:dyDescent="0.2">
      <c r="E691" s="49"/>
    </row>
    <row r="692" spans="5:5" x14ac:dyDescent="0.2">
      <c r="E692" s="49"/>
    </row>
    <row r="693" spans="5:5" x14ac:dyDescent="0.2">
      <c r="E693" s="49"/>
    </row>
    <row r="694" spans="5:5" x14ac:dyDescent="0.2">
      <c r="E694" s="49"/>
    </row>
    <row r="695" spans="5:5" x14ac:dyDescent="0.2">
      <c r="E695" s="49"/>
    </row>
    <row r="696" spans="5:5" x14ac:dyDescent="0.2">
      <c r="E696" s="49"/>
    </row>
    <row r="697" spans="5:5" x14ac:dyDescent="0.2">
      <c r="E697" s="49"/>
    </row>
    <row r="698" spans="5:5" x14ac:dyDescent="0.2">
      <c r="E698" s="49"/>
    </row>
    <row r="699" spans="5:5" x14ac:dyDescent="0.2">
      <c r="E699" s="49"/>
    </row>
    <row r="700" spans="5:5" x14ac:dyDescent="0.2">
      <c r="E700" s="49"/>
    </row>
    <row r="701" spans="5:5" x14ac:dyDescent="0.2">
      <c r="E701" s="49"/>
    </row>
    <row r="702" spans="5:5" x14ac:dyDescent="0.2">
      <c r="E702" s="49"/>
    </row>
    <row r="703" spans="5:5" x14ac:dyDescent="0.2">
      <c r="E703" s="49"/>
    </row>
    <row r="704" spans="5:5" x14ac:dyDescent="0.2">
      <c r="E704" s="49"/>
    </row>
    <row r="705" spans="5:5" x14ac:dyDescent="0.2">
      <c r="E705" s="49"/>
    </row>
    <row r="706" spans="5:5" x14ac:dyDescent="0.2">
      <c r="E706" s="49"/>
    </row>
    <row r="707" spans="5:5" x14ac:dyDescent="0.2">
      <c r="E707" s="49"/>
    </row>
    <row r="708" spans="5:5" x14ac:dyDescent="0.2">
      <c r="E708" s="49"/>
    </row>
    <row r="709" spans="5:5" x14ac:dyDescent="0.2">
      <c r="E709" s="49"/>
    </row>
    <row r="710" spans="5:5" x14ac:dyDescent="0.2">
      <c r="E710" s="49"/>
    </row>
    <row r="711" spans="5:5" x14ac:dyDescent="0.2">
      <c r="E711" s="49"/>
    </row>
    <row r="712" spans="5:5" x14ac:dyDescent="0.2">
      <c r="E712" s="49"/>
    </row>
    <row r="713" spans="5:5" x14ac:dyDescent="0.2">
      <c r="E713" s="49"/>
    </row>
    <row r="714" spans="5:5" x14ac:dyDescent="0.2">
      <c r="E714" s="49"/>
    </row>
    <row r="715" spans="5:5" x14ac:dyDescent="0.2">
      <c r="E715" s="49"/>
    </row>
    <row r="716" spans="5:5" x14ac:dyDescent="0.2">
      <c r="E716" s="49"/>
    </row>
    <row r="717" spans="5:5" x14ac:dyDescent="0.2">
      <c r="E717" s="49"/>
    </row>
    <row r="718" spans="5:5" x14ac:dyDescent="0.2">
      <c r="E718" s="49"/>
    </row>
    <row r="719" spans="5:5" x14ac:dyDescent="0.2">
      <c r="E719" s="49"/>
    </row>
    <row r="720" spans="5:5" x14ac:dyDescent="0.2">
      <c r="E720" s="49"/>
    </row>
    <row r="721" spans="5:5" x14ac:dyDescent="0.2">
      <c r="E721" s="49"/>
    </row>
    <row r="722" spans="5:5" x14ac:dyDescent="0.2">
      <c r="E722" s="49"/>
    </row>
    <row r="723" spans="5:5" x14ac:dyDescent="0.2">
      <c r="E723" s="49"/>
    </row>
    <row r="724" spans="5:5" x14ac:dyDescent="0.2">
      <c r="E724" s="49"/>
    </row>
    <row r="725" spans="5:5" x14ac:dyDescent="0.2">
      <c r="E725" s="49"/>
    </row>
    <row r="726" spans="5:5" x14ac:dyDescent="0.2">
      <c r="E726" s="49"/>
    </row>
    <row r="727" spans="5:5" x14ac:dyDescent="0.2">
      <c r="E727" s="49"/>
    </row>
    <row r="728" spans="5:5" x14ac:dyDescent="0.2">
      <c r="E728" s="49"/>
    </row>
    <row r="729" spans="5:5" x14ac:dyDescent="0.2">
      <c r="E729" s="49"/>
    </row>
    <row r="730" spans="5:5" x14ac:dyDescent="0.2">
      <c r="E730" s="49"/>
    </row>
    <row r="731" spans="5:5" x14ac:dyDescent="0.2">
      <c r="E731" s="49"/>
    </row>
    <row r="732" spans="5:5" x14ac:dyDescent="0.2">
      <c r="E732" s="49"/>
    </row>
    <row r="733" spans="5:5" x14ac:dyDescent="0.2">
      <c r="E733" s="49"/>
    </row>
    <row r="734" spans="5:5" x14ac:dyDescent="0.2">
      <c r="E734" s="49"/>
    </row>
    <row r="735" spans="5:5" x14ac:dyDescent="0.2">
      <c r="E735" s="49"/>
    </row>
    <row r="736" spans="5:5" x14ac:dyDescent="0.2">
      <c r="E736" s="49"/>
    </row>
    <row r="737" spans="5:5" x14ac:dyDescent="0.2">
      <c r="E737" s="49"/>
    </row>
    <row r="738" spans="5:5" x14ac:dyDescent="0.2">
      <c r="E738" s="49"/>
    </row>
    <row r="739" spans="5:5" x14ac:dyDescent="0.2">
      <c r="E739" s="49"/>
    </row>
    <row r="740" spans="5:5" x14ac:dyDescent="0.2">
      <c r="E740" s="49"/>
    </row>
    <row r="741" spans="5:5" x14ac:dyDescent="0.2">
      <c r="E741" s="49"/>
    </row>
    <row r="742" spans="5:5" x14ac:dyDescent="0.2">
      <c r="E742" s="49"/>
    </row>
    <row r="743" spans="5:5" x14ac:dyDescent="0.2">
      <c r="E743" s="49"/>
    </row>
    <row r="744" spans="5:5" x14ac:dyDescent="0.2">
      <c r="E744" s="49"/>
    </row>
    <row r="745" spans="5:5" x14ac:dyDescent="0.2">
      <c r="E745" s="49"/>
    </row>
    <row r="746" spans="5:5" x14ac:dyDescent="0.2">
      <c r="E746" s="49"/>
    </row>
    <row r="747" spans="5:5" x14ac:dyDescent="0.2">
      <c r="E747" s="49"/>
    </row>
    <row r="1089" ht="12.75" customHeight="1" x14ac:dyDescent="0.2"/>
    <row r="1090" ht="12.75" customHeight="1" x14ac:dyDescent="0.2"/>
    <row r="1091" ht="12.75" customHeight="1" x14ac:dyDescent="0.2"/>
    <row r="1092" ht="12.75" customHeight="1" x14ac:dyDescent="0.2"/>
    <row r="1093" ht="12.75" customHeight="1" x14ac:dyDescent="0.2"/>
    <row r="1094" ht="12.75" customHeight="1" x14ac:dyDescent="0.2"/>
    <row r="1095" ht="12.75" customHeight="1" x14ac:dyDescent="0.2"/>
    <row r="1096" ht="12.75" customHeight="1" x14ac:dyDescent="0.2"/>
    <row r="1097" ht="12.75" customHeight="1" x14ac:dyDescent="0.2"/>
    <row r="1098" ht="12.75" customHeight="1" x14ac:dyDescent="0.2"/>
    <row r="1099" ht="12.75" customHeight="1" x14ac:dyDescent="0.2"/>
    <row r="1100" ht="12.75" customHeight="1" x14ac:dyDescent="0.2"/>
    <row r="1101" ht="12.75" customHeight="1" x14ac:dyDescent="0.2"/>
    <row r="1102" ht="12.75" customHeight="1" x14ac:dyDescent="0.2"/>
    <row r="1103" ht="12.75" customHeight="1" x14ac:dyDescent="0.2"/>
    <row r="1104" ht="12.75" customHeight="1" x14ac:dyDescent="0.2"/>
    <row r="1468" spans="26:26" x14ac:dyDescent="0.2">
      <c r="Z1468" s="10" t="s">
        <v>19</v>
      </c>
    </row>
  </sheetData>
  <dataConsolidate/>
  <mergeCells count="2">
    <mergeCell ref="L5:L6"/>
    <mergeCell ref="M5:M6"/>
  </mergeCells>
  <dataValidations count="3">
    <dataValidation type="custom" allowBlank="1" showErrorMessage="1" promptTitle="TRAFO" prompt="ProcessTable" sqref="E1:E2" xr:uid="{00000000-0002-0000-0000-000000000000}">
      <formula1>"REQUEST$TABLE_btnFindSeries_E3"</formula1>
    </dataValidation>
    <dataValidation type="custom" allowBlank="1" showErrorMessage="1" promptTitle="TRAFO" prompt="ProcessTable" sqref="E3" xr:uid="{00000000-0002-0000-0000-000001000000}">
      <formula1>"tsmiCTSeries|tsmiSCEquity|FALSE|$B$7|REQUEST_TABLE"</formula1>
    </dataValidation>
    <dataValidation type="custom" allowBlank="1" promptTitle="TRAFO" prompt="ProcessTable" sqref="K7" xr:uid="{6C3EA802-82E7-429E-8327-29244ED270E8}">
      <formula1>"Output'!$A$1"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14" r:id="rId4" name="txtTimeout">
          <controlPr locked="0" defaultSize="0" autoLine="0" autoPict="0" r:id="rId5">
            <anchor>
              <from>
                <xdr:col>5</xdr:col>
                <xdr:colOff>876300</xdr:colOff>
                <xdr:row>1</xdr:row>
                <xdr:rowOff>19050</xdr:rowOff>
              </from>
              <to>
                <xdr:col>5</xdr:col>
                <xdr:colOff>1352550</xdr:colOff>
                <xdr:row>1</xdr:row>
                <xdr:rowOff>209550</xdr:rowOff>
              </to>
            </anchor>
          </controlPr>
        </control>
      </mc:Choice>
      <mc:Fallback>
        <control shapeId="1114" r:id="rId4" name="txtTimeout"/>
      </mc:Fallback>
    </mc:AlternateContent>
    <mc:AlternateContent xmlns:mc="http://schemas.openxmlformats.org/markup-compatibility/2006">
      <mc:Choice Requires="x14">
        <control shapeId="1030" r:id="rId6" name="txtPostMacro">
          <controlPr locked="0" defaultSize="0" autoLine="0" r:id="rId7">
            <anchor>
              <from>
                <xdr:col>5</xdr:col>
                <xdr:colOff>866775</xdr:colOff>
                <xdr:row>2</xdr:row>
                <xdr:rowOff>57150</xdr:rowOff>
              </from>
              <to>
                <xdr:col>5</xdr:col>
                <xdr:colOff>2447925</xdr:colOff>
                <xdr:row>3</xdr:row>
                <xdr:rowOff>28575</xdr:rowOff>
              </to>
            </anchor>
          </controlPr>
        </control>
      </mc:Choice>
      <mc:Fallback>
        <control shapeId="1030" r:id="rId6" name="txtPostMacro"/>
      </mc:Fallback>
    </mc:AlternateContent>
    <mc:AlternateContent xmlns:mc="http://schemas.openxmlformats.org/markup-compatibility/2006">
      <mc:Choice Requires="x14">
        <control shapeId="1031" r:id="rId8" name="txtPreMacro">
          <controlPr locked="0" defaultSize="0" autoLine="0" r:id="rId9">
            <anchor>
              <from>
                <xdr:col>5</xdr:col>
                <xdr:colOff>866775</xdr:colOff>
                <xdr:row>1</xdr:row>
                <xdr:rowOff>266700</xdr:rowOff>
              </from>
              <to>
                <xdr:col>5</xdr:col>
                <xdr:colOff>2447925</xdr:colOff>
                <xdr:row>2</xdr:row>
                <xdr:rowOff>19050</xdr:rowOff>
              </to>
            </anchor>
          </controlPr>
        </control>
      </mc:Choice>
      <mc:Fallback>
        <control shapeId="1031" r:id="rId8" name="txtPreMacro"/>
      </mc:Fallback>
    </mc:AlternateContent>
    <mc:AlternateContent xmlns:mc="http://schemas.openxmlformats.org/markup-compatibility/2006">
      <mc:Choice Requires="x14">
        <control shapeId="1038" r:id="rId10" name="txtNAString">
          <controlPr defaultSize="0" autoLine="0" r:id="rId11">
            <anchor>
              <from>
                <xdr:col>10</xdr:col>
                <xdr:colOff>600075</xdr:colOff>
                <xdr:row>1</xdr:row>
                <xdr:rowOff>295275</xdr:rowOff>
              </from>
              <to>
                <xdr:col>10</xdr:col>
                <xdr:colOff>1781175</xdr:colOff>
                <xdr:row>2</xdr:row>
                <xdr:rowOff>47625</xdr:rowOff>
              </to>
            </anchor>
          </controlPr>
        </control>
      </mc:Choice>
      <mc:Fallback>
        <control shapeId="1038" r:id="rId10" name="txtNAString"/>
      </mc:Fallback>
    </mc:AlternateContent>
    <mc:AlternateContent xmlns:mc="http://schemas.openxmlformats.org/markup-compatibility/2006">
      <mc:Choice Requires="x14">
        <control shapeId="1046" r:id="rId12" name="lblTotalRequest">
          <controlPr defaultSize="0" autoLine="0" r:id="rId13">
            <anchor>
              <from>
                <xdr:col>11</xdr:col>
                <xdr:colOff>0</xdr:colOff>
                <xdr:row>0</xdr:row>
                <xdr:rowOff>28575</xdr:rowOff>
              </from>
              <to>
                <xdr:col>12</xdr:col>
                <xdr:colOff>1571625</xdr:colOff>
                <xdr:row>0</xdr:row>
                <xdr:rowOff>209550</xdr:rowOff>
              </to>
            </anchor>
          </controlPr>
        </control>
      </mc:Choice>
      <mc:Fallback>
        <control shapeId="1046" r:id="rId12" name="lblTotalRequest"/>
      </mc:Fallback>
    </mc:AlternateContent>
    <mc:AlternateContent xmlns:mc="http://schemas.openxmlformats.org/markup-compatibility/2006">
      <mc:Choice Requires="x14">
        <control shapeId="1048" r:id="rId14" name="btnNo">
          <controlPr defaultSize="0" autoLine="0" autoPict="0" r:id="rId15">
            <anchor moveWithCells="1" sizeWithCells="1">
              <from>
                <xdr:col>1</xdr:col>
                <xdr:colOff>495300</xdr:colOff>
                <xdr:row>5</xdr:row>
                <xdr:rowOff>0</xdr:rowOff>
              </from>
              <to>
                <xdr:col>2</xdr:col>
                <xdr:colOff>28575</xdr:colOff>
                <xdr:row>6</xdr:row>
                <xdr:rowOff>0</xdr:rowOff>
              </to>
            </anchor>
          </controlPr>
        </control>
      </mc:Choice>
      <mc:Fallback>
        <control shapeId="1048" r:id="rId14" name="btnNo"/>
      </mc:Fallback>
    </mc:AlternateContent>
    <mc:AlternateContent xmlns:mc="http://schemas.openxmlformats.org/markup-compatibility/2006">
      <mc:Choice Requires="x14">
        <control shapeId="1049" r:id="rId16" name="btnYesNO">
          <controlPr defaultSize="0" autoLine="0" r:id="rId17">
            <anchor moveWithCells="1" sizeWithCells="1">
              <from>
                <xdr:col>1</xdr:col>
                <xdr:colOff>190500</xdr:colOff>
                <xdr:row>5</xdr:row>
                <xdr:rowOff>0</xdr:rowOff>
              </from>
              <to>
                <xdr:col>1</xdr:col>
                <xdr:colOff>523875</xdr:colOff>
                <xdr:row>6</xdr:row>
                <xdr:rowOff>0</xdr:rowOff>
              </to>
            </anchor>
          </controlPr>
        </control>
      </mc:Choice>
      <mc:Fallback>
        <control shapeId="1049" r:id="rId16" name="btnYesNO"/>
      </mc:Fallback>
    </mc:AlternateContent>
    <mc:AlternateContent xmlns:mc="http://schemas.openxmlformats.org/markup-compatibility/2006">
      <mc:Choice Requires="x14">
        <control shapeId="1050" r:id="rId18" name="btnYes">
          <controlPr defaultSize="0" autoLine="0" r:id="rId19">
            <anchor moveWithCells="1" sizeWithCells="1">
              <from>
                <xdr:col>0</xdr:col>
                <xdr:colOff>219075</xdr:colOff>
                <xdr:row>5</xdr:row>
                <xdr:rowOff>0</xdr:rowOff>
              </from>
              <to>
                <xdr:col>1</xdr:col>
                <xdr:colOff>219075</xdr:colOff>
                <xdr:row>6</xdr:row>
                <xdr:rowOff>0</xdr:rowOff>
              </to>
            </anchor>
          </controlPr>
        </control>
      </mc:Choice>
      <mc:Fallback>
        <control shapeId="1050" r:id="rId18" name="btnYes"/>
      </mc:Fallback>
    </mc:AlternateContent>
    <mc:AlternateContent xmlns:mc="http://schemas.openxmlformats.org/markup-compatibility/2006">
      <mc:Choice Requires="x14">
        <control shapeId="1051" r:id="rId20" name="btnTimeSeries">
          <controlPr defaultSize="0" autoLine="0" r:id="rId21">
            <anchor moveWithCells="1" sizeWithCells="1">
              <from>
                <xdr:col>2</xdr:col>
                <xdr:colOff>447675</xdr:colOff>
                <xdr:row>5</xdr:row>
                <xdr:rowOff>0</xdr:rowOff>
              </from>
              <to>
                <xdr:col>2</xdr:col>
                <xdr:colOff>876300</xdr:colOff>
                <xdr:row>6</xdr:row>
                <xdr:rowOff>0</xdr:rowOff>
              </to>
            </anchor>
          </controlPr>
        </control>
      </mc:Choice>
      <mc:Fallback>
        <control shapeId="1051" r:id="rId20" name="btnTimeSeries"/>
      </mc:Fallback>
    </mc:AlternateContent>
    <mc:AlternateContent xmlns:mc="http://schemas.openxmlformats.org/markup-compatibility/2006">
      <mc:Choice Requires="x14">
        <control shapeId="1052" r:id="rId22" name="btnStatic">
          <controlPr defaultSize="0" autoLine="0" autoPict="0" r:id="rId23">
            <anchor moveWithCells="1" sizeWithCells="1">
              <from>
                <xdr:col>2</xdr:col>
                <xdr:colOff>0</xdr:colOff>
                <xdr:row>5</xdr:row>
                <xdr:rowOff>0</xdr:rowOff>
              </from>
              <to>
                <xdr:col>2</xdr:col>
                <xdr:colOff>447675</xdr:colOff>
                <xdr:row>6</xdr:row>
                <xdr:rowOff>0</xdr:rowOff>
              </to>
            </anchor>
          </controlPr>
        </control>
      </mc:Choice>
      <mc:Fallback>
        <control shapeId="1052" r:id="rId22" name="btnStatic"/>
      </mc:Fallback>
    </mc:AlternateContent>
    <mc:AlternateContent xmlns:mc="http://schemas.openxmlformats.org/markup-compatibility/2006">
      <mc:Choice Requires="x14">
        <control shapeId="1053" r:id="rId24" name="btnList">
          <controlPr autoLine="0" r:id="rId25">
            <anchor moveWithCells="1" sizeWithCells="1">
              <from>
                <xdr:col>2</xdr:col>
                <xdr:colOff>1323975</xdr:colOff>
                <xdr:row>5</xdr:row>
                <xdr:rowOff>0</xdr:rowOff>
              </from>
              <to>
                <xdr:col>3</xdr:col>
                <xdr:colOff>0</xdr:colOff>
                <xdr:row>6</xdr:row>
                <xdr:rowOff>0</xdr:rowOff>
              </to>
            </anchor>
          </controlPr>
        </control>
      </mc:Choice>
      <mc:Fallback>
        <control shapeId="1053" r:id="rId24" name="btnList"/>
      </mc:Fallback>
    </mc:AlternateContent>
    <mc:AlternateContent xmlns:mc="http://schemas.openxmlformats.org/markup-compatibility/2006">
      <mc:Choice Requires="x14">
        <control shapeId="1054" r:id="rId26" name="btnFormatOptions">
          <controlPr defaultSize="0" autoLine="0" r:id="rId27">
            <anchor moveWithCells="1" sizeWithCells="1">
              <from>
                <xdr:col>3</xdr:col>
                <xdr:colOff>0</xdr:colOff>
                <xdr:row>5</xdr:row>
                <xdr:rowOff>0</xdr:rowOff>
              </from>
              <to>
                <xdr:col>4</xdr:col>
                <xdr:colOff>28575</xdr:colOff>
                <xdr:row>6</xdr:row>
                <xdr:rowOff>0</xdr:rowOff>
              </to>
            </anchor>
          </controlPr>
        </control>
      </mc:Choice>
      <mc:Fallback>
        <control shapeId="1054" r:id="rId26" name="btnFormatOptions"/>
      </mc:Fallback>
    </mc:AlternateContent>
    <mc:AlternateContent xmlns:mc="http://schemas.openxmlformats.org/markup-compatibility/2006">
      <mc:Choice Requires="x14">
        <control shapeId="1055" r:id="rId28" name="btnListPicker">
          <controlPr defaultSize="0" autoFill="0" autoLine="0" autoPict="0" r:id="rId29">
            <anchor moveWithCells="1" sizeWithCells="1">
              <from>
                <xdr:col>4</xdr:col>
                <xdr:colOff>1104900</xdr:colOff>
                <xdr:row>5</xdr:row>
                <xdr:rowOff>0</xdr:rowOff>
              </from>
              <to>
                <xdr:col>4</xdr:col>
                <xdr:colOff>1971675</xdr:colOff>
                <xdr:row>6</xdr:row>
                <xdr:rowOff>0</xdr:rowOff>
              </to>
            </anchor>
          </controlPr>
        </control>
      </mc:Choice>
      <mc:Fallback>
        <control shapeId="1055" r:id="rId28" name="btnListPicker"/>
      </mc:Fallback>
    </mc:AlternateContent>
    <mc:AlternateContent xmlns:mc="http://schemas.openxmlformats.org/markup-compatibility/2006">
      <mc:Choice Requires="x14">
        <control shapeId="1056" r:id="rId30" name="btnSeries">
          <controlPr defaultSize="0" autoLine="0" autoPict="0" r:id="rId31">
            <anchor moveWithCells="1" sizeWithCells="1">
              <from>
                <xdr:col>4</xdr:col>
                <xdr:colOff>28575</xdr:colOff>
                <xdr:row>5</xdr:row>
                <xdr:rowOff>0</xdr:rowOff>
              </from>
              <to>
                <xdr:col>4</xdr:col>
                <xdr:colOff>1133475</xdr:colOff>
                <xdr:row>6</xdr:row>
                <xdr:rowOff>0</xdr:rowOff>
              </to>
            </anchor>
          </controlPr>
        </control>
      </mc:Choice>
      <mc:Fallback>
        <control shapeId="1056" r:id="rId30" name="btnSeries"/>
      </mc:Fallback>
    </mc:AlternateContent>
    <mc:AlternateContent xmlns:mc="http://schemas.openxmlformats.org/markup-compatibility/2006">
      <mc:Choice Requires="x14">
        <control shapeId="1057" r:id="rId32" name="btnListCreate">
          <controlPr autoLine="0" autoPict="0" r:id="rId33">
            <anchor moveWithCells="1" sizeWithCells="1">
              <from>
                <xdr:col>4</xdr:col>
                <xdr:colOff>1971675</xdr:colOff>
                <xdr:row>5</xdr:row>
                <xdr:rowOff>0</xdr:rowOff>
              </from>
              <to>
                <xdr:col>5</xdr:col>
                <xdr:colOff>0</xdr:colOff>
                <xdr:row>6</xdr:row>
                <xdr:rowOff>0</xdr:rowOff>
              </to>
            </anchor>
          </controlPr>
        </control>
      </mc:Choice>
      <mc:Fallback>
        <control shapeId="1057" r:id="rId32" name="btnListCreate"/>
      </mc:Fallback>
    </mc:AlternateContent>
    <mc:AlternateContent xmlns:mc="http://schemas.openxmlformats.org/markup-compatibility/2006">
      <mc:Choice Requires="x14">
        <control shapeId="1058" r:id="rId34" name="btnExpressionPicker">
          <controlPr defaultSize="0" autoLine="0" r:id="rId35">
            <anchor moveWithCells="1" sizeWithCells="1">
              <from>
                <xdr:col>5</xdr:col>
                <xdr:colOff>942975</xdr:colOff>
                <xdr:row>5</xdr:row>
                <xdr:rowOff>0</xdr:rowOff>
              </from>
              <to>
                <xdr:col>5</xdr:col>
                <xdr:colOff>1781175</xdr:colOff>
                <xdr:row>6</xdr:row>
                <xdr:rowOff>0</xdr:rowOff>
              </to>
            </anchor>
          </controlPr>
        </control>
      </mc:Choice>
      <mc:Fallback>
        <control shapeId="1058" r:id="rId34" name="btnExpressionPicker"/>
      </mc:Fallback>
    </mc:AlternateContent>
    <mc:AlternateContent xmlns:mc="http://schemas.openxmlformats.org/markup-compatibility/2006">
      <mc:Choice Requires="x14">
        <control shapeId="1059" r:id="rId36" name="btnFunctions">
          <controlPr defaultSize="0" autoLine="0" r:id="rId37">
            <anchor moveWithCells="1" sizeWithCells="1">
              <from>
                <xdr:col>5</xdr:col>
                <xdr:colOff>1752600</xdr:colOff>
                <xdr:row>5</xdr:row>
                <xdr:rowOff>0</xdr:rowOff>
              </from>
              <to>
                <xdr:col>6</xdr:col>
                <xdr:colOff>0</xdr:colOff>
                <xdr:row>6</xdr:row>
                <xdr:rowOff>0</xdr:rowOff>
              </to>
            </anchor>
          </controlPr>
        </control>
      </mc:Choice>
      <mc:Fallback>
        <control shapeId="1059" r:id="rId36" name="btnFunctions"/>
      </mc:Fallback>
    </mc:AlternateContent>
    <mc:AlternateContent xmlns:mc="http://schemas.openxmlformats.org/markup-compatibility/2006">
      <mc:Choice Requires="x14">
        <control shapeId="1060" r:id="rId38" name="btnDatatypes">
          <controlPr defaultSize="0" autoLine="0" r:id="rId39">
            <anchor moveWithCells="1" sizeWithCells="1">
              <from>
                <xdr:col>5</xdr:col>
                <xdr:colOff>0</xdr:colOff>
                <xdr:row>5</xdr:row>
                <xdr:rowOff>0</xdr:rowOff>
              </from>
              <to>
                <xdr:col>5</xdr:col>
                <xdr:colOff>952500</xdr:colOff>
                <xdr:row>6</xdr:row>
                <xdr:rowOff>0</xdr:rowOff>
              </to>
            </anchor>
          </controlPr>
        </control>
      </mc:Choice>
      <mc:Fallback>
        <control shapeId="1060" r:id="rId38" name="btnDatatypes"/>
      </mc:Fallback>
    </mc:AlternateContent>
    <mc:AlternateContent xmlns:mc="http://schemas.openxmlformats.org/markup-compatibility/2006">
      <mc:Choice Requires="x14">
        <control shapeId="1061" r:id="rId40" name="btnSeriesEditor">
          <controlPr defaultSize="0" autoLine="0" r:id="rId41">
            <anchor moveWithCells="1" sizeWithCells="1">
              <from>
                <xdr:col>4</xdr:col>
                <xdr:colOff>28575</xdr:colOff>
                <xdr:row>3</xdr:row>
                <xdr:rowOff>371475</xdr:rowOff>
              </from>
              <to>
                <xdr:col>4</xdr:col>
                <xdr:colOff>371475</xdr:colOff>
                <xdr:row>5</xdr:row>
                <xdr:rowOff>0</xdr:rowOff>
              </to>
            </anchor>
          </controlPr>
        </control>
      </mc:Choice>
      <mc:Fallback>
        <control shapeId="1061" r:id="rId40" name="btnSeriesEditor"/>
      </mc:Fallback>
    </mc:AlternateContent>
    <mc:AlternateContent xmlns:mc="http://schemas.openxmlformats.org/markup-compatibility/2006">
      <mc:Choice Requires="x14">
        <control shapeId="1062" r:id="rId42" name="btnDatatypeEditor">
          <controlPr defaultSize="0" autoLine="0" r:id="rId43">
            <anchor moveWithCells="1" sizeWithCells="1">
              <from>
                <xdr:col>5</xdr:col>
                <xdr:colOff>28575</xdr:colOff>
                <xdr:row>3</xdr:row>
                <xdr:rowOff>371475</xdr:rowOff>
              </from>
              <to>
                <xdr:col>5</xdr:col>
                <xdr:colOff>371475</xdr:colOff>
                <xdr:row>5</xdr:row>
                <xdr:rowOff>0</xdr:rowOff>
              </to>
            </anchor>
          </controlPr>
        </control>
      </mc:Choice>
      <mc:Fallback>
        <control shapeId="1062" r:id="rId42" name="btnDatatypeEditor"/>
      </mc:Fallback>
    </mc:AlternateContent>
    <mc:AlternateContent xmlns:mc="http://schemas.openxmlformats.org/markup-compatibility/2006">
      <mc:Choice Requires="x14">
        <control shapeId="1063" r:id="rId44" name="btnDataDestination">
          <controlPr defaultSize="0" autoLine="0" r:id="rId45">
            <anchor moveWithCells="1" sizeWithCells="1">
              <from>
                <xdr:col>9</xdr:col>
                <xdr:colOff>0</xdr:colOff>
                <xdr:row>3</xdr:row>
                <xdr:rowOff>371475</xdr:rowOff>
              </from>
              <to>
                <xdr:col>11</xdr:col>
                <xdr:colOff>28575</xdr:colOff>
                <xdr:row>6</xdr:row>
                <xdr:rowOff>0</xdr:rowOff>
              </to>
            </anchor>
          </controlPr>
        </control>
      </mc:Choice>
      <mc:Fallback>
        <control shapeId="1063" r:id="rId44" name="btnDataDestination"/>
      </mc:Fallback>
    </mc:AlternateContent>
    <mc:AlternateContent xmlns:mc="http://schemas.openxmlformats.org/markup-compatibility/2006">
      <mc:Choice Requires="x14">
        <control shapeId="1064" r:id="rId46" name="cboFrequency">
          <controlPr defaultSize="0" autoLine="0" r:id="rId47">
            <anchor moveWithCells="1" sizeWithCells="1">
              <from>
                <xdr:col>8</xdr:col>
                <xdr:colOff>0</xdr:colOff>
                <xdr:row>5</xdr:row>
                <xdr:rowOff>28575</xdr:rowOff>
              </from>
              <to>
                <xdr:col>10</xdr:col>
                <xdr:colOff>28575</xdr:colOff>
                <xdr:row>6</xdr:row>
                <xdr:rowOff>0</xdr:rowOff>
              </to>
            </anchor>
          </controlPr>
        </control>
      </mc:Choice>
      <mc:Fallback>
        <control shapeId="1064" r:id="rId46" name="cboFrequency"/>
      </mc:Fallback>
    </mc:AlternateContent>
    <mc:AlternateContent xmlns:mc="http://schemas.openxmlformats.org/markup-compatibility/2006">
      <mc:Choice Requires="x14">
        <control shapeId="1066" r:id="rId48" name="btnTSL">
          <controlPr defaultSize="0" autoLine="0" r:id="rId49">
            <anchor moveWithCells="1" sizeWithCells="1">
              <from>
                <xdr:col>2</xdr:col>
                <xdr:colOff>876300</xdr:colOff>
                <xdr:row>5</xdr:row>
                <xdr:rowOff>0</xdr:rowOff>
              </from>
              <to>
                <xdr:col>2</xdr:col>
                <xdr:colOff>1323975</xdr:colOff>
                <xdr:row>6</xdr:row>
                <xdr:rowOff>0</xdr:rowOff>
              </to>
            </anchor>
          </controlPr>
        </control>
      </mc:Choice>
      <mc:Fallback>
        <control shapeId="1066" r:id="rId48" name="btnTSL"/>
      </mc:Fallback>
    </mc:AlternateContent>
    <mc:AlternateContent xmlns:mc="http://schemas.openxmlformats.org/markup-compatibility/2006">
      <mc:Choice Requires="x14">
        <control shapeId="1068" r:id="rId50" name="lblTotalTime">
          <controlPr defaultSize="0" autoLine="0" r:id="rId51">
            <anchor>
              <from>
                <xdr:col>11</xdr:col>
                <xdr:colOff>28575</xdr:colOff>
                <xdr:row>2</xdr:row>
                <xdr:rowOff>28575</xdr:rowOff>
              </from>
              <to>
                <xdr:col>12</xdr:col>
                <xdr:colOff>1600200</xdr:colOff>
                <xdr:row>2</xdr:row>
                <xdr:rowOff>209550</xdr:rowOff>
              </to>
            </anchor>
          </controlPr>
        </control>
      </mc:Choice>
      <mc:Fallback>
        <control shapeId="1068" r:id="rId50" name="lblTotalTime"/>
      </mc:Fallback>
    </mc:AlternateContent>
    <mc:AlternateContent xmlns:mc="http://schemas.openxmlformats.org/markup-compatibility/2006">
      <mc:Choice Requires="x14">
        <control shapeId="1069" r:id="rId52" name="btnFindSeries0">
          <controlPr defaultSize="0" autoLine="0" r:id="rId53">
            <anchor moveWithCells="1">
              <from>
                <xdr:col>3</xdr:col>
                <xdr:colOff>752475</xdr:colOff>
                <xdr:row>1</xdr:row>
                <xdr:rowOff>419100</xdr:rowOff>
              </from>
              <to>
                <xdr:col>4</xdr:col>
                <xdr:colOff>533400</xdr:colOff>
                <xdr:row>2</xdr:row>
                <xdr:rowOff>219075</xdr:rowOff>
              </to>
            </anchor>
          </controlPr>
        </control>
      </mc:Choice>
      <mc:Fallback>
        <control shapeId="1069" r:id="rId52" name="btnFindSeries0"/>
      </mc:Fallback>
    </mc:AlternateContent>
    <mc:AlternateContent xmlns:mc="http://schemas.openxmlformats.org/markup-compatibility/2006">
      <mc:Choice Requires="x14">
        <control shapeId="1083" r:id="rId54" name="btnSEQoff">
          <controlPr defaultSize="0" autoLine="0" r:id="rId55">
            <anchor moveWithCells="1" sizeWithCells="1">
              <from>
                <xdr:col>19</xdr:col>
                <xdr:colOff>409575</xdr:colOff>
                <xdr:row>5</xdr:row>
                <xdr:rowOff>28575</xdr:rowOff>
              </from>
              <to>
                <xdr:col>20</xdr:col>
                <xdr:colOff>28575</xdr:colOff>
                <xdr:row>6</xdr:row>
                <xdr:rowOff>0</xdr:rowOff>
              </to>
            </anchor>
          </controlPr>
        </control>
      </mc:Choice>
      <mc:Fallback>
        <control shapeId="1083" r:id="rId54" name="btnSEQoff"/>
      </mc:Fallback>
    </mc:AlternateContent>
    <mc:AlternateContent xmlns:mc="http://schemas.openxmlformats.org/markup-compatibility/2006">
      <mc:Choice Requires="x14">
        <control shapeId="1084" r:id="rId56" name="btnSEQon">
          <controlPr defaultSize="0" autoLine="0" r:id="rId57">
            <anchor moveWithCells="1" sizeWithCells="1">
              <from>
                <xdr:col>19</xdr:col>
                <xdr:colOff>28575</xdr:colOff>
                <xdr:row>5</xdr:row>
                <xdr:rowOff>28575</xdr:rowOff>
              </from>
              <to>
                <xdr:col>19</xdr:col>
                <xdr:colOff>419100</xdr:colOff>
                <xdr:row>6</xdr:row>
                <xdr:rowOff>0</xdr:rowOff>
              </to>
            </anchor>
          </controlPr>
        </control>
      </mc:Choice>
      <mc:Fallback>
        <control shapeId="1084" r:id="rId56" name="btnSEQon"/>
      </mc:Fallback>
    </mc:AlternateContent>
    <mc:AlternateContent xmlns:mc="http://schemas.openxmlformats.org/markup-compatibility/2006">
      <mc:Choice Requires="x14">
        <control shapeId="1103" r:id="rId58" name="btnLatestValueStatic">
          <controlPr defaultSize="0" autoLine="0" autoPict="0" r:id="rId59">
            <anchor moveWithCells="1" sizeWithCells="1">
              <from>
                <xdr:col>6</xdr:col>
                <xdr:colOff>0</xdr:colOff>
                <xdr:row>5</xdr:row>
                <xdr:rowOff>0</xdr:rowOff>
              </from>
              <to>
                <xdr:col>6</xdr:col>
                <xdr:colOff>1057275</xdr:colOff>
                <xdr:row>6</xdr:row>
                <xdr:rowOff>0</xdr:rowOff>
              </to>
            </anchor>
          </controlPr>
        </control>
      </mc:Choice>
      <mc:Fallback>
        <control shapeId="1103" r:id="rId58" name="btnLatestValueStatic"/>
      </mc:Fallback>
    </mc:AlternateContent>
    <mc:AlternateContent xmlns:mc="http://schemas.openxmlformats.org/markup-compatibility/2006">
      <mc:Choice Requires="x14">
        <control shapeId="1104" r:id="rId60" name="btnLatestValueTS">
          <controlPr defaultSize="0" autoLine="0" r:id="rId61">
            <anchor moveWithCells="1" sizeWithCells="1">
              <from>
                <xdr:col>6</xdr:col>
                <xdr:colOff>1057275</xdr:colOff>
                <xdr:row>5</xdr:row>
                <xdr:rowOff>0</xdr:rowOff>
              </from>
              <to>
                <xdr:col>8</xdr:col>
                <xdr:colOff>28575</xdr:colOff>
                <xdr:row>6</xdr:row>
                <xdr:rowOff>0</xdr:rowOff>
              </to>
            </anchor>
          </controlPr>
        </control>
      </mc:Choice>
      <mc:Fallback>
        <control shapeId="1104" r:id="rId60" name="btnLatestValueTS"/>
      </mc:Fallback>
    </mc:AlternateContent>
    <mc:AlternateContent xmlns:mc="http://schemas.openxmlformats.org/markup-compatibility/2006">
      <mc:Choice Requires="x14">
        <control shapeId="1116" r:id="rId62" name="Image2">
          <controlPr defaultSize="0" autoLine="0" r:id="rId63">
            <anchor>
              <from>
                <xdr:col>1</xdr:col>
                <xdr:colOff>95250</xdr:colOff>
                <xdr:row>0</xdr:row>
                <xdr:rowOff>133350</xdr:rowOff>
              </from>
              <to>
                <xdr:col>2</xdr:col>
                <xdr:colOff>1181100</xdr:colOff>
                <xdr:row>1</xdr:row>
                <xdr:rowOff>342900</xdr:rowOff>
              </to>
            </anchor>
          </controlPr>
        </control>
      </mc:Choice>
      <mc:Fallback>
        <control shapeId="1116" r:id="rId62" name="Image2"/>
      </mc:Fallback>
    </mc:AlternateContent>
    <mc:AlternateContent xmlns:mc="http://schemas.openxmlformats.org/markup-compatibility/2006">
      <mc:Choice Requires="x14">
        <control shapeId="1027" r:id="rId64" name="btnProcessTable">
          <controlPr defaultSize="0" autoFill="0" autoLine="0" autoPict="0" macro="[0]!btnProcessTable_Click">
            <anchor>
              <from>
                <xdr:col>1</xdr:col>
                <xdr:colOff>66675</xdr:colOff>
                <xdr:row>1</xdr:row>
                <xdr:rowOff>447675</xdr:rowOff>
              </from>
              <to>
                <xdr:col>2</xdr:col>
                <xdr:colOff>180975</xdr:colOff>
                <xdr:row>2</xdr:row>
                <xdr:rowOff>219075</xdr:rowOff>
              </to>
            </anchor>
          </controlPr>
        </control>
      </mc:Choice>
    </mc:AlternateContent>
    <mc:AlternateContent xmlns:mc="http://schemas.openxmlformats.org/markup-compatibility/2006">
      <mc:Choice Requires="x14">
        <control shapeId="1032" r:id="rId65" name="chkDisplayDetails">
          <controlPr defaultSize="0" autoFill="0" autoLine="0" autoPict="0" macro="[0]!chkDisplayDetails_Click">
            <anchor>
              <from>
                <xdr:col>6</xdr:col>
                <xdr:colOff>76200</xdr:colOff>
                <xdr:row>0</xdr:row>
                <xdr:rowOff>28575</xdr:rowOff>
              </from>
              <to>
                <xdr:col>7</xdr:col>
                <xdr:colOff>523875</xdr:colOff>
                <xdr:row>0</xdr:row>
                <xdr:rowOff>228600</xdr:rowOff>
              </to>
            </anchor>
          </controlPr>
        </control>
      </mc:Choice>
    </mc:AlternateContent>
    <mc:AlternateContent xmlns:mc="http://schemas.openxmlformats.org/markup-compatibility/2006">
      <mc:Choice Requires="x14">
        <control shapeId="1033" r:id="rId66" name="chkAFOOptions">
          <controlPr defaultSize="0" autoFill="0" autoLine="0" autoPict="0">
            <anchor>
              <from>
                <xdr:col>6</xdr:col>
                <xdr:colOff>76200</xdr:colOff>
                <xdr:row>0</xdr:row>
                <xdr:rowOff>228600</xdr:rowOff>
              </from>
              <to>
                <xdr:col>7</xdr:col>
                <xdr:colOff>752475</xdr:colOff>
                <xdr:row>1</xdr:row>
                <xdr:rowOff>190500</xdr:rowOff>
              </to>
            </anchor>
          </controlPr>
        </control>
      </mc:Choice>
    </mc:AlternateContent>
    <mc:AlternateContent xmlns:mc="http://schemas.openxmlformats.org/markup-compatibility/2006">
      <mc:Choice Requires="x14">
        <control shapeId="1034" r:id="rId67" name="chkDispExcelDestination">
          <controlPr defaultSize="0" autoFill="0" autoLine="0" autoPict="0" macro="[0]!chkDispExcelDestination_Click">
            <anchor>
              <from>
                <xdr:col>7</xdr:col>
                <xdr:colOff>866775</xdr:colOff>
                <xdr:row>0</xdr:row>
                <xdr:rowOff>180975</xdr:rowOff>
              </from>
              <to>
                <xdr:col>10</xdr:col>
                <xdr:colOff>1362075</xdr:colOff>
                <xdr:row>1</xdr:row>
                <xdr:rowOff>142875</xdr:rowOff>
              </to>
            </anchor>
          </controlPr>
        </control>
      </mc:Choice>
    </mc:AlternateContent>
    <mc:AlternateContent xmlns:mc="http://schemas.openxmlformats.org/markup-compatibility/2006">
      <mc:Choice Requires="x14">
        <control shapeId="1035" r:id="rId68" name="chkR1C1Ref">
          <controlPr defaultSize="0" autoFill="0" autoLine="0" autoPict="0" macro="[0]!chkR1C1Ref_Click">
            <anchor>
              <from>
                <xdr:col>7</xdr:col>
                <xdr:colOff>866775</xdr:colOff>
                <xdr:row>0</xdr:row>
                <xdr:rowOff>0</xdr:rowOff>
              </from>
              <to>
                <xdr:col>10</xdr:col>
                <xdr:colOff>1323975</xdr:colOff>
                <xdr:row>0</xdr:row>
                <xdr:rowOff>219075</xdr:rowOff>
              </to>
            </anchor>
          </controlPr>
        </control>
      </mc:Choice>
    </mc:AlternateContent>
    <mc:AlternateContent xmlns:mc="http://schemas.openxmlformats.org/markup-compatibility/2006">
      <mc:Choice Requires="x14">
        <control shapeId="1039" r:id="rId69" name="chkSuppress">
          <controlPr defaultSize="0" autoFill="0" autoLine="0" autoPict="0">
            <anchor>
              <from>
                <xdr:col>7</xdr:col>
                <xdr:colOff>866775</xdr:colOff>
                <xdr:row>1</xdr:row>
                <xdr:rowOff>104775</xdr:rowOff>
              </from>
              <to>
                <xdr:col>10</xdr:col>
                <xdr:colOff>333375</xdr:colOff>
                <xdr:row>1</xdr:row>
                <xdr:rowOff>304800</xdr:rowOff>
              </to>
            </anchor>
          </controlPr>
        </control>
      </mc:Choice>
    </mc:AlternateContent>
    <mc:AlternateContent xmlns:mc="http://schemas.openxmlformats.org/markup-compatibility/2006">
      <mc:Choice Requires="x14">
        <control shapeId="1042" r:id="rId70" name="chkProcessTbl">
          <controlPr defaultSize="0" autoFill="0" autoLine="0" autoPict="0" altText="Process Table">
            <anchor>
              <from>
                <xdr:col>5</xdr:col>
                <xdr:colOff>828675</xdr:colOff>
                <xdr:row>0</xdr:row>
                <xdr:rowOff>38100</xdr:rowOff>
              </from>
              <to>
                <xdr:col>5</xdr:col>
                <xdr:colOff>1781175</xdr:colOff>
                <xdr:row>1</xdr:row>
                <xdr:rowOff>0</xdr:rowOff>
              </to>
            </anchor>
          </controlPr>
        </control>
      </mc:Choice>
    </mc:AlternateContent>
    <mc:AlternateContent xmlns:mc="http://schemas.openxmlformats.org/markup-compatibility/2006">
      <mc:Choice Requires="x14">
        <control shapeId="1045" r:id="rId71" name="chkNAWrite">
          <controlPr defaultSize="0" autoFill="0" autoLine="0" autoPict="0" macro="[0]!chkNAWrite_Click">
            <anchor>
              <from>
                <xdr:col>7</xdr:col>
                <xdr:colOff>866775</xdr:colOff>
                <xdr:row>1</xdr:row>
                <xdr:rowOff>295275</xdr:rowOff>
              </from>
              <to>
                <xdr:col>8</xdr:col>
                <xdr:colOff>295275</xdr:colOff>
                <xdr:row>2</xdr:row>
                <xdr:rowOff>66675</xdr:rowOff>
              </to>
            </anchor>
          </controlPr>
        </control>
      </mc:Choice>
    </mc:AlternateContent>
    <mc:AlternateContent xmlns:mc="http://schemas.openxmlformats.org/markup-compatibility/2006">
      <mc:Choice Requires="x14">
        <control shapeId="1067" r:id="rId72" name="chkSequencing">
          <controlPr defaultSize="0" autoFill="0" autoLine="0" autoPict="0">
            <anchor>
              <from>
                <xdr:col>6</xdr:col>
                <xdr:colOff>76200</xdr:colOff>
                <xdr:row>1</xdr:row>
                <xdr:rowOff>180975</xdr:rowOff>
              </from>
              <to>
                <xdr:col>7</xdr:col>
                <xdr:colOff>114300</xdr:colOff>
                <xdr:row>1</xdr:row>
                <xdr:rowOff>409575</xdr:rowOff>
              </to>
            </anchor>
          </controlPr>
        </control>
      </mc:Choice>
    </mc:AlternateContent>
    <mc:AlternateContent xmlns:mc="http://schemas.openxmlformats.org/markup-compatibility/2006">
      <mc:Choice Requires="x14">
        <control shapeId="1085" r:id="rId73" name="lblFrequency">
          <controlPr defaultSize="0" autoFill="0" autoLine="0" autoPict="0" macro="[0]!lblFrequency_Click">
            <anchor moveWithCells="1" sizeWithCells="1">
              <from>
                <xdr:col>8</xdr:col>
                <xdr:colOff>28575</xdr:colOff>
                <xdr:row>4</xdr:row>
                <xdr:rowOff>28575</xdr:rowOff>
              </from>
              <to>
                <xdr:col>8</xdr:col>
                <xdr:colOff>723900</xdr:colOff>
                <xdr:row>4</xdr:row>
                <xdr:rowOff>142875</xdr:rowOff>
              </to>
            </anchor>
          </controlPr>
        </control>
      </mc:Choice>
    </mc:AlternateContent>
    <mc:AlternateContent xmlns:mc="http://schemas.openxmlformats.org/markup-compatibility/2006">
      <mc:Choice Requires="x14">
        <control shapeId="1089" r:id="rId74" name="Label 65">
          <controlPr defaultSize="0" autoFill="0" autoLine="0" autoPict="0" altText="">
            <anchor>
              <from>
                <xdr:col>4</xdr:col>
                <xdr:colOff>2390775</xdr:colOff>
                <xdr:row>0</xdr:row>
                <xdr:rowOff>104775</xdr:rowOff>
              </from>
              <to>
                <xdr:col>5</xdr:col>
                <xdr:colOff>819150</xdr:colOff>
                <xdr:row>1</xdr:row>
                <xdr:rowOff>28575</xdr:rowOff>
              </to>
            </anchor>
          </controlPr>
        </control>
      </mc:Choice>
    </mc:AlternateContent>
    <mc:AlternateContent xmlns:mc="http://schemas.openxmlformats.org/markup-compatibility/2006">
      <mc:Choice Requires="x14">
        <control shapeId="1091" r:id="rId75" name="Label 67">
          <controlPr defaultSize="0" autoFill="0" autoLine="0" autoPict="0" altText="">
            <anchor>
              <from>
                <xdr:col>4</xdr:col>
                <xdr:colOff>2390775</xdr:colOff>
                <xdr:row>1</xdr:row>
                <xdr:rowOff>304800</xdr:rowOff>
              </from>
              <to>
                <xdr:col>5</xdr:col>
                <xdr:colOff>800100</xdr:colOff>
                <xdr:row>2</xdr:row>
                <xdr:rowOff>38100</xdr:rowOff>
              </to>
            </anchor>
          </controlPr>
        </control>
      </mc:Choice>
    </mc:AlternateContent>
    <mc:AlternateContent xmlns:mc="http://schemas.openxmlformats.org/markup-compatibility/2006">
      <mc:Choice Requires="x14">
        <control shapeId="1093" r:id="rId76" name="Label 69">
          <controlPr defaultSize="0" autoFill="0" autoLine="0" autoPict="0" altText="">
            <anchor>
              <from>
                <xdr:col>4</xdr:col>
                <xdr:colOff>2390775</xdr:colOff>
                <xdr:row>2</xdr:row>
                <xdr:rowOff>95250</xdr:rowOff>
              </from>
              <to>
                <xdr:col>5</xdr:col>
                <xdr:colOff>790575</xdr:colOff>
                <xdr:row>3</xdr:row>
                <xdr:rowOff>57150</xdr:rowOff>
              </to>
            </anchor>
          </controlPr>
        </control>
      </mc:Choice>
    </mc:AlternateContent>
    <mc:AlternateContent xmlns:mc="http://schemas.openxmlformats.org/markup-compatibility/2006">
      <mc:Choice Requires="x14">
        <control shapeId="1096" r:id="rId77" name="Label 72">
          <controlPr defaultSize="0" autoFill="0" autoLine="0" autoPict="0" altText="">
            <anchor>
              <from>
                <xdr:col>4</xdr:col>
                <xdr:colOff>600075</xdr:colOff>
                <xdr:row>0</xdr:row>
                <xdr:rowOff>76200</xdr:rowOff>
              </from>
              <to>
                <xdr:col>4</xdr:col>
                <xdr:colOff>2124075</xdr:colOff>
                <xdr:row>1</xdr:row>
                <xdr:rowOff>28575</xdr:rowOff>
              </to>
            </anchor>
          </controlPr>
        </control>
      </mc:Choice>
    </mc:AlternateContent>
    <mc:AlternateContent xmlns:mc="http://schemas.openxmlformats.org/markup-compatibility/2006">
      <mc:Choice Requires="x14">
        <control shapeId="1097" r:id="rId78" name="Label 73">
          <controlPr defaultSize="0" autoFill="0" autoLine="0" autoPict="0" altText="">
            <anchor>
              <from>
                <xdr:col>8</xdr:col>
                <xdr:colOff>142875</xdr:colOff>
                <xdr:row>1</xdr:row>
                <xdr:rowOff>333375</xdr:rowOff>
              </from>
              <to>
                <xdr:col>10</xdr:col>
                <xdr:colOff>676275</xdr:colOff>
                <xdr:row>2</xdr:row>
                <xdr:rowOff>28575</xdr:rowOff>
              </to>
            </anchor>
          </controlPr>
        </control>
      </mc:Choice>
    </mc:AlternateContent>
    <mc:AlternateContent xmlns:mc="http://schemas.openxmlformats.org/markup-compatibility/2006">
      <mc:Choice Requires="x14">
        <control shapeId="1105" r:id="rId79" name="btnAddToIndex">
          <controlPr defaultSize="0" print="0" autoFill="0" autoLine="0" autoPict="0" macro="[0]!btnAddToIndex_Click">
            <anchor>
              <from>
                <xdr:col>2</xdr:col>
                <xdr:colOff>371475</xdr:colOff>
                <xdr:row>1</xdr:row>
                <xdr:rowOff>447675</xdr:rowOff>
              </from>
              <to>
                <xdr:col>2</xdr:col>
                <xdr:colOff>1295400</xdr:colOff>
                <xdr:row>2</xdr:row>
                <xdr:rowOff>219075</xdr:rowOff>
              </to>
            </anchor>
          </controlPr>
        </control>
      </mc:Choice>
    </mc:AlternateContent>
    <mc:AlternateContent xmlns:mc="http://schemas.openxmlformats.org/markup-compatibility/2006">
      <mc:Choice Requires="x14">
        <control shapeId="1115" r:id="rId80" name="Label 91">
          <controlPr defaultSize="0" autoFill="0" autoLine="0" autoPict="0" altText="">
            <anchor>
              <from>
                <xdr:col>4</xdr:col>
                <xdr:colOff>2400300</xdr:colOff>
                <xdr:row>1</xdr:row>
                <xdr:rowOff>57150</xdr:rowOff>
              </from>
              <to>
                <xdr:col>5</xdr:col>
                <xdr:colOff>800100</xdr:colOff>
                <xdr:row>1</xdr:row>
                <xdr:rowOff>247650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Output</vt:lpstr>
      <vt:lpstr>Country_list</vt:lpstr>
      <vt:lpstr>KI list</vt:lpstr>
      <vt:lpstr>Subjects</vt:lpstr>
      <vt:lpstr>REQUEST_TABLE</vt:lpstr>
    </vt:vector>
  </TitlesOfParts>
  <Company>Thomson Reuters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Thomson Reuters Datastrem - DFO - Request Table Template</dc:title>
  <dc:creator>Rickards, Julian</dc:creator>
  <cp:lastModifiedBy>LEMOINE Damien</cp:lastModifiedBy>
  <dcterms:created xsi:type="dcterms:W3CDTF">2011-08-01T12:44:02Z</dcterms:created>
  <dcterms:modified xsi:type="dcterms:W3CDTF">2024-05-22T11:54:39Z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6aeb5f08-1883-4594-92b4-94b58f98d06a</vt:lpwstr>
  </property>
</Properties>
</file>